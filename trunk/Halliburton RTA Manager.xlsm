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ltRange">Settings!#REF!</definedName>
    <definedName name="my_Version">Settings!$Q$13</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Manager'!$E$6:$E$1478,'RTA Manager'!$I$6:$I$1478,'RTA Manager'!$K$6:$Q$1478,'RTA Manager'!$S$6:$W$1478,'RTA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Main[#All]</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Manager'!$R:$R,'RTA Manager'!$F:$F,'RTA Manager'!$Y:$AA,'RTA Manager'!$AA:$AA</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Manager'!$B$5:$AA$1478</definedName>
  </definedNames>
  <calcPr calcId="145621"/>
</workbook>
</file>

<file path=xl/calcChain.xml><?xml version="1.0" encoding="utf-8"?>
<calcChain xmlns="http://schemas.openxmlformats.org/spreadsheetml/2006/main">
  <c r="H6" i="4" l="1"/>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106"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75"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76" i="4"/>
  <c r="M266" i="4"/>
  <c r="M267" i="4"/>
  <c r="M268" i="4"/>
  <c r="M269" i="4"/>
  <c r="M270" i="4"/>
  <c r="M271" i="4"/>
  <c r="M272" i="4"/>
  <c r="M273" i="4"/>
  <c r="M274" i="4"/>
  <c r="M275" i="4"/>
  <c r="M276" i="4"/>
  <c r="M48" i="4"/>
  <c r="M277" i="4"/>
  <c r="M278" i="4"/>
  <c r="M279" i="4"/>
  <c r="M280" i="4"/>
  <c r="M281" i="4"/>
  <c r="M282" i="4"/>
  <c r="M283" i="4"/>
  <c r="M284" i="4"/>
  <c r="M285" i="4"/>
  <c r="M286" i="4"/>
  <c r="M287" i="4"/>
  <c r="M288" i="4"/>
  <c r="M289" i="4"/>
  <c r="M290" i="4"/>
  <c r="M291" i="4"/>
  <c r="M292" i="4"/>
  <c r="M293" i="4"/>
  <c r="M294" i="4"/>
  <c r="M295" i="4"/>
  <c r="M296" i="4"/>
  <c r="M120"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6"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100" i="4"/>
  <c r="M418" i="4"/>
  <c r="M419" i="4"/>
  <c r="M420" i="4"/>
  <c r="M421" i="4"/>
  <c r="M422" i="4"/>
  <c r="M423" i="4"/>
  <c r="M424" i="4"/>
  <c r="M425" i="4"/>
  <c r="M66"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84" i="4"/>
  <c r="M126" i="4"/>
  <c r="M88" i="4"/>
  <c r="M613" i="4"/>
  <c r="M614" i="4"/>
  <c r="M615" i="4"/>
  <c r="M616" i="4"/>
  <c r="M617" i="4"/>
  <c r="M618" i="4"/>
  <c r="M619" i="4"/>
  <c r="M620" i="4"/>
  <c r="M118" i="4"/>
  <c r="M621" i="4"/>
  <c r="M622" i="4"/>
  <c r="M9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93"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107"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109" i="4"/>
  <c r="M29"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46"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7"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110"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78" i="4"/>
  <c r="M1002" i="4"/>
  <c r="M1003" i="4"/>
  <c r="M1004" i="4"/>
  <c r="M1005" i="4"/>
  <c r="M1006" i="4"/>
  <c r="M1007" i="4"/>
  <c r="M1008" i="4"/>
  <c r="M1009" i="4"/>
  <c r="M1010" i="4"/>
  <c r="M65"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8" i="4"/>
  <c r="M1067" i="4"/>
  <c r="M72" i="4"/>
  <c r="M1068" i="4"/>
  <c r="M1069" i="4"/>
  <c r="M1070" i="4"/>
  <c r="M1071" i="4"/>
  <c r="M1072" i="4"/>
  <c r="M1073" i="4"/>
  <c r="M49" i="4"/>
  <c r="M1074" i="4"/>
  <c r="M1075" i="4"/>
  <c r="M1076" i="4"/>
  <c r="M1077" i="4"/>
  <c r="M91" i="4"/>
  <c r="M1078" i="4"/>
  <c r="M1079" i="4"/>
  <c r="M1080" i="4"/>
  <c r="M1081" i="4"/>
  <c r="M14" i="4"/>
  <c r="M53" i="4"/>
  <c r="M1082" i="4"/>
  <c r="M1083" i="4"/>
  <c r="M1084" i="4"/>
  <c r="M1085" i="4"/>
  <c r="M1086" i="4"/>
  <c r="M1087" i="4"/>
  <c r="M1088" i="4"/>
  <c r="M1089" i="4"/>
  <c r="M1090" i="4"/>
  <c r="M1091" i="4"/>
  <c r="M1092" i="4"/>
  <c r="M1093" i="4"/>
  <c r="M1094" i="4"/>
  <c r="M1095" i="4"/>
  <c r="M1096" i="4"/>
  <c r="M1097" i="4"/>
  <c r="M47" i="4"/>
  <c r="M1098" i="4"/>
  <c r="M1099" i="4"/>
  <c r="M1100" i="4"/>
  <c r="M1101" i="4"/>
  <c r="M1102" i="4"/>
  <c r="M1103" i="4"/>
  <c r="M1104" i="4"/>
  <c r="M9" i="4"/>
  <c r="M1105" i="4"/>
  <c r="M1106" i="4"/>
  <c r="M1107" i="4"/>
  <c r="M1108" i="4"/>
  <c r="M1109" i="4"/>
  <c r="M97" i="4"/>
  <c r="M1110" i="4"/>
  <c r="M1111" i="4"/>
  <c r="M1112" i="4"/>
  <c r="M1113" i="4"/>
  <c r="M1114" i="4"/>
  <c r="M1115" i="4"/>
  <c r="M1116" i="4"/>
  <c r="M1117" i="4"/>
  <c r="M1118" i="4"/>
  <c r="M1119" i="4"/>
  <c r="M1120" i="4"/>
  <c r="M1121" i="4"/>
  <c r="M1122" i="4"/>
  <c r="M1123" i="4"/>
  <c r="M32" i="4"/>
  <c r="M1124" i="4"/>
  <c r="M1125" i="4"/>
  <c r="M1126" i="4"/>
  <c r="M1127" i="4"/>
  <c r="M1128" i="4"/>
  <c r="M1129" i="4"/>
  <c r="M1130" i="4"/>
  <c r="M1131" i="4"/>
  <c r="M1132" i="4"/>
  <c r="M1133" i="4"/>
  <c r="M1134" i="4"/>
  <c r="M1135" i="4"/>
  <c r="M1136" i="4"/>
  <c r="M1137" i="4"/>
  <c r="M113"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59"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33" i="4"/>
  <c r="M60" i="4"/>
  <c r="M1204" i="4"/>
  <c r="M1205" i="4"/>
  <c r="M1206" i="4"/>
  <c r="M1207" i="4"/>
  <c r="M1208" i="4"/>
  <c r="M1209" i="4"/>
  <c r="M1210" i="4"/>
  <c r="M1211" i="4"/>
  <c r="M1212" i="4"/>
  <c r="M1213" i="4"/>
  <c r="M1214" i="4"/>
  <c r="M1215" i="4"/>
  <c r="M1216" i="4"/>
  <c r="M1217" i="4"/>
  <c r="M1218" i="4"/>
  <c r="M1219" i="4"/>
  <c r="M1220" i="4"/>
  <c r="M1221" i="4"/>
  <c r="M1222" i="4"/>
  <c r="M1223" i="4"/>
  <c r="M1224" i="4"/>
  <c r="M1225" i="4"/>
  <c r="M1226" i="4"/>
  <c r="M1227" i="4"/>
  <c r="M1228" i="4"/>
  <c r="M1229" i="4"/>
  <c r="M79" i="4"/>
  <c r="M1230" i="4"/>
  <c r="M1231" i="4"/>
  <c r="M1232" i="4"/>
  <c r="M1233" i="4"/>
  <c r="M1234" i="4"/>
  <c r="M134" i="4"/>
  <c r="M1235" i="4"/>
  <c r="M1236" i="4"/>
  <c r="M1237" i="4"/>
  <c r="M1238" i="4"/>
  <c r="M1239" i="4"/>
  <c r="M1240" i="4"/>
  <c r="M1241" i="4"/>
  <c r="M1242" i="4"/>
  <c r="M1243" i="4"/>
  <c r="M1244" i="4"/>
  <c r="M1245" i="4"/>
  <c r="M1246" i="4"/>
  <c r="M1247" i="4"/>
  <c r="M1248" i="4"/>
  <c r="M1249" i="4"/>
  <c r="M1250" i="4"/>
  <c r="M1251" i="4"/>
  <c r="M1252" i="4"/>
  <c r="M1253" i="4"/>
  <c r="M1254" i="4"/>
  <c r="M1255" i="4"/>
  <c r="M128" i="4"/>
  <c r="M1256" i="4"/>
  <c r="M1257" i="4"/>
  <c r="M1258" i="4"/>
  <c r="M1259" i="4"/>
  <c r="M1260" i="4"/>
  <c r="M1261" i="4"/>
  <c r="M1262" i="4"/>
  <c r="M1263" i="4"/>
  <c r="M1264" i="4"/>
  <c r="M1265" i="4"/>
  <c r="M1266" i="4"/>
  <c r="M38" i="4"/>
  <c r="M1267" i="4"/>
  <c r="M1268" i="4"/>
  <c r="M26" i="4"/>
  <c r="M1269" i="4"/>
  <c r="M1270" i="4"/>
  <c r="M1271" i="4"/>
  <c r="M1272" i="4"/>
  <c r="M1273" i="4"/>
  <c r="M1274" i="4"/>
  <c r="M1275" i="4"/>
  <c r="M124" i="4"/>
  <c r="M73" i="4"/>
  <c r="M101" i="4"/>
  <c r="M111" i="4"/>
  <c r="M1276" i="4"/>
  <c r="M1277" i="4"/>
  <c r="M1278" i="4"/>
  <c r="M1279" i="4"/>
  <c r="M1280" i="4"/>
  <c r="M1281" i="4"/>
  <c r="M1282" i="4"/>
  <c r="M1283" i="4"/>
  <c r="M1284" i="4"/>
  <c r="M1285" i="4"/>
  <c r="M1286" i="4"/>
  <c r="M1287" i="4"/>
  <c r="M1288" i="4"/>
  <c r="M1289" i="4"/>
  <c r="M1290" i="4"/>
  <c r="M1291" i="4"/>
  <c r="M1292" i="4"/>
  <c r="M1293" i="4"/>
  <c r="M1294" i="4"/>
  <c r="M1295" i="4"/>
  <c r="M1296" i="4"/>
  <c r="M41" i="4"/>
  <c r="M1297" i="4"/>
  <c r="M1298" i="4"/>
  <c r="M1299" i="4"/>
  <c r="M1300" i="4"/>
  <c r="M1301" i="4"/>
  <c r="M1302" i="4"/>
  <c r="M1303" i="4"/>
  <c r="M1304" i="4"/>
  <c r="M27" i="4"/>
  <c r="M1305" i="4"/>
  <c r="M1306" i="4"/>
  <c r="M1307" i="4"/>
  <c r="M1308" i="4"/>
  <c r="M1309" i="4"/>
  <c r="M1310" i="4"/>
  <c r="M1311" i="4"/>
  <c r="M1312" i="4"/>
  <c r="M1313" i="4"/>
  <c r="M1314" i="4"/>
  <c r="M1315" i="4"/>
  <c r="M116" i="4"/>
  <c r="M1316" i="4"/>
  <c r="M1317" i="4"/>
  <c r="M1318" i="4"/>
  <c r="M1319" i="4"/>
  <c r="M1320" i="4"/>
  <c r="M1321" i="4"/>
  <c r="M1322" i="4"/>
  <c r="M1323" i="4"/>
  <c r="M1324" i="4"/>
  <c r="M30" i="4"/>
  <c r="M1325" i="4"/>
  <c r="M1326" i="4"/>
  <c r="M1327" i="4"/>
  <c r="M1328" i="4"/>
  <c r="M1329" i="4"/>
  <c r="M1330" i="4"/>
  <c r="M1331" i="4"/>
  <c r="M1332" i="4"/>
  <c r="M1333" i="4"/>
  <c r="M1334" i="4"/>
  <c r="M1335" i="4"/>
  <c r="M1336" i="4"/>
  <c r="M1337" i="4"/>
  <c r="M1338" i="4"/>
  <c r="M1339" i="4"/>
  <c r="M1340" i="4"/>
  <c r="M1341" i="4"/>
  <c r="M1342" i="4"/>
  <c r="M1343" i="4"/>
  <c r="M1344" i="4"/>
  <c r="M61" i="4"/>
  <c r="M1345" i="4"/>
  <c r="M1346" i="4"/>
  <c r="M122" i="4"/>
  <c r="M1347" i="4"/>
  <c r="M1348" i="4"/>
  <c r="M1349" i="4"/>
  <c r="M1350" i="4"/>
  <c r="M1351" i="4"/>
  <c r="M1352" i="4"/>
  <c r="M1353" i="4"/>
  <c r="M1354" i="4"/>
  <c r="M1355" i="4"/>
  <c r="M1356" i="4"/>
  <c r="M1357" i="4"/>
  <c r="M1358" i="4"/>
  <c r="M1359" i="4"/>
  <c r="M104"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29" i="4"/>
  <c r="M1412" i="4"/>
  <c r="M1413" i="4"/>
  <c r="M1414" i="4"/>
  <c r="M1415" i="4"/>
  <c r="M1416" i="4"/>
  <c r="M10" i="4"/>
  <c r="M1417" i="4"/>
  <c r="M1418" i="4"/>
  <c r="M1419" i="4"/>
  <c r="M1420" i="4"/>
  <c r="M13" i="4"/>
  <c r="M1421" i="4"/>
  <c r="M1422" i="4"/>
  <c r="M132" i="4"/>
  <c r="M130" i="4"/>
  <c r="M1423" i="4"/>
  <c r="M1424" i="4"/>
  <c r="M94" i="4"/>
  <c r="M1425" i="4"/>
  <c r="M50" i="4"/>
  <c r="M1426" i="4"/>
  <c r="M15" i="4"/>
  <c r="M95" i="4"/>
  <c r="M1427" i="4"/>
  <c r="M1428" i="4"/>
  <c r="M1429" i="4"/>
  <c r="M67" i="4"/>
  <c r="M31" i="4"/>
  <c r="M1430" i="4"/>
  <c r="M1431" i="4"/>
  <c r="M1432" i="4"/>
  <c r="M62" i="4"/>
  <c r="M125" i="4"/>
  <c r="M127" i="4"/>
  <c r="M123" i="4"/>
  <c r="M1433" i="4"/>
  <c r="M121" i="4"/>
  <c r="M102" i="4"/>
  <c r="M20" i="4"/>
  <c r="M1434" i="4"/>
  <c r="M1435" i="4"/>
  <c r="M1436" i="4"/>
  <c r="M1437" i="4"/>
  <c r="M105" i="4"/>
  <c r="M1438" i="4"/>
  <c r="M1439" i="4"/>
  <c r="M1440" i="4"/>
  <c r="M1441" i="4"/>
  <c r="M1442" i="4"/>
  <c r="M1443" i="4"/>
  <c r="M1444" i="4"/>
  <c r="M1445" i="4"/>
  <c r="M1446" i="4"/>
  <c r="M1447" i="4"/>
  <c r="M11" i="4"/>
  <c r="M16" i="4"/>
  <c r="M68" i="4"/>
  <c r="M1448" i="4"/>
  <c r="M1449" i="4"/>
  <c r="M1450" i="4"/>
  <c r="M18" i="4"/>
  <c r="M12" i="4"/>
  <c r="M1451" i="4"/>
  <c r="M1452" i="4"/>
  <c r="M1453" i="4"/>
  <c r="M35" i="4"/>
  <c r="M1454" i="4"/>
  <c r="M133" i="4"/>
  <c r="M1455" i="4"/>
  <c r="M80" i="4"/>
  <c r="M1456" i="4"/>
  <c r="M1457" i="4"/>
  <c r="M1458" i="4"/>
  <c r="M1459" i="4"/>
  <c r="M108" i="4"/>
  <c r="M1460" i="4"/>
  <c r="M22" i="4"/>
  <c r="M1461" i="4"/>
  <c r="M1462" i="4"/>
  <c r="M1463" i="4"/>
  <c r="M115" i="4"/>
  <c r="M19" i="4"/>
  <c r="M74" i="4"/>
  <c r="M63" i="4"/>
  <c r="M24" i="4"/>
  <c r="M1464" i="4"/>
  <c r="M86" i="4"/>
  <c r="M39" i="4"/>
  <c r="M40" i="4"/>
  <c r="M131" i="4"/>
  <c r="M17" i="4"/>
  <c r="M54" i="4"/>
  <c r="M69" i="4"/>
  <c r="M135" i="4"/>
  <c r="M51" i="4"/>
  <c r="M114" i="4"/>
  <c r="M23" i="4"/>
  <c r="M112" i="4"/>
  <c r="M28" i="4"/>
  <c r="M1465" i="4"/>
  <c r="M36" i="4"/>
  <c r="M21" i="4"/>
  <c r="M25" i="4"/>
  <c r="M1466" i="4"/>
  <c r="M55" i="4"/>
  <c r="M89" i="4"/>
  <c r="M37" i="4"/>
  <c r="M1467" i="4"/>
  <c r="M1468" i="4"/>
  <c r="M1469" i="4"/>
  <c r="M119" i="4"/>
  <c r="M70" i="4"/>
  <c r="M71" i="4"/>
  <c r="M83" i="4"/>
  <c r="M77" i="4"/>
  <c r="M85" i="4"/>
  <c r="M52" i="4"/>
  <c r="M1470" i="4"/>
  <c r="M81" i="4"/>
  <c r="M98" i="4"/>
  <c r="M90" i="4"/>
  <c r="M34" i="4"/>
  <c r="M96" i="4"/>
  <c r="M56" i="4"/>
  <c r="M82" i="4"/>
  <c r="M99" i="4"/>
  <c r="M117" i="4"/>
  <c r="M64" i="4"/>
  <c r="M87" i="4"/>
  <c r="M45" i="4"/>
  <c r="M103" i="4"/>
  <c r="M1471" i="4"/>
  <c r="M42" i="4"/>
  <c r="M58" i="4"/>
  <c r="M1472" i="4"/>
  <c r="M57" i="4"/>
  <c r="M1473" i="4"/>
  <c r="M1474" i="4"/>
  <c r="M1475" i="4"/>
  <c r="M1476" i="4"/>
  <c r="M43" i="4"/>
  <c r="M44" i="4"/>
  <c r="M1477" i="4"/>
  <c r="M1478"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106"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75"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76" i="4"/>
  <c r="N266" i="4"/>
  <c r="N267" i="4"/>
  <c r="N268" i="4"/>
  <c r="N269" i="4"/>
  <c r="N270" i="4"/>
  <c r="N271" i="4"/>
  <c r="N272" i="4"/>
  <c r="N273" i="4"/>
  <c r="N274" i="4"/>
  <c r="N275" i="4"/>
  <c r="N276" i="4"/>
  <c r="N48" i="4"/>
  <c r="N277" i="4"/>
  <c r="N278" i="4"/>
  <c r="N279" i="4"/>
  <c r="N280" i="4"/>
  <c r="N281" i="4"/>
  <c r="N282" i="4"/>
  <c r="N283" i="4"/>
  <c r="N284" i="4"/>
  <c r="N285" i="4"/>
  <c r="N286" i="4"/>
  <c r="N287" i="4"/>
  <c r="N288" i="4"/>
  <c r="N289" i="4"/>
  <c r="N290" i="4"/>
  <c r="N291" i="4"/>
  <c r="N292" i="4"/>
  <c r="N293" i="4"/>
  <c r="N294" i="4"/>
  <c r="N295" i="4"/>
  <c r="N296" i="4"/>
  <c r="N120"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6"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100" i="4"/>
  <c r="N418" i="4"/>
  <c r="N419" i="4"/>
  <c r="N420" i="4"/>
  <c r="N421" i="4"/>
  <c r="N422" i="4"/>
  <c r="N423" i="4"/>
  <c r="N424" i="4"/>
  <c r="N425" i="4"/>
  <c r="N66"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84" i="4"/>
  <c r="N126" i="4"/>
  <c r="N88" i="4"/>
  <c r="N613" i="4"/>
  <c r="N614" i="4"/>
  <c r="N615" i="4"/>
  <c r="N616" i="4"/>
  <c r="N617" i="4"/>
  <c r="N618" i="4"/>
  <c r="N619" i="4"/>
  <c r="N620" i="4"/>
  <c r="N118" i="4"/>
  <c r="N621" i="4"/>
  <c r="N622" i="4"/>
  <c r="N9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93"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107"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109" i="4"/>
  <c r="N29"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46"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7"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110"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78" i="4"/>
  <c r="N1002" i="4"/>
  <c r="N1003" i="4"/>
  <c r="N1004" i="4"/>
  <c r="N1005" i="4"/>
  <c r="N1006" i="4"/>
  <c r="N1007" i="4"/>
  <c r="N1008" i="4"/>
  <c r="N1009" i="4"/>
  <c r="N1010" i="4"/>
  <c r="N65"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8" i="4"/>
  <c r="N1067" i="4"/>
  <c r="N72" i="4"/>
  <c r="N1068" i="4"/>
  <c r="N1069" i="4"/>
  <c r="N1070" i="4"/>
  <c r="N1071" i="4"/>
  <c r="N1072" i="4"/>
  <c r="N1073" i="4"/>
  <c r="N49" i="4"/>
  <c r="N1074" i="4"/>
  <c r="N1075" i="4"/>
  <c r="N1076" i="4"/>
  <c r="N1077" i="4"/>
  <c r="N91" i="4"/>
  <c r="N1078" i="4"/>
  <c r="N1079" i="4"/>
  <c r="N1080" i="4"/>
  <c r="N1081" i="4"/>
  <c r="N14" i="4"/>
  <c r="N53" i="4"/>
  <c r="N1082" i="4"/>
  <c r="N1083" i="4"/>
  <c r="N1084" i="4"/>
  <c r="N1085" i="4"/>
  <c r="N1086" i="4"/>
  <c r="N1087" i="4"/>
  <c r="N1088" i="4"/>
  <c r="N1089" i="4"/>
  <c r="N1090" i="4"/>
  <c r="N1091" i="4"/>
  <c r="N1092" i="4"/>
  <c r="N1093" i="4"/>
  <c r="N1094" i="4"/>
  <c r="N1095" i="4"/>
  <c r="N1096" i="4"/>
  <c r="N1097" i="4"/>
  <c r="N47" i="4"/>
  <c r="N1098" i="4"/>
  <c r="N1099" i="4"/>
  <c r="N1100" i="4"/>
  <c r="N1101" i="4"/>
  <c r="N1102" i="4"/>
  <c r="N1103" i="4"/>
  <c r="N1104" i="4"/>
  <c r="N9" i="4"/>
  <c r="N1105" i="4"/>
  <c r="N1106" i="4"/>
  <c r="N1107" i="4"/>
  <c r="N1108" i="4"/>
  <c r="N1109" i="4"/>
  <c r="N97" i="4"/>
  <c r="N1110" i="4"/>
  <c r="N1111" i="4"/>
  <c r="N1112" i="4"/>
  <c r="N1113" i="4"/>
  <c r="N1114" i="4"/>
  <c r="N1115" i="4"/>
  <c r="N1116" i="4"/>
  <c r="N1117" i="4"/>
  <c r="N1118" i="4"/>
  <c r="N1119" i="4"/>
  <c r="N1120" i="4"/>
  <c r="N1121" i="4"/>
  <c r="N1122" i="4"/>
  <c r="N1123" i="4"/>
  <c r="N32" i="4"/>
  <c r="N1124" i="4"/>
  <c r="N1125" i="4"/>
  <c r="N1126" i="4"/>
  <c r="N1127" i="4"/>
  <c r="N1128" i="4"/>
  <c r="N1129" i="4"/>
  <c r="N1130" i="4"/>
  <c r="N1131" i="4"/>
  <c r="N1132" i="4"/>
  <c r="N1133" i="4"/>
  <c r="N1134" i="4"/>
  <c r="N1135" i="4"/>
  <c r="N1136" i="4"/>
  <c r="N1137" i="4"/>
  <c r="N113"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59"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1196" i="4"/>
  <c r="N1197" i="4"/>
  <c r="N1198" i="4"/>
  <c r="N1199" i="4"/>
  <c r="N1200" i="4"/>
  <c r="N1201" i="4"/>
  <c r="N1202" i="4"/>
  <c r="N1203" i="4"/>
  <c r="N33" i="4"/>
  <c r="N60" i="4"/>
  <c r="N1204" i="4"/>
  <c r="N1205" i="4"/>
  <c r="N1206" i="4"/>
  <c r="N1207" i="4"/>
  <c r="N1208" i="4"/>
  <c r="N1209" i="4"/>
  <c r="N1210" i="4"/>
  <c r="N1211" i="4"/>
  <c r="N1212" i="4"/>
  <c r="N1213" i="4"/>
  <c r="N1214" i="4"/>
  <c r="N1215" i="4"/>
  <c r="N1216" i="4"/>
  <c r="N1217" i="4"/>
  <c r="N1218" i="4"/>
  <c r="N1219" i="4"/>
  <c r="N1220" i="4"/>
  <c r="N1221" i="4"/>
  <c r="N1222" i="4"/>
  <c r="N1223" i="4"/>
  <c r="N1224" i="4"/>
  <c r="N1225" i="4"/>
  <c r="N1226" i="4"/>
  <c r="N1227" i="4"/>
  <c r="N1228" i="4"/>
  <c r="N1229" i="4"/>
  <c r="N79" i="4"/>
  <c r="N1230" i="4"/>
  <c r="N1231" i="4"/>
  <c r="N1232" i="4"/>
  <c r="N1233" i="4"/>
  <c r="N1234" i="4"/>
  <c r="N134" i="4"/>
  <c r="N1235" i="4"/>
  <c r="N1236" i="4"/>
  <c r="N1237" i="4"/>
  <c r="N1238" i="4"/>
  <c r="N1239" i="4"/>
  <c r="N1240" i="4"/>
  <c r="N1241" i="4"/>
  <c r="N1242" i="4"/>
  <c r="N1243" i="4"/>
  <c r="N1244" i="4"/>
  <c r="N1245" i="4"/>
  <c r="N1246" i="4"/>
  <c r="N1247" i="4"/>
  <c r="N1248" i="4"/>
  <c r="N1249" i="4"/>
  <c r="N1250" i="4"/>
  <c r="N1251" i="4"/>
  <c r="N1252" i="4"/>
  <c r="N1253" i="4"/>
  <c r="N1254" i="4"/>
  <c r="N1255" i="4"/>
  <c r="N128" i="4"/>
  <c r="N1256" i="4"/>
  <c r="N1257" i="4"/>
  <c r="N1258" i="4"/>
  <c r="N1259" i="4"/>
  <c r="N1260" i="4"/>
  <c r="N1261" i="4"/>
  <c r="N1262" i="4"/>
  <c r="N1263" i="4"/>
  <c r="N1264" i="4"/>
  <c r="N1265" i="4"/>
  <c r="N1266" i="4"/>
  <c r="N38" i="4"/>
  <c r="N1267" i="4"/>
  <c r="N1268" i="4"/>
  <c r="N26" i="4"/>
  <c r="N1269" i="4"/>
  <c r="N1270" i="4"/>
  <c r="N1271" i="4"/>
  <c r="N1272" i="4"/>
  <c r="N1273" i="4"/>
  <c r="N1274" i="4"/>
  <c r="N1275" i="4"/>
  <c r="N124" i="4"/>
  <c r="N73" i="4"/>
  <c r="N101" i="4"/>
  <c r="N111" i="4"/>
  <c r="N1276" i="4"/>
  <c r="N1277" i="4"/>
  <c r="N1278" i="4"/>
  <c r="N1279" i="4"/>
  <c r="N1280" i="4"/>
  <c r="N1281" i="4"/>
  <c r="N1282" i="4"/>
  <c r="N1283" i="4"/>
  <c r="N1284" i="4"/>
  <c r="N1285" i="4"/>
  <c r="N1286" i="4"/>
  <c r="N1287" i="4"/>
  <c r="N1288" i="4"/>
  <c r="N1289" i="4"/>
  <c r="N1290" i="4"/>
  <c r="N1291" i="4"/>
  <c r="N1292" i="4"/>
  <c r="N1293" i="4"/>
  <c r="N1294" i="4"/>
  <c r="N1295" i="4"/>
  <c r="N1296" i="4"/>
  <c r="N41" i="4"/>
  <c r="N1297" i="4"/>
  <c r="N1298" i="4"/>
  <c r="N1299" i="4"/>
  <c r="N1300" i="4"/>
  <c r="N1301" i="4"/>
  <c r="N1302" i="4"/>
  <c r="N1303" i="4"/>
  <c r="N1304" i="4"/>
  <c r="N27" i="4"/>
  <c r="N1305" i="4"/>
  <c r="N1306" i="4"/>
  <c r="N1307" i="4"/>
  <c r="N1308" i="4"/>
  <c r="N1309" i="4"/>
  <c r="N1310" i="4"/>
  <c r="N1311" i="4"/>
  <c r="N1312" i="4"/>
  <c r="N1313" i="4"/>
  <c r="N1314" i="4"/>
  <c r="N1315" i="4"/>
  <c r="N116" i="4"/>
  <c r="N1316" i="4"/>
  <c r="N1317" i="4"/>
  <c r="N1318" i="4"/>
  <c r="N1319" i="4"/>
  <c r="N1320" i="4"/>
  <c r="N1321" i="4"/>
  <c r="N1322" i="4"/>
  <c r="N1323" i="4"/>
  <c r="N1324" i="4"/>
  <c r="N30" i="4"/>
  <c r="N1325" i="4"/>
  <c r="N1326" i="4"/>
  <c r="N1327" i="4"/>
  <c r="N1328" i="4"/>
  <c r="N1329" i="4"/>
  <c r="N1330" i="4"/>
  <c r="N1331" i="4"/>
  <c r="N1332" i="4"/>
  <c r="N1333" i="4"/>
  <c r="N1334" i="4"/>
  <c r="N1335" i="4"/>
  <c r="N1336" i="4"/>
  <c r="N1337" i="4"/>
  <c r="N1338" i="4"/>
  <c r="N1339" i="4"/>
  <c r="N1340" i="4"/>
  <c r="N1341" i="4"/>
  <c r="N1342" i="4"/>
  <c r="N1343" i="4"/>
  <c r="N1344" i="4"/>
  <c r="N61" i="4"/>
  <c r="N1345" i="4"/>
  <c r="N1346" i="4"/>
  <c r="N122" i="4"/>
  <c r="N1347" i="4"/>
  <c r="N1348" i="4"/>
  <c r="N1349" i="4"/>
  <c r="N1350" i="4"/>
  <c r="N1351" i="4"/>
  <c r="N1352" i="4"/>
  <c r="N1353" i="4"/>
  <c r="N1354" i="4"/>
  <c r="N1355" i="4"/>
  <c r="N1356" i="4"/>
  <c r="N1357" i="4"/>
  <c r="N1358" i="4"/>
  <c r="N1359" i="4"/>
  <c r="N104" i="4"/>
  <c r="N1360" i="4"/>
  <c r="N1361" i="4"/>
  <c r="N1362" i="4"/>
  <c r="N1363" i="4"/>
  <c r="N1364" i="4"/>
  <c r="N1365" i="4"/>
  <c r="N1366" i="4"/>
  <c r="N1367" i="4"/>
  <c r="N1368" i="4"/>
  <c r="N1369" i="4"/>
  <c r="N1370" i="4"/>
  <c r="N1371" i="4"/>
  <c r="N1372" i="4"/>
  <c r="N1373" i="4"/>
  <c r="N1374" i="4"/>
  <c r="N1375" i="4"/>
  <c r="N1376" i="4"/>
  <c r="N1377" i="4"/>
  <c r="N1378" i="4"/>
  <c r="N1379" i="4"/>
  <c r="N1380" i="4"/>
  <c r="N1381" i="4"/>
  <c r="N1382" i="4"/>
  <c r="N1383" i="4"/>
  <c r="N1384" i="4"/>
  <c r="N1385" i="4"/>
  <c r="N1386" i="4"/>
  <c r="N1387" i="4"/>
  <c r="N1388" i="4"/>
  <c r="N1389" i="4"/>
  <c r="N1390" i="4"/>
  <c r="N1391" i="4"/>
  <c r="N1392" i="4"/>
  <c r="N1393" i="4"/>
  <c r="N1394" i="4"/>
  <c r="N1395" i="4"/>
  <c r="N1396" i="4"/>
  <c r="N1397" i="4"/>
  <c r="N1398" i="4"/>
  <c r="N1399" i="4"/>
  <c r="N1400" i="4"/>
  <c r="N1401" i="4"/>
  <c r="N1402" i="4"/>
  <c r="N1403" i="4"/>
  <c r="N1404" i="4"/>
  <c r="N1405" i="4"/>
  <c r="N1406" i="4"/>
  <c r="N1407" i="4"/>
  <c r="N1408" i="4"/>
  <c r="N1409" i="4"/>
  <c r="N1410" i="4"/>
  <c r="N1411" i="4"/>
  <c r="N129" i="4"/>
  <c r="N1412" i="4"/>
  <c r="N1413" i="4"/>
  <c r="N1414" i="4"/>
  <c r="N1415" i="4"/>
  <c r="N1416" i="4"/>
  <c r="N10" i="4"/>
  <c r="N1417" i="4"/>
  <c r="N1418" i="4"/>
  <c r="N1419" i="4"/>
  <c r="N1420" i="4"/>
  <c r="N13" i="4"/>
  <c r="N1421" i="4"/>
  <c r="N1422" i="4"/>
  <c r="N132" i="4"/>
  <c r="N130" i="4"/>
  <c r="N1423" i="4"/>
  <c r="N1424" i="4"/>
  <c r="N94" i="4"/>
  <c r="N1425" i="4"/>
  <c r="N50" i="4"/>
  <c r="N1426" i="4"/>
  <c r="N15" i="4"/>
  <c r="N95" i="4"/>
  <c r="N1427" i="4"/>
  <c r="N1428" i="4"/>
  <c r="N1429" i="4"/>
  <c r="N67" i="4"/>
  <c r="N31" i="4"/>
  <c r="N1430" i="4"/>
  <c r="N1431" i="4"/>
  <c r="N1432" i="4"/>
  <c r="N62" i="4"/>
  <c r="N125" i="4"/>
  <c r="N127" i="4"/>
  <c r="N123" i="4"/>
  <c r="N1433" i="4"/>
  <c r="N121" i="4"/>
  <c r="N102" i="4"/>
  <c r="N20" i="4"/>
  <c r="N1434" i="4"/>
  <c r="N1435" i="4"/>
  <c r="N1436" i="4"/>
  <c r="N1437" i="4"/>
  <c r="N105" i="4"/>
  <c r="N1438" i="4"/>
  <c r="N1439" i="4"/>
  <c r="N1440" i="4"/>
  <c r="N1441" i="4"/>
  <c r="N1442" i="4"/>
  <c r="N1443" i="4"/>
  <c r="N1444" i="4"/>
  <c r="N1445" i="4"/>
  <c r="N1446" i="4"/>
  <c r="N1447" i="4"/>
  <c r="N11" i="4"/>
  <c r="N16" i="4"/>
  <c r="N68" i="4"/>
  <c r="N1448" i="4"/>
  <c r="N1449" i="4"/>
  <c r="N1450" i="4"/>
  <c r="N18" i="4"/>
  <c r="N12" i="4"/>
  <c r="N1451" i="4"/>
  <c r="N1452" i="4"/>
  <c r="N1453" i="4"/>
  <c r="N35" i="4"/>
  <c r="N1454" i="4"/>
  <c r="N133" i="4"/>
  <c r="N1455" i="4"/>
  <c r="N80" i="4"/>
  <c r="N1456" i="4"/>
  <c r="N1457" i="4"/>
  <c r="N1458" i="4"/>
  <c r="N1459" i="4"/>
  <c r="N108" i="4"/>
  <c r="N1460" i="4"/>
  <c r="N22" i="4"/>
  <c r="N1461" i="4"/>
  <c r="N1462" i="4"/>
  <c r="N1463" i="4"/>
  <c r="N115" i="4"/>
  <c r="N19" i="4"/>
  <c r="N74" i="4"/>
  <c r="N63" i="4"/>
  <c r="N24" i="4"/>
  <c r="N1464" i="4"/>
  <c r="N86" i="4"/>
  <c r="N39" i="4"/>
  <c r="N40" i="4"/>
  <c r="N131" i="4"/>
  <c r="N17" i="4"/>
  <c r="N54" i="4"/>
  <c r="N69" i="4"/>
  <c r="N135" i="4"/>
  <c r="N51" i="4"/>
  <c r="N114" i="4"/>
  <c r="N23" i="4"/>
  <c r="N112" i="4"/>
  <c r="N28" i="4"/>
  <c r="N1465" i="4"/>
  <c r="N36" i="4"/>
  <c r="N21" i="4"/>
  <c r="N25" i="4"/>
  <c r="N1466" i="4"/>
  <c r="N55" i="4"/>
  <c r="N89" i="4"/>
  <c r="N37" i="4"/>
  <c r="N1467" i="4"/>
  <c r="N1468" i="4"/>
  <c r="N1469" i="4"/>
  <c r="N119" i="4"/>
  <c r="N70" i="4"/>
  <c r="N71" i="4"/>
  <c r="N83" i="4"/>
  <c r="N77" i="4"/>
  <c r="N85" i="4"/>
  <c r="N52" i="4"/>
  <c r="N1470" i="4"/>
  <c r="N81" i="4"/>
  <c r="N98" i="4"/>
  <c r="N90" i="4"/>
  <c r="N34" i="4"/>
  <c r="N96" i="4"/>
  <c r="N56" i="4"/>
  <c r="N82" i="4"/>
  <c r="N99" i="4"/>
  <c r="N117" i="4"/>
  <c r="N64" i="4"/>
  <c r="N87" i="4"/>
  <c r="N45" i="4"/>
  <c r="N103" i="4"/>
  <c r="N1471" i="4"/>
  <c r="N42" i="4"/>
  <c r="N58" i="4"/>
  <c r="N1472" i="4"/>
  <c r="N57" i="4"/>
  <c r="N1473" i="4"/>
  <c r="N1474" i="4"/>
  <c r="N1475" i="4"/>
  <c r="N1476" i="4"/>
  <c r="N43" i="4"/>
  <c r="N44" i="4"/>
  <c r="N1477" i="4"/>
  <c r="N1478"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106"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75"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76" i="4"/>
  <c r="O266" i="4"/>
  <c r="O267" i="4"/>
  <c r="O268" i="4"/>
  <c r="O269" i="4"/>
  <c r="O270" i="4"/>
  <c r="O271" i="4"/>
  <c r="O272" i="4"/>
  <c r="O273" i="4"/>
  <c r="O274" i="4"/>
  <c r="O275" i="4"/>
  <c r="O276" i="4"/>
  <c r="O48" i="4"/>
  <c r="O277" i="4"/>
  <c r="O278" i="4"/>
  <c r="O279" i="4"/>
  <c r="O280" i="4"/>
  <c r="O281" i="4"/>
  <c r="O282" i="4"/>
  <c r="O283" i="4"/>
  <c r="O284" i="4"/>
  <c r="O285" i="4"/>
  <c r="O286" i="4"/>
  <c r="O287" i="4"/>
  <c r="O288" i="4"/>
  <c r="O289" i="4"/>
  <c r="O290" i="4"/>
  <c r="O291" i="4"/>
  <c r="O292" i="4"/>
  <c r="O293" i="4"/>
  <c r="O294" i="4"/>
  <c r="O295" i="4"/>
  <c r="O296" i="4"/>
  <c r="O120"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6"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100" i="4"/>
  <c r="O418" i="4"/>
  <c r="O419" i="4"/>
  <c r="O420" i="4"/>
  <c r="O421" i="4"/>
  <c r="O422" i="4"/>
  <c r="O423" i="4"/>
  <c r="O424" i="4"/>
  <c r="O425" i="4"/>
  <c r="O66"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84" i="4"/>
  <c r="O126" i="4"/>
  <c r="O88" i="4"/>
  <c r="O613" i="4"/>
  <c r="O614" i="4"/>
  <c r="O615" i="4"/>
  <c r="O616" i="4"/>
  <c r="O617" i="4"/>
  <c r="O618" i="4"/>
  <c r="O619" i="4"/>
  <c r="O620" i="4"/>
  <c r="O118" i="4"/>
  <c r="O621" i="4"/>
  <c r="O622" i="4"/>
  <c r="O9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93"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107"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109" i="4"/>
  <c r="O29"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46"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7"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110"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78" i="4"/>
  <c r="O1002" i="4"/>
  <c r="O1003" i="4"/>
  <c r="O1004" i="4"/>
  <c r="O1005" i="4"/>
  <c r="O1006" i="4"/>
  <c r="O1007" i="4"/>
  <c r="O1008" i="4"/>
  <c r="O1009" i="4"/>
  <c r="O1010" i="4"/>
  <c r="O65"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8" i="4"/>
  <c r="O1067" i="4"/>
  <c r="O72" i="4"/>
  <c r="O1068" i="4"/>
  <c r="O1069" i="4"/>
  <c r="O1070" i="4"/>
  <c r="O1071" i="4"/>
  <c r="O1072" i="4"/>
  <c r="O1073" i="4"/>
  <c r="O49" i="4"/>
  <c r="O1074" i="4"/>
  <c r="O1075" i="4"/>
  <c r="O1076" i="4"/>
  <c r="O1077" i="4"/>
  <c r="O91" i="4"/>
  <c r="O1078" i="4"/>
  <c r="O1079" i="4"/>
  <c r="O1080" i="4"/>
  <c r="O1081" i="4"/>
  <c r="O14" i="4"/>
  <c r="O53" i="4"/>
  <c r="O1082" i="4"/>
  <c r="O1083" i="4"/>
  <c r="O1084" i="4"/>
  <c r="O1085" i="4"/>
  <c r="O1086" i="4"/>
  <c r="O1087" i="4"/>
  <c r="O1088" i="4"/>
  <c r="O1089" i="4"/>
  <c r="O1090" i="4"/>
  <c r="O1091" i="4"/>
  <c r="O1092" i="4"/>
  <c r="O1093" i="4"/>
  <c r="O1094" i="4"/>
  <c r="O1095" i="4"/>
  <c r="O1096" i="4"/>
  <c r="O1097" i="4"/>
  <c r="O47" i="4"/>
  <c r="O1098" i="4"/>
  <c r="O1099" i="4"/>
  <c r="O1100" i="4"/>
  <c r="O1101" i="4"/>
  <c r="O1102" i="4"/>
  <c r="O1103" i="4"/>
  <c r="O1104" i="4"/>
  <c r="O9" i="4"/>
  <c r="O1105" i="4"/>
  <c r="O1106" i="4"/>
  <c r="O1107" i="4"/>
  <c r="O1108" i="4"/>
  <c r="O1109" i="4"/>
  <c r="O97" i="4"/>
  <c r="O1110" i="4"/>
  <c r="O1111" i="4"/>
  <c r="O1112" i="4"/>
  <c r="O1113" i="4"/>
  <c r="O1114" i="4"/>
  <c r="O1115" i="4"/>
  <c r="O1116" i="4"/>
  <c r="O1117" i="4"/>
  <c r="O1118" i="4"/>
  <c r="O1119" i="4"/>
  <c r="O1120" i="4"/>
  <c r="O1121" i="4"/>
  <c r="O1122" i="4"/>
  <c r="O1123" i="4"/>
  <c r="O32" i="4"/>
  <c r="O1124" i="4"/>
  <c r="O1125" i="4"/>
  <c r="O1126" i="4"/>
  <c r="O1127" i="4"/>
  <c r="O1128" i="4"/>
  <c r="O1129" i="4"/>
  <c r="O1130" i="4"/>
  <c r="O1131" i="4"/>
  <c r="O1132" i="4"/>
  <c r="O1133" i="4"/>
  <c r="O1134" i="4"/>
  <c r="O1135" i="4"/>
  <c r="O1136" i="4"/>
  <c r="O1137" i="4"/>
  <c r="O113"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59"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33" i="4"/>
  <c r="O60" i="4"/>
  <c r="O1204" i="4"/>
  <c r="O1205" i="4"/>
  <c r="O1206" i="4"/>
  <c r="O1207" i="4"/>
  <c r="O1208" i="4"/>
  <c r="O1209" i="4"/>
  <c r="O1210" i="4"/>
  <c r="O1211" i="4"/>
  <c r="O1212" i="4"/>
  <c r="O1213" i="4"/>
  <c r="O1214" i="4"/>
  <c r="O1215" i="4"/>
  <c r="O1216" i="4"/>
  <c r="O1217" i="4"/>
  <c r="O1218" i="4"/>
  <c r="O1219" i="4"/>
  <c r="O1220" i="4"/>
  <c r="O1221" i="4"/>
  <c r="O1222" i="4"/>
  <c r="O1223" i="4"/>
  <c r="O1224" i="4"/>
  <c r="O1225" i="4"/>
  <c r="O1226" i="4"/>
  <c r="O1227" i="4"/>
  <c r="O1228" i="4"/>
  <c r="O1229" i="4"/>
  <c r="O79" i="4"/>
  <c r="O1230" i="4"/>
  <c r="O1231" i="4"/>
  <c r="O1232" i="4"/>
  <c r="O1233" i="4"/>
  <c r="O1234" i="4"/>
  <c r="O134" i="4"/>
  <c r="O1235" i="4"/>
  <c r="O1236" i="4"/>
  <c r="O1237" i="4"/>
  <c r="O1238" i="4"/>
  <c r="O1239" i="4"/>
  <c r="O1240" i="4"/>
  <c r="O1241" i="4"/>
  <c r="O1242" i="4"/>
  <c r="O1243" i="4"/>
  <c r="O1244" i="4"/>
  <c r="O1245" i="4"/>
  <c r="O1246" i="4"/>
  <c r="O1247" i="4"/>
  <c r="O1248" i="4"/>
  <c r="O1249" i="4"/>
  <c r="O1250" i="4"/>
  <c r="O1251" i="4"/>
  <c r="O1252" i="4"/>
  <c r="O1253" i="4"/>
  <c r="O1254" i="4"/>
  <c r="O1255" i="4"/>
  <c r="O128" i="4"/>
  <c r="O1256" i="4"/>
  <c r="O1257" i="4"/>
  <c r="O1258" i="4"/>
  <c r="O1259" i="4"/>
  <c r="O1260" i="4"/>
  <c r="O1261" i="4"/>
  <c r="O1262" i="4"/>
  <c r="O1263" i="4"/>
  <c r="O1264" i="4"/>
  <c r="O1265" i="4"/>
  <c r="O1266" i="4"/>
  <c r="O38" i="4"/>
  <c r="O1267" i="4"/>
  <c r="O1268" i="4"/>
  <c r="O26" i="4"/>
  <c r="O1269" i="4"/>
  <c r="O1270" i="4"/>
  <c r="O1271" i="4"/>
  <c r="O1272" i="4"/>
  <c r="O1273" i="4"/>
  <c r="O1274" i="4"/>
  <c r="O1275" i="4"/>
  <c r="O124" i="4"/>
  <c r="O73" i="4"/>
  <c r="O101" i="4"/>
  <c r="O111" i="4"/>
  <c r="O1276" i="4"/>
  <c r="O1277" i="4"/>
  <c r="O1278" i="4"/>
  <c r="O1279" i="4"/>
  <c r="O1280" i="4"/>
  <c r="O1281" i="4"/>
  <c r="O1282" i="4"/>
  <c r="O1283" i="4"/>
  <c r="O1284" i="4"/>
  <c r="O1285" i="4"/>
  <c r="O1286" i="4"/>
  <c r="O1287" i="4"/>
  <c r="O1288" i="4"/>
  <c r="O1289" i="4"/>
  <c r="O1290" i="4"/>
  <c r="O1291" i="4"/>
  <c r="O1292" i="4"/>
  <c r="O1293" i="4"/>
  <c r="O1294" i="4"/>
  <c r="O1295" i="4"/>
  <c r="O1296" i="4"/>
  <c r="O41" i="4"/>
  <c r="O1297" i="4"/>
  <c r="O1298" i="4"/>
  <c r="O1299" i="4"/>
  <c r="O1300" i="4"/>
  <c r="O1301" i="4"/>
  <c r="O1302" i="4"/>
  <c r="O1303" i="4"/>
  <c r="O1304" i="4"/>
  <c r="O27" i="4"/>
  <c r="O1305" i="4"/>
  <c r="O1306" i="4"/>
  <c r="O1307" i="4"/>
  <c r="O1308" i="4"/>
  <c r="O1309" i="4"/>
  <c r="O1310" i="4"/>
  <c r="O1311" i="4"/>
  <c r="O1312" i="4"/>
  <c r="O1313" i="4"/>
  <c r="O1314" i="4"/>
  <c r="O1315" i="4"/>
  <c r="O116" i="4"/>
  <c r="O1316" i="4"/>
  <c r="O1317" i="4"/>
  <c r="O1318" i="4"/>
  <c r="O1319" i="4"/>
  <c r="O1320" i="4"/>
  <c r="O1321" i="4"/>
  <c r="O1322" i="4"/>
  <c r="O1323" i="4"/>
  <c r="O1324" i="4"/>
  <c r="O30" i="4"/>
  <c r="O1325" i="4"/>
  <c r="O1326" i="4"/>
  <c r="O1327" i="4"/>
  <c r="O1328" i="4"/>
  <c r="O1329" i="4"/>
  <c r="O1330" i="4"/>
  <c r="O1331" i="4"/>
  <c r="O1332" i="4"/>
  <c r="O1333" i="4"/>
  <c r="O1334" i="4"/>
  <c r="O1335" i="4"/>
  <c r="O1336" i="4"/>
  <c r="O1337" i="4"/>
  <c r="O1338" i="4"/>
  <c r="O1339" i="4"/>
  <c r="O1340" i="4"/>
  <c r="O1341" i="4"/>
  <c r="O1342" i="4"/>
  <c r="O1343" i="4"/>
  <c r="O1344" i="4"/>
  <c r="O61" i="4"/>
  <c r="O1345" i="4"/>
  <c r="O1346" i="4"/>
  <c r="O122" i="4"/>
  <c r="O1347" i="4"/>
  <c r="O1348" i="4"/>
  <c r="O1349" i="4"/>
  <c r="O1350" i="4"/>
  <c r="O1351" i="4"/>
  <c r="O1352" i="4"/>
  <c r="O1353" i="4"/>
  <c r="O1354" i="4"/>
  <c r="O1355" i="4"/>
  <c r="O1356" i="4"/>
  <c r="O1357" i="4"/>
  <c r="O1358" i="4"/>
  <c r="O1359" i="4"/>
  <c r="O104"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29" i="4"/>
  <c r="O1412" i="4"/>
  <c r="O1413" i="4"/>
  <c r="O1414" i="4"/>
  <c r="O1415" i="4"/>
  <c r="O1416" i="4"/>
  <c r="O10" i="4"/>
  <c r="O1417" i="4"/>
  <c r="O1418" i="4"/>
  <c r="O1419" i="4"/>
  <c r="O1420" i="4"/>
  <c r="O13" i="4"/>
  <c r="O1421" i="4"/>
  <c r="O1422" i="4"/>
  <c r="O132" i="4"/>
  <c r="O130" i="4"/>
  <c r="O1423" i="4"/>
  <c r="O1424" i="4"/>
  <c r="O94" i="4"/>
  <c r="O1425" i="4"/>
  <c r="O50" i="4"/>
  <c r="O1426" i="4"/>
  <c r="O15" i="4"/>
  <c r="O95" i="4"/>
  <c r="O1427" i="4"/>
  <c r="O1428" i="4"/>
  <c r="O1429" i="4"/>
  <c r="O67" i="4"/>
  <c r="O31" i="4"/>
  <c r="O1430" i="4"/>
  <c r="O1431" i="4"/>
  <c r="O1432" i="4"/>
  <c r="O62" i="4"/>
  <c r="O125" i="4"/>
  <c r="O127" i="4"/>
  <c r="O123" i="4"/>
  <c r="O1433" i="4"/>
  <c r="O121" i="4"/>
  <c r="O102" i="4"/>
  <c r="O20" i="4"/>
  <c r="O1434" i="4"/>
  <c r="O1435" i="4"/>
  <c r="O1436" i="4"/>
  <c r="O1437" i="4"/>
  <c r="O105" i="4"/>
  <c r="O1438" i="4"/>
  <c r="O1439" i="4"/>
  <c r="O1440" i="4"/>
  <c r="O1441" i="4"/>
  <c r="O1442" i="4"/>
  <c r="O1443" i="4"/>
  <c r="O1444" i="4"/>
  <c r="O1445" i="4"/>
  <c r="O1446" i="4"/>
  <c r="O1447" i="4"/>
  <c r="O11" i="4"/>
  <c r="O16" i="4"/>
  <c r="O68" i="4"/>
  <c r="O1448" i="4"/>
  <c r="O1449" i="4"/>
  <c r="O1450" i="4"/>
  <c r="O18" i="4"/>
  <c r="O12" i="4"/>
  <c r="O1451" i="4"/>
  <c r="O1452" i="4"/>
  <c r="O1453" i="4"/>
  <c r="O35" i="4"/>
  <c r="O1454" i="4"/>
  <c r="O133" i="4"/>
  <c r="O1455" i="4"/>
  <c r="O80" i="4"/>
  <c r="O1456" i="4"/>
  <c r="O1457" i="4"/>
  <c r="O1458" i="4"/>
  <c r="O1459" i="4"/>
  <c r="O108" i="4"/>
  <c r="O1460" i="4"/>
  <c r="O22" i="4"/>
  <c r="O1461" i="4"/>
  <c r="O1462" i="4"/>
  <c r="O1463" i="4"/>
  <c r="O115" i="4"/>
  <c r="O19" i="4"/>
  <c r="O74" i="4"/>
  <c r="O63" i="4"/>
  <c r="O24" i="4"/>
  <c r="O1464" i="4"/>
  <c r="O86" i="4"/>
  <c r="O39" i="4"/>
  <c r="O40" i="4"/>
  <c r="O131" i="4"/>
  <c r="O17" i="4"/>
  <c r="O54" i="4"/>
  <c r="O69" i="4"/>
  <c r="O135" i="4"/>
  <c r="O51" i="4"/>
  <c r="O114" i="4"/>
  <c r="O23" i="4"/>
  <c r="O112" i="4"/>
  <c r="O28" i="4"/>
  <c r="O1465" i="4"/>
  <c r="O36" i="4"/>
  <c r="O21" i="4"/>
  <c r="O25" i="4"/>
  <c r="O1466" i="4"/>
  <c r="O55" i="4"/>
  <c r="O89" i="4"/>
  <c r="O37" i="4"/>
  <c r="O1467" i="4"/>
  <c r="O1468" i="4"/>
  <c r="O1469" i="4"/>
  <c r="O119" i="4"/>
  <c r="O70" i="4"/>
  <c r="O71" i="4"/>
  <c r="O83" i="4"/>
  <c r="O77" i="4"/>
  <c r="O85" i="4"/>
  <c r="O52" i="4"/>
  <c r="O1470" i="4"/>
  <c r="O81" i="4"/>
  <c r="O98" i="4"/>
  <c r="O90" i="4"/>
  <c r="O34" i="4"/>
  <c r="O96" i="4"/>
  <c r="O56" i="4"/>
  <c r="O82" i="4"/>
  <c r="O99" i="4"/>
  <c r="O117" i="4"/>
  <c r="O64" i="4"/>
  <c r="O87" i="4"/>
  <c r="O45" i="4"/>
  <c r="O103" i="4"/>
  <c r="O1471" i="4"/>
  <c r="O42" i="4"/>
  <c r="O58" i="4"/>
  <c r="O1472" i="4"/>
  <c r="O57" i="4"/>
  <c r="O1473" i="4"/>
  <c r="O1474" i="4"/>
  <c r="O1475" i="4"/>
  <c r="O1476" i="4"/>
  <c r="O43" i="4"/>
  <c r="O44" i="4"/>
  <c r="O1477" i="4"/>
  <c r="O1478"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106"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75"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76" i="4"/>
  <c r="P266" i="4"/>
  <c r="P267" i="4"/>
  <c r="P268" i="4"/>
  <c r="P269" i="4"/>
  <c r="P270" i="4"/>
  <c r="P271" i="4"/>
  <c r="P272" i="4"/>
  <c r="P273" i="4"/>
  <c r="P274" i="4"/>
  <c r="P275" i="4"/>
  <c r="P276" i="4"/>
  <c r="P48" i="4"/>
  <c r="P277" i="4"/>
  <c r="P278" i="4"/>
  <c r="P279" i="4"/>
  <c r="P280" i="4"/>
  <c r="P281" i="4"/>
  <c r="P282" i="4"/>
  <c r="P283" i="4"/>
  <c r="P284" i="4"/>
  <c r="P285" i="4"/>
  <c r="P286" i="4"/>
  <c r="P287" i="4"/>
  <c r="P288" i="4"/>
  <c r="P289" i="4"/>
  <c r="P290" i="4"/>
  <c r="P291" i="4"/>
  <c r="P292" i="4"/>
  <c r="P293" i="4"/>
  <c r="P294" i="4"/>
  <c r="P295" i="4"/>
  <c r="P296" i="4"/>
  <c r="P120"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6"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100" i="4"/>
  <c r="P418" i="4"/>
  <c r="P419" i="4"/>
  <c r="P420" i="4"/>
  <c r="P421" i="4"/>
  <c r="P422" i="4"/>
  <c r="P423" i="4"/>
  <c r="P424" i="4"/>
  <c r="P425" i="4"/>
  <c r="P66"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84" i="4"/>
  <c r="P126" i="4"/>
  <c r="P88" i="4"/>
  <c r="P613" i="4"/>
  <c r="P614" i="4"/>
  <c r="P615" i="4"/>
  <c r="P616" i="4"/>
  <c r="P617" i="4"/>
  <c r="P618" i="4"/>
  <c r="P619" i="4"/>
  <c r="P620" i="4"/>
  <c r="P118" i="4"/>
  <c r="P621" i="4"/>
  <c r="P622" i="4"/>
  <c r="P9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93"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107"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109" i="4"/>
  <c r="P29"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46"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7"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110"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78" i="4"/>
  <c r="P1002" i="4"/>
  <c r="P1003" i="4"/>
  <c r="P1004" i="4"/>
  <c r="P1005" i="4"/>
  <c r="P1006" i="4"/>
  <c r="P1007" i="4"/>
  <c r="P1008" i="4"/>
  <c r="P1009" i="4"/>
  <c r="P1010" i="4"/>
  <c r="P65"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8" i="4"/>
  <c r="P1067" i="4"/>
  <c r="P72" i="4"/>
  <c r="P1068" i="4"/>
  <c r="P1069" i="4"/>
  <c r="P1070" i="4"/>
  <c r="P1071" i="4"/>
  <c r="P1072" i="4"/>
  <c r="P1073" i="4"/>
  <c r="P49" i="4"/>
  <c r="P1074" i="4"/>
  <c r="P1075" i="4"/>
  <c r="P1076" i="4"/>
  <c r="P1077" i="4"/>
  <c r="P91" i="4"/>
  <c r="P1078" i="4"/>
  <c r="P1079" i="4"/>
  <c r="P1080" i="4"/>
  <c r="P1081" i="4"/>
  <c r="P14" i="4"/>
  <c r="P53" i="4"/>
  <c r="P1082" i="4"/>
  <c r="P1083" i="4"/>
  <c r="P1084" i="4"/>
  <c r="P1085" i="4"/>
  <c r="P1086" i="4"/>
  <c r="P1087" i="4"/>
  <c r="P1088" i="4"/>
  <c r="P1089" i="4"/>
  <c r="P1090" i="4"/>
  <c r="P1091" i="4"/>
  <c r="P1092" i="4"/>
  <c r="P1093" i="4"/>
  <c r="P1094" i="4"/>
  <c r="P1095" i="4"/>
  <c r="P1096" i="4"/>
  <c r="P1097" i="4"/>
  <c r="P47" i="4"/>
  <c r="P1098" i="4"/>
  <c r="P1099" i="4"/>
  <c r="P1100" i="4"/>
  <c r="P1101" i="4"/>
  <c r="P1102" i="4"/>
  <c r="P1103" i="4"/>
  <c r="P1104" i="4"/>
  <c r="P9" i="4"/>
  <c r="P1105" i="4"/>
  <c r="P1106" i="4"/>
  <c r="P1107" i="4"/>
  <c r="P1108" i="4"/>
  <c r="P1109" i="4"/>
  <c r="P97" i="4"/>
  <c r="P1110" i="4"/>
  <c r="P1111" i="4"/>
  <c r="P1112" i="4"/>
  <c r="P1113" i="4"/>
  <c r="P1114" i="4"/>
  <c r="P1115" i="4"/>
  <c r="P1116" i="4"/>
  <c r="P1117" i="4"/>
  <c r="P1118" i="4"/>
  <c r="P1119" i="4"/>
  <c r="P1120" i="4"/>
  <c r="P1121" i="4"/>
  <c r="P1122" i="4"/>
  <c r="P1123" i="4"/>
  <c r="P32" i="4"/>
  <c r="P1124" i="4"/>
  <c r="P1125" i="4"/>
  <c r="P1126" i="4"/>
  <c r="P1127" i="4"/>
  <c r="P1128" i="4"/>
  <c r="P1129" i="4"/>
  <c r="P1130" i="4"/>
  <c r="P1131" i="4"/>
  <c r="P1132" i="4"/>
  <c r="P1133" i="4"/>
  <c r="P1134" i="4"/>
  <c r="P1135" i="4"/>
  <c r="P1136" i="4"/>
  <c r="P1137" i="4"/>
  <c r="P113"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59"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1196" i="4"/>
  <c r="P1197" i="4"/>
  <c r="P1198" i="4"/>
  <c r="P1199" i="4"/>
  <c r="P1200" i="4"/>
  <c r="P1201" i="4"/>
  <c r="P1202" i="4"/>
  <c r="P1203" i="4"/>
  <c r="P33" i="4"/>
  <c r="P60" i="4"/>
  <c r="P1204" i="4"/>
  <c r="P1205" i="4"/>
  <c r="P1206" i="4"/>
  <c r="P1207" i="4"/>
  <c r="P1208" i="4"/>
  <c r="P1209" i="4"/>
  <c r="P1210" i="4"/>
  <c r="P1211" i="4"/>
  <c r="P1212" i="4"/>
  <c r="P1213" i="4"/>
  <c r="P1214" i="4"/>
  <c r="P1215" i="4"/>
  <c r="P1216" i="4"/>
  <c r="P1217" i="4"/>
  <c r="P1218" i="4"/>
  <c r="P1219" i="4"/>
  <c r="P1220" i="4"/>
  <c r="P1221" i="4"/>
  <c r="P1222" i="4"/>
  <c r="P1223" i="4"/>
  <c r="P1224" i="4"/>
  <c r="P1225" i="4"/>
  <c r="P1226" i="4"/>
  <c r="P1227" i="4"/>
  <c r="P1228" i="4"/>
  <c r="P1229" i="4"/>
  <c r="P79" i="4"/>
  <c r="P1230" i="4"/>
  <c r="P1231" i="4"/>
  <c r="P1232" i="4"/>
  <c r="P1233" i="4"/>
  <c r="P1234" i="4"/>
  <c r="P134" i="4"/>
  <c r="P1235" i="4"/>
  <c r="P1236" i="4"/>
  <c r="P1237" i="4"/>
  <c r="P1238" i="4"/>
  <c r="P1239" i="4"/>
  <c r="P1240" i="4"/>
  <c r="P1241" i="4"/>
  <c r="P1242" i="4"/>
  <c r="P1243" i="4"/>
  <c r="P1244" i="4"/>
  <c r="P1245" i="4"/>
  <c r="P1246" i="4"/>
  <c r="P1247" i="4"/>
  <c r="P1248" i="4"/>
  <c r="P1249" i="4"/>
  <c r="P1250" i="4"/>
  <c r="P1251" i="4"/>
  <c r="P1252" i="4"/>
  <c r="P1253" i="4"/>
  <c r="P1254" i="4"/>
  <c r="P1255" i="4"/>
  <c r="P128" i="4"/>
  <c r="P1256" i="4"/>
  <c r="P1257" i="4"/>
  <c r="P1258" i="4"/>
  <c r="P1259" i="4"/>
  <c r="P1260" i="4"/>
  <c r="P1261" i="4"/>
  <c r="P1262" i="4"/>
  <c r="P1263" i="4"/>
  <c r="P1264" i="4"/>
  <c r="P1265" i="4"/>
  <c r="P1266" i="4"/>
  <c r="P38" i="4"/>
  <c r="P1267" i="4"/>
  <c r="P1268" i="4"/>
  <c r="P26" i="4"/>
  <c r="P1269" i="4"/>
  <c r="P1270" i="4"/>
  <c r="P1271" i="4"/>
  <c r="P1272" i="4"/>
  <c r="P1273" i="4"/>
  <c r="P1274" i="4"/>
  <c r="P1275" i="4"/>
  <c r="P124" i="4"/>
  <c r="P73" i="4"/>
  <c r="P101" i="4"/>
  <c r="P111" i="4"/>
  <c r="P1276" i="4"/>
  <c r="P1277" i="4"/>
  <c r="P1278" i="4"/>
  <c r="P1279" i="4"/>
  <c r="P1280" i="4"/>
  <c r="P1281" i="4"/>
  <c r="P1282" i="4"/>
  <c r="P1283" i="4"/>
  <c r="P1284" i="4"/>
  <c r="P1285" i="4"/>
  <c r="P1286" i="4"/>
  <c r="P1287" i="4"/>
  <c r="P1288" i="4"/>
  <c r="P1289" i="4"/>
  <c r="P1290" i="4"/>
  <c r="P1291" i="4"/>
  <c r="P1292" i="4"/>
  <c r="P1293" i="4"/>
  <c r="P1294" i="4"/>
  <c r="P1295" i="4"/>
  <c r="P1296" i="4"/>
  <c r="P41" i="4"/>
  <c r="P1297" i="4"/>
  <c r="P1298" i="4"/>
  <c r="P1299" i="4"/>
  <c r="P1300" i="4"/>
  <c r="P1301" i="4"/>
  <c r="P1302" i="4"/>
  <c r="P1303" i="4"/>
  <c r="P1304" i="4"/>
  <c r="P27" i="4"/>
  <c r="P1305" i="4"/>
  <c r="P1306" i="4"/>
  <c r="P1307" i="4"/>
  <c r="P1308" i="4"/>
  <c r="P1309" i="4"/>
  <c r="P1310" i="4"/>
  <c r="P1311" i="4"/>
  <c r="P1312" i="4"/>
  <c r="P1313" i="4"/>
  <c r="P1314" i="4"/>
  <c r="P1315" i="4"/>
  <c r="P116" i="4"/>
  <c r="P1316" i="4"/>
  <c r="P1317" i="4"/>
  <c r="P1318" i="4"/>
  <c r="P1319" i="4"/>
  <c r="P1320" i="4"/>
  <c r="P1321" i="4"/>
  <c r="P1322" i="4"/>
  <c r="P1323" i="4"/>
  <c r="P1324" i="4"/>
  <c r="P30" i="4"/>
  <c r="P1325" i="4"/>
  <c r="P1326" i="4"/>
  <c r="P1327" i="4"/>
  <c r="P1328" i="4"/>
  <c r="P1329" i="4"/>
  <c r="P1330" i="4"/>
  <c r="P1331" i="4"/>
  <c r="P1332" i="4"/>
  <c r="P1333" i="4"/>
  <c r="P1334" i="4"/>
  <c r="P1335" i="4"/>
  <c r="P1336" i="4"/>
  <c r="P1337" i="4"/>
  <c r="P1338" i="4"/>
  <c r="P1339" i="4"/>
  <c r="P1340" i="4"/>
  <c r="P1341" i="4"/>
  <c r="P1342" i="4"/>
  <c r="P1343" i="4"/>
  <c r="P1344" i="4"/>
  <c r="P61" i="4"/>
  <c r="P1345" i="4"/>
  <c r="P1346" i="4"/>
  <c r="P122" i="4"/>
  <c r="P1347" i="4"/>
  <c r="P1348" i="4"/>
  <c r="P1349" i="4"/>
  <c r="P1350" i="4"/>
  <c r="P1351" i="4"/>
  <c r="P1352" i="4"/>
  <c r="P1353" i="4"/>
  <c r="P1354" i="4"/>
  <c r="P1355" i="4"/>
  <c r="P1356" i="4"/>
  <c r="P1357" i="4"/>
  <c r="P1358" i="4"/>
  <c r="P1359" i="4"/>
  <c r="P104" i="4"/>
  <c r="P1360" i="4"/>
  <c r="P1361" i="4"/>
  <c r="P1362" i="4"/>
  <c r="P1363" i="4"/>
  <c r="P1364" i="4"/>
  <c r="P1365" i="4"/>
  <c r="P1366" i="4"/>
  <c r="P1367" i="4"/>
  <c r="P1368" i="4"/>
  <c r="P1369" i="4"/>
  <c r="P1370" i="4"/>
  <c r="P1371" i="4"/>
  <c r="P1372" i="4"/>
  <c r="P1373" i="4"/>
  <c r="P1374" i="4"/>
  <c r="P1375"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403" i="4"/>
  <c r="P1404" i="4"/>
  <c r="P1405" i="4"/>
  <c r="P1406" i="4"/>
  <c r="P1407" i="4"/>
  <c r="P1408" i="4"/>
  <c r="P1409" i="4"/>
  <c r="P1410" i="4"/>
  <c r="P1411" i="4"/>
  <c r="P129" i="4"/>
  <c r="P1412" i="4"/>
  <c r="P1413" i="4"/>
  <c r="P1414" i="4"/>
  <c r="P1415" i="4"/>
  <c r="P1416" i="4"/>
  <c r="P10" i="4"/>
  <c r="P1417" i="4"/>
  <c r="P1418" i="4"/>
  <c r="P1419" i="4"/>
  <c r="P1420" i="4"/>
  <c r="P13" i="4"/>
  <c r="P1421" i="4"/>
  <c r="P1422" i="4"/>
  <c r="P132" i="4"/>
  <c r="P130" i="4"/>
  <c r="P1423" i="4"/>
  <c r="P1424" i="4"/>
  <c r="P94" i="4"/>
  <c r="P1425" i="4"/>
  <c r="P50" i="4"/>
  <c r="P1426" i="4"/>
  <c r="P15" i="4"/>
  <c r="P95" i="4"/>
  <c r="P1427" i="4"/>
  <c r="P1428" i="4"/>
  <c r="P1429" i="4"/>
  <c r="P67" i="4"/>
  <c r="P31" i="4"/>
  <c r="P1430" i="4"/>
  <c r="P1431" i="4"/>
  <c r="P1432" i="4"/>
  <c r="P62" i="4"/>
  <c r="P125" i="4"/>
  <c r="P127" i="4"/>
  <c r="P123" i="4"/>
  <c r="P1433" i="4"/>
  <c r="P121" i="4"/>
  <c r="P102" i="4"/>
  <c r="P20" i="4"/>
  <c r="P1434" i="4"/>
  <c r="P1435" i="4"/>
  <c r="P1436" i="4"/>
  <c r="P1437" i="4"/>
  <c r="P105" i="4"/>
  <c r="P1438" i="4"/>
  <c r="P1439" i="4"/>
  <c r="P1440" i="4"/>
  <c r="P1441" i="4"/>
  <c r="P1442" i="4"/>
  <c r="P1443" i="4"/>
  <c r="P1444" i="4"/>
  <c r="P1445" i="4"/>
  <c r="P1446" i="4"/>
  <c r="P1447" i="4"/>
  <c r="P11" i="4"/>
  <c r="P16" i="4"/>
  <c r="P68" i="4"/>
  <c r="P1448" i="4"/>
  <c r="P1449" i="4"/>
  <c r="P1450" i="4"/>
  <c r="P18" i="4"/>
  <c r="P12" i="4"/>
  <c r="P1451" i="4"/>
  <c r="P1452" i="4"/>
  <c r="P1453" i="4"/>
  <c r="P35" i="4"/>
  <c r="P1454" i="4"/>
  <c r="P133" i="4"/>
  <c r="P1455" i="4"/>
  <c r="P80" i="4"/>
  <c r="P1456" i="4"/>
  <c r="P1457" i="4"/>
  <c r="P1458" i="4"/>
  <c r="P1459" i="4"/>
  <c r="P108" i="4"/>
  <c r="P1460" i="4"/>
  <c r="P22" i="4"/>
  <c r="P1461" i="4"/>
  <c r="P1462" i="4"/>
  <c r="P1463" i="4"/>
  <c r="P115" i="4"/>
  <c r="P19" i="4"/>
  <c r="P74" i="4"/>
  <c r="P63" i="4"/>
  <c r="P24" i="4"/>
  <c r="P1464" i="4"/>
  <c r="P86" i="4"/>
  <c r="P39" i="4"/>
  <c r="P40" i="4"/>
  <c r="P131" i="4"/>
  <c r="P17" i="4"/>
  <c r="P54" i="4"/>
  <c r="P69" i="4"/>
  <c r="P135" i="4"/>
  <c r="P51" i="4"/>
  <c r="P114" i="4"/>
  <c r="P23" i="4"/>
  <c r="P112" i="4"/>
  <c r="P28" i="4"/>
  <c r="P1465" i="4"/>
  <c r="P36" i="4"/>
  <c r="P21" i="4"/>
  <c r="P25" i="4"/>
  <c r="P1466" i="4"/>
  <c r="P55" i="4"/>
  <c r="P89" i="4"/>
  <c r="P37" i="4"/>
  <c r="P1467" i="4"/>
  <c r="P1468" i="4"/>
  <c r="P1469" i="4"/>
  <c r="P119" i="4"/>
  <c r="P70" i="4"/>
  <c r="P71" i="4"/>
  <c r="P83" i="4"/>
  <c r="P77" i="4"/>
  <c r="P85" i="4"/>
  <c r="P52" i="4"/>
  <c r="P1470" i="4"/>
  <c r="P81" i="4"/>
  <c r="P98" i="4"/>
  <c r="P90" i="4"/>
  <c r="P34" i="4"/>
  <c r="P96" i="4"/>
  <c r="P56" i="4"/>
  <c r="P82" i="4"/>
  <c r="P99" i="4"/>
  <c r="P117" i="4"/>
  <c r="P64" i="4"/>
  <c r="P87" i="4"/>
  <c r="P45" i="4"/>
  <c r="P103" i="4"/>
  <c r="P1471" i="4"/>
  <c r="P42" i="4"/>
  <c r="P58" i="4"/>
  <c r="P1472" i="4"/>
  <c r="P57" i="4"/>
  <c r="P1473" i="4"/>
  <c r="P1474" i="4"/>
  <c r="P1475" i="4"/>
  <c r="P1476" i="4"/>
  <c r="P43" i="4"/>
  <c r="P44" i="4"/>
  <c r="P1477" i="4"/>
  <c r="P1478" i="4"/>
  <c r="A136" i="4"/>
  <c r="A140" i="4"/>
  <c r="A144" i="4"/>
  <c r="A148" i="4"/>
  <c r="A152" i="4"/>
  <c r="A156" i="4"/>
  <c r="A160" i="4"/>
  <c r="A164" i="4"/>
  <c r="A168" i="4"/>
  <c r="A172" i="4"/>
  <c r="A176" i="4"/>
  <c r="A180" i="4"/>
  <c r="A184" i="4"/>
  <c r="A188" i="4"/>
  <c r="A192" i="4"/>
  <c r="A196" i="4"/>
  <c r="A200" i="4"/>
  <c r="A204" i="4"/>
  <c r="A207" i="4"/>
  <c r="A211" i="4"/>
  <c r="A215" i="4"/>
  <c r="A219" i="4"/>
  <c r="A223" i="4"/>
  <c r="A227" i="4"/>
  <c r="A231" i="4"/>
  <c r="A235" i="4"/>
  <c r="A239" i="4"/>
  <c r="A242" i="4"/>
  <c r="A246" i="4"/>
  <c r="A250" i="4"/>
  <c r="A254" i="4"/>
  <c r="A258" i="4"/>
  <c r="A262" i="4"/>
  <c r="A76" i="4"/>
  <c r="A269" i="4"/>
  <c r="A273" i="4"/>
  <c r="A48" i="4"/>
  <c r="A280" i="4"/>
  <c r="A284" i="4"/>
  <c r="A288" i="4"/>
  <c r="A292" i="4"/>
  <c r="A296" i="4"/>
  <c r="A299" i="4"/>
  <c r="A303" i="4"/>
  <c r="A307" i="4"/>
  <c r="A311" i="4"/>
  <c r="A315" i="4"/>
  <c r="A319" i="4"/>
  <c r="A323" i="4"/>
  <c r="A327" i="4"/>
  <c r="A330" i="4"/>
  <c r="A334" i="4"/>
  <c r="A338" i="4"/>
  <c r="A342" i="4"/>
  <c r="A346" i="4"/>
  <c r="A350" i="4"/>
  <c r="A354" i="4"/>
  <c r="A358" i="4"/>
  <c r="A362" i="4"/>
  <c r="A366" i="4"/>
  <c r="A370" i="4"/>
  <c r="A374" i="4"/>
  <c r="A378" i="4"/>
  <c r="A382" i="4"/>
  <c r="A386" i="4"/>
  <c r="A390" i="4"/>
  <c r="A394" i="4"/>
  <c r="A398" i="4"/>
  <c r="A402" i="4"/>
  <c r="A406" i="4"/>
  <c r="A410" i="4"/>
  <c r="A414" i="4"/>
  <c r="A100" i="4"/>
  <c r="A421" i="4"/>
  <c r="A425" i="4"/>
  <c r="A428" i="4"/>
  <c r="A432" i="4"/>
  <c r="A436" i="4"/>
  <c r="A440" i="4"/>
  <c r="A444" i="4"/>
  <c r="A448" i="4"/>
  <c r="A452" i="4"/>
  <c r="A137" i="4"/>
  <c r="A141" i="4"/>
  <c r="A145" i="4"/>
  <c r="A149" i="4"/>
  <c r="A153" i="4"/>
  <c r="A157" i="4"/>
  <c r="A161" i="4"/>
  <c r="A165" i="4"/>
  <c r="A169" i="4"/>
  <c r="A173" i="4"/>
  <c r="A177" i="4"/>
  <c r="A181" i="4"/>
  <c r="A185" i="4"/>
  <c r="A189" i="4"/>
  <c r="A193" i="4"/>
  <c r="A197" i="4"/>
  <c r="A201" i="4"/>
  <c r="A106" i="4"/>
  <c r="A208" i="4"/>
  <c r="A212" i="4"/>
  <c r="A216" i="4"/>
  <c r="A220" i="4"/>
  <c r="A224" i="4"/>
  <c r="A228" i="4"/>
  <c r="A232" i="4"/>
  <c r="A236" i="4"/>
  <c r="A75" i="4"/>
  <c r="A243" i="4"/>
  <c r="A247" i="4"/>
  <c r="A251" i="4"/>
  <c r="A255" i="4"/>
  <c r="A259" i="4"/>
  <c r="A263" i="4"/>
  <c r="A266" i="4"/>
  <c r="A270" i="4"/>
  <c r="A274" i="4"/>
  <c r="A277" i="4"/>
  <c r="A281" i="4"/>
  <c r="A285" i="4"/>
  <c r="A289" i="4"/>
  <c r="A293" i="4"/>
  <c r="A120" i="4"/>
  <c r="A300" i="4"/>
  <c r="A304" i="4"/>
  <c r="A308" i="4"/>
  <c r="A312" i="4"/>
  <c r="A316" i="4"/>
  <c r="A320" i="4"/>
  <c r="A324" i="4"/>
  <c r="A328" i="4"/>
  <c r="A331" i="4"/>
  <c r="A335" i="4"/>
  <c r="A339" i="4"/>
  <c r="A343" i="4"/>
  <c r="A347" i="4"/>
  <c r="A351" i="4"/>
  <c r="A355" i="4"/>
  <c r="A359" i="4"/>
  <c r="A363" i="4"/>
  <c r="A367" i="4"/>
  <c r="A371" i="4"/>
  <c r="A375" i="4"/>
  <c r="A379" i="4"/>
  <c r="A383" i="4"/>
  <c r="A387" i="4"/>
  <c r="A391" i="4"/>
  <c r="A395" i="4"/>
  <c r="A399" i="4"/>
  <c r="A403" i="4"/>
  <c r="A407" i="4"/>
  <c r="A411" i="4"/>
  <c r="A415" i="4"/>
  <c r="A418" i="4"/>
  <c r="A422" i="4"/>
  <c r="A66" i="4"/>
  <c r="A429" i="4"/>
  <c r="A433" i="4"/>
  <c r="A437" i="4"/>
  <c r="A441" i="4"/>
  <c r="A445" i="4"/>
  <c r="A138" i="4"/>
  <c r="A142" i="4"/>
  <c r="A146" i="4"/>
  <c r="A150" i="4"/>
  <c r="A154" i="4"/>
  <c r="A158" i="4"/>
  <c r="A162" i="4"/>
  <c r="A166" i="4"/>
  <c r="A170" i="4"/>
  <c r="A174" i="4"/>
  <c r="A178" i="4"/>
  <c r="A182" i="4"/>
  <c r="A186" i="4"/>
  <c r="A190" i="4"/>
  <c r="A194" i="4"/>
  <c r="A198" i="4"/>
  <c r="A202" i="4"/>
  <c r="A205" i="4"/>
  <c r="A209" i="4"/>
  <c r="A213" i="4"/>
  <c r="A217" i="4"/>
  <c r="A221" i="4"/>
  <c r="A225" i="4"/>
  <c r="A229" i="4"/>
  <c r="A233" i="4"/>
  <c r="A237" i="4"/>
  <c r="A240" i="4"/>
  <c r="A244" i="4"/>
  <c r="A248" i="4"/>
  <c r="A252" i="4"/>
  <c r="A256" i="4"/>
  <c r="A260" i="4"/>
  <c r="A264" i="4"/>
  <c r="A267" i="4"/>
  <c r="A271" i="4"/>
  <c r="A275" i="4"/>
  <c r="A278" i="4"/>
  <c r="A282" i="4"/>
  <c r="A286" i="4"/>
  <c r="A290" i="4"/>
  <c r="A294" i="4"/>
  <c r="A297" i="4"/>
  <c r="A301" i="4"/>
  <c r="A305" i="4"/>
  <c r="A309" i="4"/>
  <c r="A313" i="4"/>
  <c r="A317" i="4"/>
  <c r="A321" i="4"/>
  <c r="A325" i="4"/>
  <c r="A329" i="4"/>
  <c r="A332" i="4"/>
  <c r="A336" i="4"/>
  <c r="A340" i="4"/>
  <c r="A344" i="4"/>
  <c r="A348" i="4"/>
  <c r="A352" i="4"/>
  <c r="A356" i="4"/>
  <c r="A360" i="4"/>
  <c r="A364" i="4"/>
  <c r="A368" i="4"/>
  <c r="A372" i="4"/>
  <c r="A376" i="4"/>
  <c r="A380" i="4"/>
  <c r="A384" i="4"/>
  <c r="A388" i="4"/>
  <c r="A392" i="4"/>
  <c r="A396" i="4"/>
  <c r="A400" i="4"/>
  <c r="A404" i="4"/>
  <c r="A408" i="4"/>
  <c r="A412" i="4"/>
  <c r="A416" i="4"/>
  <c r="A419" i="4"/>
  <c r="A423" i="4"/>
  <c r="A426"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578" i="4"/>
  <c r="A582" i="4"/>
  <c r="A586" i="4"/>
  <c r="A590" i="4"/>
  <c r="A594" i="4"/>
  <c r="A598" i="4"/>
  <c r="A602" i="4"/>
  <c r="A606" i="4"/>
  <c r="A610" i="4"/>
  <c r="A126" i="4"/>
  <c r="A615" i="4"/>
  <c r="A619" i="4"/>
  <c r="A622" i="4"/>
  <c r="A625" i="4"/>
  <c r="A629" i="4"/>
  <c r="A139" i="4"/>
  <c r="A155" i="4"/>
  <c r="A171" i="4"/>
  <c r="A187" i="4"/>
  <c r="A203" i="4"/>
  <c r="A218" i="4"/>
  <c r="A234" i="4"/>
  <c r="A249" i="4"/>
  <c r="A265" i="4"/>
  <c r="A279" i="4"/>
  <c r="A295" i="4"/>
  <c r="A310" i="4"/>
  <c r="A326" i="4"/>
  <c r="A341" i="4"/>
  <c r="A357" i="4"/>
  <c r="A373" i="4"/>
  <c r="A389" i="4"/>
  <c r="A405" i="4"/>
  <c r="A420" i="4"/>
  <c r="A435" i="4"/>
  <c r="A449" i="4"/>
  <c r="A456" i="4"/>
  <c r="A461" i="4"/>
  <c r="A467" i="4"/>
  <c r="A472" i="4"/>
  <c r="A477" i="4"/>
  <c r="A483" i="4"/>
  <c r="A488" i="4"/>
  <c r="A493" i="4"/>
  <c r="A499" i="4"/>
  <c r="A504" i="4"/>
  <c r="A509" i="4"/>
  <c r="A515" i="4"/>
  <c r="A520" i="4"/>
  <c r="A525" i="4"/>
  <c r="A531" i="4"/>
  <c r="A536" i="4"/>
  <c r="A541" i="4"/>
  <c r="A547" i="4"/>
  <c r="A552" i="4"/>
  <c r="A557" i="4"/>
  <c r="A563" i="4"/>
  <c r="A568" i="4"/>
  <c r="A573" i="4"/>
  <c r="A579" i="4"/>
  <c r="A584" i="4"/>
  <c r="A589" i="4"/>
  <c r="A595" i="4"/>
  <c r="A600" i="4"/>
  <c r="A605" i="4"/>
  <c r="A611" i="4"/>
  <c r="A613" i="4"/>
  <c r="A618" i="4"/>
  <c r="A92" i="4"/>
  <c r="A627" i="4"/>
  <c r="A632" i="4"/>
  <c r="A636" i="4"/>
  <c r="A640" i="4"/>
  <c r="A644" i="4"/>
  <c r="A648" i="4"/>
  <c r="A93" i="4"/>
  <c r="A655" i="4"/>
  <c r="A659" i="4"/>
  <c r="A663" i="4"/>
  <c r="A667" i="4"/>
  <c r="A671" i="4"/>
  <c r="A675" i="4"/>
  <c r="A679" i="4"/>
  <c r="A682" i="4"/>
  <c r="A686" i="4"/>
  <c r="A690" i="4"/>
  <c r="A694" i="4"/>
  <c r="A698" i="4"/>
  <c r="A702" i="4"/>
  <c r="A706" i="4"/>
  <c r="A710" i="4"/>
  <c r="A714" i="4"/>
  <c r="A718" i="4"/>
  <c r="A722" i="4"/>
  <c r="A726" i="4"/>
  <c r="A730" i="4"/>
  <c r="A734" i="4"/>
  <c r="A738" i="4"/>
  <c r="A742" i="4"/>
  <c r="A746" i="4"/>
  <c r="A750" i="4"/>
  <c r="A754" i="4"/>
  <c r="A758" i="4"/>
  <c r="A762" i="4"/>
  <c r="A766" i="4"/>
  <c r="A770" i="4"/>
  <c r="A774" i="4"/>
  <c r="A778" i="4"/>
  <c r="A782" i="4"/>
  <c r="A786" i="4"/>
  <c r="A790" i="4"/>
  <c r="A794" i="4"/>
  <c r="A798" i="4"/>
  <c r="A802" i="4"/>
  <c r="A806" i="4"/>
  <c r="A810" i="4"/>
  <c r="A812" i="4"/>
  <c r="A816" i="4"/>
  <c r="A820" i="4"/>
  <c r="A824" i="4"/>
  <c r="A828" i="4"/>
  <c r="A832" i="4"/>
  <c r="A836" i="4"/>
  <c r="A840" i="4"/>
  <c r="A844" i="4"/>
  <c r="A847" i="4"/>
  <c r="A851" i="4"/>
  <c r="A855" i="4"/>
  <c r="A859" i="4"/>
  <c r="A863" i="4"/>
  <c r="A867" i="4"/>
  <c r="A871" i="4"/>
  <c r="A875" i="4"/>
  <c r="A879" i="4"/>
  <c r="A883" i="4"/>
  <c r="A887" i="4"/>
  <c r="A891" i="4"/>
  <c r="A894" i="4"/>
  <c r="A898" i="4"/>
  <c r="A902" i="4"/>
  <c r="A906" i="4"/>
  <c r="A910" i="4"/>
  <c r="A143" i="4"/>
  <c r="A159" i="4"/>
  <c r="A175" i="4"/>
  <c r="A191" i="4"/>
  <c r="A206" i="4"/>
  <c r="A222" i="4"/>
  <c r="A238" i="4"/>
  <c r="A253" i="4"/>
  <c r="A268" i="4"/>
  <c r="A283" i="4"/>
  <c r="A298" i="4"/>
  <c r="A314" i="4"/>
  <c r="A6" i="4"/>
  <c r="A345" i="4"/>
  <c r="A361" i="4"/>
  <c r="A377" i="4"/>
  <c r="A393" i="4"/>
  <c r="A409" i="4"/>
  <c r="A424" i="4"/>
  <c r="A439" i="4"/>
  <c r="A451" i="4"/>
  <c r="A457" i="4"/>
  <c r="A463" i="4"/>
  <c r="A468" i="4"/>
  <c r="A473" i="4"/>
  <c r="A479" i="4"/>
  <c r="A484" i="4"/>
  <c r="A489" i="4"/>
  <c r="A495" i="4"/>
  <c r="A500" i="4"/>
  <c r="A505" i="4"/>
  <c r="A511" i="4"/>
  <c r="A516" i="4"/>
  <c r="A521" i="4"/>
  <c r="A527" i="4"/>
  <c r="A532" i="4"/>
  <c r="A537" i="4"/>
  <c r="A543" i="4"/>
  <c r="A548" i="4"/>
  <c r="A553" i="4"/>
  <c r="A559" i="4"/>
  <c r="A564" i="4"/>
  <c r="A569" i="4"/>
  <c r="A575" i="4"/>
  <c r="A580" i="4"/>
  <c r="A585" i="4"/>
  <c r="A591" i="4"/>
  <c r="A596" i="4"/>
  <c r="A601" i="4"/>
  <c r="A607" i="4"/>
  <c r="A612" i="4"/>
  <c r="A614" i="4"/>
  <c r="A620" i="4"/>
  <c r="A623" i="4"/>
  <c r="A628" i="4"/>
  <c r="A633" i="4"/>
  <c r="A637" i="4"/>
  <c r="A641" i="4"/>
  <c r="A645" i="4"/>
  <c r="A649" i="4"/>
  <c r="A652" i="4"/>
  <c r="A656" i="4"/>
  <c r="A660" i="4"/>
  <c r="A664" i="4"/>
  <c r="A668" i="4"/>
  <c r="A672" i="4"/>
  <c r="A676" i="4"/>
  <c r="A147" i="4"/>
  <c r="A163" i="4"/>
  <c r="A179" i="4"/>
  <c r="A195" i="4"/>
  <c r="A210" i="4"/>
  <c r="A226" i="4"/>
  <c r="A241" i="4"/>
  <c r="A257" i="4"/>
  <c r="A272" i="4"/>
  <c r="A287" i="4"/>
  <c r="A302" i="4"/>
  <c r="A318" i="4"/>
  <c r="A333" i="4"/>
  <c r="A349" i="4"/>
  <c r="A365" i="4"/>
  <c r="A381" i="4"/>
  <c r="A397" i="4"/>
  <c r="A413" i="4"/>
  <c r="A427" i="4"/>
  <c r="A443" i="4"/>
  <c r="A453" i="4"/>
  <c r="A459" i="4"/>
  <c r="A464" i="4"/>
  <c r="A469" i="4"/>
  <c r="A475" i="4"/>
  <c r="A480" i="4"/>
  <c r="A485" i="4"/>
  <c r="A491" i="4"/>
  <c r="A496" i="4"/>
  <c r="A501" i="4"/>
  <c r="A507" i="4"/>
  <c r="A512" i="4"/>
  <c r="A517" i="4"/>
  <c r="A523" i="4"/>
  <c r="A528" i="4"/>
  <c r="A533" i="4"/>
  <c r="A539" i="4"/>
  <c r="A544" i="4"/>
  <c r="A549" i="4"/>
  <c r="A555" i="4"/>
  <c r="A560" i="4"/>
  <c r="A565" i="4"/>
  <c r="A571" i="4"/>
  <c r="A576" i="4"/>
  <c r="A581" i="4"/>
  <c r="A587" i="4"/>
  <c r="A592" i="4"/>
  <c r="A597" i="4"/>
  <c r="A603" i="4"/>
  <c r="A608" i="4"/>
  <c r="A84" i="4"/>
  <c r="A616" i="4"/>
  <c r="A118" i="4"/>
  <c r="A624" i="4"/>
  <c r="A630" i="4"/>
  <c r="A634" i="4"/>
  <c r="A638" i="4"/>
  <c r="A642" i="4"/>
  <c r="A646" i="4"/>
  <c r="A650" i="4"/>
  <c r="A653" i="4"/>
  <c r="A657" i="4"/>
  <c r="A661" i="4"/>
  <c r="A665" i="4"/>
  <c r="A151" i="4"/>
  <c r="A214" i="4"/>
  <c r="A276" i="4"/>
  <c r="A337" i="4"/>
  <c r="A401" i="4"/>
  <c r="A455" i="4"/>
  <c r="A476" i="4"/>
  <c r="A497" i="4"/>
  <c r="A519" i="4"/>
  <c r="A540" i="4"/>
  <c r="A561" i="4"/>
  <c r="A583" i="4"/>
  <c r="A604" i="4"/>
  <c r="A621" i="4"/>
  <c r="A639" i="4"/>
  <c r="A654" i="4"/>
  <c r="A669" i="4"/>
  <c r="A677" i="4"/>
  <c r="A681" i="4"/>
  <c r="A687" i="4"/>
  <c r="A692" i="4"/>
  <c r="A697" i="4"/>
  <c r="A703" i="4"/>
  <c r="A708" i="4"/>
  <c r="A713" i="4"/>
  <c r="A719" i="4"/>
  <c r="A724" i="4"/>
  <c r="A729" i="4"/>
  <c r="A735" i="4"/>
  <c r="A740" i="4"/>
  <c r="A745" i="4"/>
  <c r="A751" i="4"/>
  <c r="A756" i="4"/>
  <c r="A761" i="4"/>
  <c r="A767" i="4"/>
  <c r="A772" i="4"/>
  <c r="A777" i="4"/>
  <c r="A783" i="4"/>
  <c r="A788" i="4"/>
  <c r="A793" i="4"/>
  <c r="A799" i="4"/>
  <c r="A804" i="4"/>
  <c r="A809" i="4"/>
  <c r="A813" i="4"/>
  <c r="A818" i="4"/>
  <c r="A823" i="4"/>
  <c r="A829" i="4"/>
  <c r="A834" i="4"/>
  <c r="A839" i="4"/>
  <c r="A845" i="4"/>
  <c r="A849" i="4"/>
  <c r="A854" i="4"/>
  <c r="A860" i="4"/>
  <c r="A865" i="4"/>
  <c r="A870" i="4"/>
  <c r="A876" i="4"/>
  <c r="A881" i="4"/>
  <c r="A886" i="4"/>
  <c r="A892" i="4"/>
  <c r="A896" i="4"/>
  <c r="A901" i="4"/>
  <c r="A907" i="4"/>
  <c r="A912" i="4"/>
  <c r="A916" i="4"/>
  <c r="A920" i="4"/>
  <c r="A924" i="4"/>
  <c r="A928" i="4"/>
  <c r="A932" i="4"/>
  <c r="A936" i="4"/>
  <c r="A940" i="4"/>
  <c r="A944" i="4"/>
  <c r="A948" i="4"/>
  <c r="A952" i="4"/>
  <c r="A956" i="4"/>
  <c r="A960" i="4"/>
  <c r="A964" i="4"/>
  <c r="A968" i="4"/>
  <c r="A972" i="4"/>
  <c r="A975" i="4"/>
  <c r="A979" i="4"/>
  <c r="A983" i="4"/>
  <c r="A987" i="4"/>
  <c r="A991" i="4"/>
  <c r="A995" i="4"/>
  <c r="A999" i="4"/>
  <c r="A1002" i="4"/>
  <c r="A1006" i="4"/>
  <c r="A1010" i="4"/>
  <c r="A1013" i="4"/>
  <c r="A1017" i="4"/>
  <c r="A1021" i="4"/>
  <c r="A1025" i="4"/>
  <c r="A1029" i="4"/>
  <c r="A1033" i="4"/>
  <c r="A1037" i="4"/>
  <c r="A1041" i="4"/>
  <c r="A1045" i="4"/>
  <c r="A1049" i="4"/>
  <c r="A1053" i="4"/>
  <c r="A1057" i="4"/>
  <c r="A1061" i="4"/>
  <c r="A1065" i="4"/>
  <c r="A72" i="4"/>
  <c r="A1071" i="4"/>
  <c r="A1074" i="4"/>
  <c r="A91" i="4"/>
  <c r="A1081" i="4"/>
  <c r="A1083" i="4"/>
  <c r="A1087" i="4"/>
  <c r="A1091" i="4"/>
  <c r="A1095" i="4"/>
  <c r="A1098" i="4"/>
  <c r="A1102" i="4"/>
  <c r="A1105" i="4"/>
  <c r="A1109" i="4"/>
  <c r="A1112" i="4"/>
  <c r="A1116" i="4"/>
  <c r="A1120" i="4"/>
  <c r="A32" i="4"/>
  <c r="A1127" i="4"/>
  <c r="A1131" i="4"/>
  <c r="A1135" i="4"/>
  <c r="A1138" i="4"/>
  <c r="A1142" i="4"/>
  <c r="A1146" i="4"/>
  <c r="A1150" i="4"/>
  <c r="A1154" i="4"/>
  <c r="A1158" i="4"/>
  <c r="A1162" i="4"/>
  <c r="A1165" i="4"/>
  <c r="A1169" i="4"/>
  <c r="A1173" i="4"/>
  <c r="A1177" i="4"/>
  <c r="A1181" i="4"/>
  <c r="A1185" i="4"/>
  <c r="A1189" i="4"/>
  <c r="A1193" i="4"/>
  <c r="A1197" i="4"/>
  <c r="A1201" i="4"/>
  <c r="A60" i="4"/>
  <c r="A1207" i="4"/>
  <c r="A1211" i="4"/>
  <c r="A1215" i="4"/>
  <c r="A1219" i="4"/>
  <c r="A1223" i="4"/>
  <c r="A1227" i="4"/>
  <c r="A1230" i="4"/>
  <c r="A1234" i="4"/>
  <c r="A1237" i="4"/>
  <c r="A1241" i="4"/>
  <c r="A1245" i="4"/>
  <c r="A1249" i="4"/>
  <c r="A1253" i="4"/>
  <c r="A1256" i="4"/>
  <c r="A1260" i="4"/>
  <c r="A1264" i="4"/>
  <c r="A1267" i="4"/>
  <c r="A1270" i="4"/>
  <c r="A1274" i="4"/>
  <c r="A101" i="4"/>
  <c r="A1278" i="4"/>
  <c r="A1282" i="4"/>
  <c r="A1286" i="4"/>
  <c r="A1290" i="4"/>
  <c r="A1294" i="4"/>
  <c r="A1297" i="4"/>
  <c r="A1301" i="4"/>
  <c r="A27" i="4"/>
  <c r="A1308" i="4"/>
  <c r="A1312" i="4"/>
  <c r="A116" i="4"/>
  <c r="A1319" i="4"/>
  <c r="A1323" i="4"/>
  <c r="A1326" i="4"/>
  <c r="A1330" i="4"/>
  <c r="A1334" i="4"/>
  <c r="A1338" i="4"/>
  <c r="A1342" i="4"/>
  <c r="A1345" i="4"/>
  <c r="A1348" i="4"/>
  <c r="A1352" i="4"/>
  <c r="A1356" i="4"/>
  <c r="A104" i="4"/>
  <c r="A1363" i="4"/>
  <c r="A1367" i="4"/>
  <c r="A1371" i="4"/>
  <c r="A1375" i="4"/>
  <c r="A1379" i="4"/>
  <c r="A1383" i="4"/>
  <c r="A1387" i="4"/>
  <c r="A1391" i="4"/>
  <c r="A1395" i="4"/>
  <c r="A1399" i="4"/>
  <c r="A1403" i="4"/>
  <c r="A1407" i="4"/>
  <c r="A1411" i="4"/>
  <c r="A1414" i="4"/>
  <c r="A1417" i="4"/>
  <c r="A13" i="4"/>
  <c r="A130" i="4"/>
  <c r="A1425" i="4"/>
  <c r="A95" i="4"/>
  <c r="A67" i="4"/>
  <c r="A1432" i="4"/>
  <c r="A123" i="4"/>
  <c r="A20" i="4"/>
  <c r="A1437" i="4"/>
  <c r="A1440" i="4"/>
  <c r="A1444" i="4"/>
  <c r="A11" i="4"/>
  <c r="A1449" i="4"/>
  <c r="A1451" i="4"/>
  <c r="A1454" i="4"/>
  <c r="A1456" i="4"/>
  <c r="A108" i="4"/>
  <c r="A1462" i="4"/>
  <c r="A74" i="4"/>
  <c r="A86" i="4"/>
  <c r="A17" i="4"/>
  <c r="A51" i="4"/>
  <c r="A28" i="4"/>
  <c r="A25" i="4"/>
  <c r="A167" i="4"/>
  <c r="A230" i="4"/>
  <c r="A291" i="4"/>
  <c r="A353" i="4"/>
  <c r="A417" i="4"/>
  <c r="A460" i="4"/>
  <c r="A481" i="4"/>
  <c r="A503" i="4"/>
  <c r="A524" i="4"/>
  <c r="A545" i="4"/>
  <c r="A567" i="4"/>
  <c r="A588" i="4"/>
  <c r="A609" i="4"/>
  <c r="A626" i="4"/>
  <c r="A643" i="4"/>
  <c r="A658" i="4"/>
  <c r="A670" i="4"/>
  <c r="A678" i="4"/>
  <c r="A683" i="4"/>
  <c r="A688" i="4"/>
  <c r="A693" i="4"/>
  <c r="A699" i="4"/>
  <c r="A704" i="4"/>
  <c r="A709" i="4"/>
  <c r="A715" i="4"/>
  <c r="A720" i="4"/>
  <c r="A725" i="4"/>
  <c r="A731" i="4"/>
  <c r="A736" i="4"/>
  <c r="A741" i="4"/>
  <c r="A747" i="4"/>
  <c r="A752" i="4"/>
  <c r="A757" i="4"/>
  <c r="A763" i="4"/>
  <c r="A768" i="4"/>
  <c r="A773" i="4"/>
  <c r="A779" i="4"/>
  <c r="A784" i="4"/>
  <c r="A789" i="4"/>
  <c r="A795" i="4"/>
  <c r="A800" i="4"/>
  <c r="A805" i="4"/>
  <c r="A109" i="4"/>
  <c r="A814" i="4"/>
  <c r="A819" i="4"/>
  <c r="A825" i="4"/>
  <c r="A830" i="4"/>
  <c r="A835" i="4"/>
  <c r="A841" i="4"/>
  <c r="A46" i="4"/>
  <c r="A850" i="4"/>
  <c r="A856" i="4"/>
  <c r="A861" i="4"/>
  <c r="A866" i="4"/>
  <c r="A872" i="4"/>
  <c r="A877" i="4"/>
  <c r="A882" i="4"/>
  <c r="A888" i="4"/>
  <c r="A7" i="4"/>
  <c r="A897" i="4"/>
  <c r="A903" i="4"/>
  <c r="A908" i="4"/>
  <c r="A913" i="4"/>
  <c r="A917" i="4"/>
  <c r="A921" i="4"/>
  <c r="A925" i="4"/>
  <c r="A929" i="4"/>
  <c r="A933" i="4"/>
  <c r="A937" i="4"/>
  <c r="A941" i="4"/>
  <c r="A945" i="4"/>
  <c r="A949" i="4"/>
  <c r="A953" i="4"/>
  <c r="A957" i="4"/>
  <c r="A961" i="4"/>
  <c r="A965" i="4"/>
  <c r="A969" i="4"/>
  <c r="A973" i="4"/>
  <c r="A976" i="4"/>
  <c r="A980" i="4"/>
  <c r="A984" i="4"/>
  <c r="A988" i="4"/>
  <c r="A992" i="4"/>
  <c r="A996" i="4"/>
  <c r="A1000" i="4"/>
  <c r="A1003" i="4"/>
  <c r="A1007" i="4"/>
  <c r="A65" i="4"/>
  <c r="A1014" i="4"/>
  <c r="A1018" i="4"/>
  <c r="A1022" i="4"/>
  <c r="A1026" i="4"/>
  <c r="A1030" i="4"/>
  <c r="A1034" i="4"/>
  <c r="A1038" i="4"/>
  <c r="A1042" i="4"/>
  <c r="A1046" i="4"/>
  <c r="A1050" i="4"/>
  <c r="A1054" i="4"/>
  <c r="A1058" i="4"/>
  <c r="A1062" i="4"/>
  <c r="A1066" i="4"/>
  <c r="A1068" i="4"/>
  <c r="A1072" i="4"/>
  <c r="A1075" i="4"/>
  <c r="A1078" i="4"/>
  <c r="A14" i="4"/>
  <c r="A1084" i="4"/>
  <c r="A1088" i="4"/>
  <c r="A1092" i="4"/>
  <c r="A1096" i="4"/>
  <c r="A1099" i="4"/>
  <c r="A1103" i="4"/>
  <c r="A1106" i="4"/>
  <c r="A97" i="4"/>
  <c r="A1113" i="4"/>
  <c r="A1117" i="4"/>
  <c r="A1121" i="4"/>
  <c r="A1124" i="4"/>
  <c r="A1128" i="4"/>
  <c r="A1132" i="4"/>
  <c r="A1136" i="4"/>
  <c r="A1139" i="4"/>
  <c r="A1143" i="4"/>
  <c r="A1147" i="4"/>
  <c r="A1151" i="4"/>
  <c r="A1155" i="4"/>
  <c r="A183" i="4"/>
  <c r="A245" i="4"/>
  <c r="A306" i="4"/>
  <c r="A369" i="4"/>
  <c r="A431" i="4"/>
  <c r="A465" i="4"/>
  <c r="A487" i="4"/>
  <c r="A508" i="4"/>
  <c r="A529" i="4"/>
  <c r="A551" i="4"/>
  <c r="A572" i="4"/>
  <c r="A593" i="4"/>
  <c r="A88" i="4"/>
  <c r="A631" i="4"/>
  <c r="A647" i="4"/>
  <c r="A662" i="4"/>
  <c r="A673" i="4"/>
  <c r="A680" i="4"/>
  <c r="A684" i="4"/>
  <c r="A689" i="4"/>
  <c r="A695" i="4"/>
  <c r="A700" i="4"/>
  <c r="A705" i="4"/>
  <c r="A711" i="4"/>
  <c r="A716" i="4"/>
  <c r="A721" i="4"/>
  <c r="A727" i="4"/>
  <c r="A732" i="4"/>
  <c r="A737" i="4"/>
  <c r="A743" i="4"/>
  <c r="A748" i="4"/>
  <c r="A753" i="4"/>
  <c r="A759" i="4"/>
  <c r="A764" i="4"/>
  <c r="A769" i="4"/>
  <c r="A775" i="4"/>
  <c r="A780" i="4"/>
  <c r="A785" i="4"/>
  <c r="A791" i="4"/>
  <c r="A796" i="4"/>
  <c r="A801" i="4"/>
  <c r="A807" i="4"/>
  <c r="A29" i="4"/>
  <c r="A815" i="4"/>
  <c r="A821" i="4"/>
  <c r="A826" i="4"/>
  <c r="A831" i="4"/>
  <c r="A837" i="4"/>
  <c r="A842" i="4"/>
  <c r="A846" i="4"/>
  <c r="A852" i="4"/>
  <c r="A857" i="4"/>
  <c r="A862" i="4"/>
  <c r="A868" i="4"/>
  <c r="A873" i="4"/>
  <c r="A878" i="4"/>
  <c r="A884" i="4"/>
  <c r="A889" i="4"/>
  <c r="A893" i="4"/>
  <c r="A899" i="4"/>
  <c r="A904" i="4"/>
  <c r="A909" i="4"/>
  <c r="A914" i="4"/>
  <c r="A918" i="4"/>
  <c r="A922" i="4"/>
  <c r="A926" i="4"/>
  <c r="A930" i="4"/>
  <c r="A934" i="4"/>
  <c r="A938" i="4"/>
  <c r="A942" i="4"/>
  <c r="A946" i="4"/>
  <c r="A950" i="4"/>
  <c r="A954" i="4"/>
  <c r="A958" i="4"/>
  <c r="A962" i="4"/>
  <c r="A966" i="4"/>
  <c r="A970" i="4"/>
  <c r="A974" i="4"/>
  <c r="A977" i="4"/>
  <c r="A981" i="4"/>
  <c r="A985" i="4"/>
  <c r="A989" i="4"/>
  <c r="A993" i="4"/>
  <c r="A997" i="4"/>
  <c r="A1001" i="4"/>
  <c r="A1004" i="4"/>
  <c r="A1008" i="4"/>
  <c r="A1011" i="4"/>
  <c r="A1015" i="4"/>
  <c r="A1019" i="4"/>
  <c r="A1023" i="4"/>
  <c r="A1027" i="4"/>
  <c r="A1031" i="4"/>
  <c r="A1035" i="4"/>
  <c r="A1039" i="4"/>
  <c r="A1043" i="4"/>
  <c r="A1047" i="4"/>
  <c r="A1051" i="4"/>
  <c r="A1055" i="4"/>
  <c r="A1059" i="4"/>
  <c r="A1063" i="4"/>
  <c r="A8" i="4"/>
  <c r="A1069" i="4"/>
  <c r="A1073" i="4"/>
  <c r="A1076" i="4"/>
  <c r="A1079" i="4"/>
  <c r="A53" i="4"/>
  <c r="A1085" i="4"/>
  <c r="A1089" i="4"/>
  <c r="A1093" i="4"/>
  <c r="A1097" i="4"/>
  <c r="A1100" i="4"/>
  <c r="A1104" i="4"/>
  <c r="A1107" i="4"/>
  <c r="A1110" i="4"/>
  <c r="A1114" i="4"/>
  <c r="A1118" i="4"/>
  <c r="A1122" i="4"/>
  <c r="A1125" i="4"/>
  <c r="A1129" i="4"/>
  <c r="A1133" i="4"/>
  <c r="A1137" i="4"/>
  <c r="A1140" i="4"/>
  <c r="A1144" i="4"/>
  <c r="A1148" i="4"/>
  <c r="A1152" i="4"/>
  <c r="A199" i="4"/>
  <c r="A447" i="4"/>
  <c r="A535" i="4"/>
  <c r="A617" i="4"/>
  <c r="A674" i="4"/>
  <c r="A696" i="4"/>
  <c r="A717" i="4"/>
  <c r="A739" i="4"/>
  <c r="A760" i="4"/>
  <c r="A781" i="4"/>
  <c r="A803" i="4"/>
  <c r="A822" i="4"/>
  <c r="A843" i="4"/>
  <c r="A864" i="4"/>
  <c r="A885" i="4"/>
  <c r="A905" i="4"/>
  <c r="A923" i="4"/>
  <c r="A939" i="4"/>
  <c r="A955" i="4"/>
  <c r="A971" i="4"/>
  <c r="A986" i="4"/>
  <c r="A78" i="4"/>
  <c r="A1016" i="4"/>
  <c r="A1032" i="4"/>
  <c r="A1048" i="4"/>
  <c r="A1064" i="4"/>
  <c r="A1077" i="4"/>
  <c r="A1090" i="4"/>
  <c r="A9" i="4"/>
  <c r="A1119" i="4"/>
  <c r="A1134" i="4"/>
  <c r="A1149" i="4"/>
  <c r="A1159" i="4"/>
  <c r="A1163" i="4"/>
  <c r="A1168" i="4"/>
  <c r="A1174" i="4"/>
  <c r="A1179" i="4"/>
  <c r="A1184" i="4"/>
  <c r="A1190" i="4"/>
  <c r="A1195" i="4"/>
  <c r="A1200" i="4"/>
  <c r="A1204" i="4"/>
  <c r="A1209" i="4"/>
  <c r="A1214" i="4"/>
  <c r="A1220" i="4"/>
  <c r="A1225" i="4"/>
  <c r="A79" i="4"/>
  <c r="A134" i="4"/>
  <c r="A1239" i="4"/>
  <c r="A1244" i="4"/>
  <c r="A1250" i="4"/>
  <c r="A1255" i="4"/>
  <c r="A1259" i="4"/>
  <c r="A1265" i="4"/>
  <c r="A26" i="4"/>
  <c r="A1273" i="4"/>
  <c r="A111" i="4"/>
  <c r="A1280" i="4"/>
  <c r="A1285" i="4"/>
  <c r="A1291" i="4"/>
  <c r="A1296" i="4"/>
  <c r="A1300" i="4"/>
  <c r="A1305" i="4"/>
  <c r="A1310" i="4"/>
  <c r="A1315" i="4"/>
  <c r="A1320" i="4"/>
  <c r="A30" i="4"/>
  <c r="A1329" i="4"/>
  <c r="A1335" i="4"/>
  <c r="A1340" i="4"/>
  <c r="A61" i="4"/>
  <c r="A1349" i="4"/>
  <c r="A1354" i="4"/>
  <c r="A1359" i="4"/>
  <c r="A1364" i="4"/>
  <c r="A1369" i="4"/>
  <c r="A1374" i="4"/>
  <c r="A1380" i="4"/>
  <c r="A1385" i="4"/>
  <c r="A1390" i="4"/>
  <c r="A1396" i="4"/>
  <c r="A1401" i="4"/>
  <c r="A1406" i="4"/>
  <c r="A129" i="4"/>
  <c r="A1416" i="4"/>
  <c r="A1420" i="4"/>
  <c r="A1423" i="4"/>
  <c r="A1426" i="4"/>
  <c r="A1429" i="4"/>
  <c r="A62" i="4"/>
  <c r="A121" i="4"/>
  <c r="A1436" i="4"/>
  <c r="A1441" i="4"/>
  <c r="A1446" i="4"/>
  <c r="A1448" i="4"/>
  <c r="A1452" i="4"/>
  <c r="A1455" i="4"/>
  <c r="A1459" i="4"/>
  <c r="A1463" i="4"/>
  <c r="A24" i="4"/>
  <c r="A131" i="4"/>
  <c r="A114" i="4"/>
  <c r="A36" i="4"/>
  <c r="A89" i="4"/>
  <c r="A1469" i="4"/>
  <c r="A83" i="4"/>
  <c r="A1470" i="4"/>
  <c r="A34" i="4"/>
  <c r="A99" i="4"/>
  <c r="A45" i="4"/>
  <c r="A58" i="4"/>
  <c r="A1474" i="4"/>
  <c r="A44" i="4"/>
  <c r="G137" i="4"/>
  <c r="G141" i="4"/>
  <c r="G145" i="4"/>
  <c r="G149" i="4"/>
  <c r="G153" i="4"/>
  <c r="G157" i="4"/>
  <c r="G161" i="4"/>
  <c r="G165" i="4"/>
  <c r="G169" i="4"/>
  <c r="G173" i="4"/>
  <c r="G177" i="4"/>
  <c r="G181" i="4"/>
  <c r="G185" i="4"/>
  <c r="G189" i="4"/>
  <c r="G193" i="4"/>
  <c r="G197" i="4"/>
  <c r="G201" i="4"/>
  <c r="G106" i="4"/>
  <c r="G208" i="4"/>
  <c r="G212" i="4"/>
  <c r="G216" i="4"/>
  <c r="G220" i="4"/>
  <c r="G224" i="4"/>
  <c r="G228" i="4"/>
  <c r="G232" i="4"/>
  <c r="G236" i="4"/>
  <c r="G75" i="4"/>
  <c r="G243" i="4"/>
  <c r="G247" i="4"/>
  <c r="G251" i="4"/>
  <c r="G255" i="4"/>
  <c r="G259" i="4"/>
  <c r="G263" i="4"/>
  <c r="G266" i="4"/>
  <c r="G270" i="4"/>
  <c r="G274" i="4"/>
  <c r="A261" i="4"/>
  <c r="A471" i="4"/>
  <c r="A556" i="4"/>
  <c r="A635" i="4"/>
  <c r="A107" i="4"/>
  <c r="A701" i="4"/>
  <c r="A723" i="4"/>
  <c r="A744" i="4"/>
  <c r="A765" i="4"/>
  <c r="A787" i="4"/>
  <c r="A808" i="4"/>
  <c r="A827" i="4"/>
  <c r="A848" i="4"/>
  <c r="A869" i="4"/>
  <c r="A890" i="4"/>
  <c r="A911" i="4"/>
  <c r="A927" i="4"/>
  <c r="A943" i="4"/>
  <c r="A959" i="4"/>
  <c r="A110" i="4"/>
  <c r="A990" i="4"/>
  <c r="A1005" i="4"/>
  <c r="A1020" i="4"/>
  <c r="A1036" i="4"/>
  <c r="A1052" i="4"/>
  <c r="A1067" i="4"/>
  <c r="A1080" i="4"/>
  <c r="A1094" i="4"/>
  <c r="A1108" i="4"/>
  <c r="A1123" i="4"/>
  <c r="A113" i="4"/>
  <c r="A1153" i="4"/>
  <c r="A1160" i="4"/>
  <c r="A1164" i="4"/>
  <c r="A1170" i="4"/>
  <c r="A1175" i="4"/>
  <c r="A1180" i="4"/>
  <c r="A1186" i="4"/>
  <c r="A1191" i="4"/>
  <c r="A1196" i="4"/>
  <c r="A1202" i="4"/>
  <c r="A1205" i="4"/>
  <c r="A1210" i="4"/>
  <c r="A1216" i="4"/>
  <c r="A1221" i="4"/>
  <c r="A1226" i="4"/>
  <c r="A1231" i="4"/>
  <c r="A1235" i="4"/>
  <c r="A1240" i="4"/>
  <c r="A1246" i="4"/>
  <c r="A1251" i="4"/>
  <c r="A128" i="4"/>
  <c r="A1261" i="4"/>
  <c r="A1266" i="4"/>
  <c r="A1269" i="4"/>
  <c r="A1275" i="4"/>
  <c r="A1276" i="4"/>
  <c r="A1281" i="4"/>
  <c r="A1287" i="4"/>
  <c r="A1292" i="4"/>
  <c r="A41" i="4"/>
  <c r="A1302" i="4"/>
  <c r="A1306" i="4"/>
  <c r="A1311" i="4"/>
  <c r="A1316" i="4"/>
  <c r="A1321" i="4"/>
  <c r="A1325" i="4"/>
  <c r="A1331" i="4"/>
  <c r="A1336" i="4"/>
  <c r="A1341" i="4"/>
  <c r="A1346" i="4"/>
  <c r="A1350" i="4"/>
  <c r="A1355" i="4"/>
  <c r="A1360" i="4"/>
  <c r="A1365" i="4"/>
  <c r="A1370" i="4"/>
  <c r="A1376" i="4"/>
  <c r="A1381" i="4"/>
  <c r="A1386" i="4"/>
  <c r="A1392" i="4"/>
  <c r="A1397" i="4"/>
  <c r="A1402" i="4"/>
  <c r="A1408" i="4"/>
  <c r="A1412" i="4"/>
  <c r="A10" i="4"/>
  <c r="A1421" i="4"/>
  <c r="A1424" i="4"/>
  <c r="A15" i="4"/>
  <c r="A31" i="4"/>
  <c r="A125" i="4"/>
  <c r="A102" i="4"/>
  <c r="A105" i="4"/>
  <c r="A1442" i="4"/>
  <c r="A1447" i="4"/>
  <c r="A1450" i="4"/>
  <c r="A1453" i="4"/>
  <c r="A80" i="4"/>
  <c r="A1460" i="4"/>
  <c r="A115" i="4"/>
  <c r="A1464" i="4"/>
  <c r="A54" i="4"/>
  <c r="A23" i="4"/>
  <c r="A21" i="4"/>
  <c r="A37" i="4"/>
  <c r="A119" i="4"/>
  <c r="A77" i="4"/>
  <c r="A81" i="4"/>
  <c r="A96" i="4"/>
  <c r="A117" i="4"/>
  <c r="A103" i="4"/>
  <c r="A1472" i="4"/>
  <c r="A1475" i="4"/>
  <c r="A1477" i="4"/>
  <c r="G138" i="4"/>
  <c r="G142" i="4"/>
  <c r="G146" i="4"/>
  <c r="G150" i="4"/>
  <c r="G154" i="4"/>
  <c r="G158" i="4"/>
  <c r="G162" i="4"/>
  <c r="G166" i="4"/>
  <c r="G170" i="4"/>
  <c r="G174" i="4"/>
  <c r="G178" i="4"/>
  <c r="G182" i="4"/>
  <c r="G186" i="4"/>
  <c r="G190" i="4"/>
  <c r="G194" i="4"/>
  <c r="G198" i="4"/>
  <c r="G202" i="4"/>
  <c r="G205" i="4"/>
  <c r="G209" i="4"/>
  <c r="G213" i="4"/>
  <c r="G217" i="4"/>
  <c r="G221" i="4"/>
  <c r="G225" i="4"/>
  <c r="G229" i="4"/>
  <c r="G233" i="4"/>
  <c r="G237" i="4"/>
  <c r="G240" i="4"/>
  <c r="G244" i="4"/>
  <c r="G248" i="4"/>
  <c r="G252" i="4"/>
  <c r="G256" i="4"/>
  <c r="G260" i="4"/>
  <c r="G264" i="4"/>
  <c r="G267" i="4"/>
  <c r="G271" i="4"/>
  <c r="A322" i="4"/>
  <c r="A492" i="4"/>
  <c r="A577" i="4"/>
  <c r="A651" i="4"/>
  <c r="A685" i="4"/>
  <c r="A707" i="4"/>
  <c r="A728" i="4"/>
  <c r="A749" i="4"/>
  <c r="A771" i="4"/>
  <c r="A792" i="4"/>
  <c r="A811" i="4"/>
  <c r="A833" i="4"/>
  <c r="A853" i="4"/>
  <c r="A874" i="4"/>
  <c r="A895" i="4"/>
  <c r="A915" i="4"/>
  <c r="A931" i="4"/>
  <c r="A947" i="4"/>
  <c r="A963" i="4"/>
  <c r="A978" i="4"/>
  <c r="A994" i="4"/>
  <c r="A1009" i="4"/>
  <c r="A1024" i="4"/>
  <c r="A1040" i="4"/>
  <c r="A1056" i="4"/>
  <c r="A1070" i="4"/>
  <c r="A1082" i="4"/>
  <c r="A47" i="4"/>
  <c r="A1111" i="4"/>
  <c r="A1126" i="4"/>
  <c r="A1141" i="4"/>
  <c r="A1156" i="4"/>
  <c r="A1161" i="4"/>
  <c r="A1166" i="4"/>
  <c r="A1171" i="4"/>
  <c r="A1176" i="4"/>
  <c r="A1182" i="4"/>
  <c r="A1187" i="4"/>
  <c r="A1192" i="4"/>
  <c r="A1198" i="4"/>
  <c r="A1203" i="4"/>
  <c r="A1206" i="4"/>
  <c r="A1212" i="4"/>
  <c r="A1217" i="4"/>
  <c r="A1222" i="4"/>
  <c r="A1228" i="4"/>
  <c r="A1232" i="4"/>
  <c r="A1236" i="4"/>
  <c r="A1242" i="4"/>
  <c r="A1247" i="4"/>
  <c r="A1252" i="4"/>
  <c r="A1257" i="4"/>
  <c r="A1262" i="4"/>
  <c r="A38" i="4"/>
  <c r="A1271" i="4"/>
  <c r="A124" i="4"/>
  <c r="A1277" i="4"/>
  <c r="A1283" i="4"/>
  <c r="A1288" i="4"/>
  <c r="A1293" i="4"/>
  <c r="A1298" i="4"/>
  <c r="A1303" i="4"/>
  <c r="A1307" i="4"/>
  <c r="A1313" i="4"/>
  <c r="A1317" i="4"/>
  <c r="A1322" i="4"/>
  <c r="A1327" i="4"/>
  <c r="A1332" i="4"/>
  <c r="A1337" i="4"/>
  <c r="A1343" i="4"/>
  <c r="A122" i="4"/>
  <c r="A1351" i="4"/>
  <c r="A1357" i="4"/>
  <c r="A1361" i="4"/>
  <c r="A1366" i="4"/>
  <c r="A1372" i="4"/>
  <c r="A1377" i="4"/>
  <c r="A1382" i="4"/>
  <c r="A1388" i="4"/>
  <c r="A1393" i="4"/>
  <c r="A1398" i="4"/>
  <c r="A1404" i="4"/>
  <c r="A1409" i="4"/>
  <c r="A1413" i="4"/>
  <c r="A1418" i="4"/>
  <c r="A1422" i="4"/>
  <c r="A94" i="4"/>
  <c r="A1427" i="4"/>
  <c r="A1430" i="4"/>
  <c r="A127" i="4"/>
  <c r="A1434" i="4"/>
  <c r="A1438" i="4"/>
  <c r="A1443" i="4"/>
  <c r="A16" i="4"/>
  <c r="A18" i="4"/>
  <c r="A35" i="4"/>
  <c r="A1457" i="4"/>
  <c r="A22" i="4"/>
  <c r="A19" i="4"/>
  <c r="A39" i="4"/>
  <c r="A69" i="4"/>
  <c r="A112" i="4"/>
  <c r="A1466" i="4"/>
  <c r="A1467" i="4"/>
  <c r="A70" i="4"/>
  <c r="A85" i="4"/>
  <c r="A98" i="4"/>
  <c r="A56" i="4"/>
  <c r="A64" i="4"/>
  <c r="A1471" i="4"/>
  <c r="A57" i="4"/>
  <c r="A1476" i="4"/>
  <c r="A1478" i="4"/>
  <c r="G139" i="4"/>
  <c r="G143" i="4"/>
  <c r="G147" i="4"/>
  <c r="G151" i="4"/>
  <c r="G155" i="4"/>
  <c r="G159" i="4"/>
  <c r="G163" i="4"/>
  <c r="G167" i="4"/>
  <c r="G171" i="4"/>
  <c r="G175" i="4"/>
  <c r="G179" i="4"/>
  <c r="G183" i="4"/>
  <c r="G187" i="4"/>
  <c r="G191" i="4"/>
  <c r="G195" i="4"/>
  <c r="G199" i="4"/>
  <c r="G203" i="4"/>
  <c r="G206" i="4"/>
  <c r="G210" i="4"/>
  <c r="G214" i="4"/>
  <c r="G218" i="4"/>
  <c r="G222" i="4"/>
  <c r="G226" i="4"/>
  <c r="G230" i="4"/>
  <c r="G234" i="4"/>
  <c r="G238" i="4"/>
  <c r="G241" i="4"/>
  <c r="G245" i="4"/>
  <c r="G249" i="4"/>
  <c r="G253" i="4"/>
  <c r="G257" i="4"/>
  <c r="G261" i="4"/>
  <c r="G265" i="4"/>
  <c r="G268" i="4"/>
  <c r="G272" i="4"/>
  <c r="G276" i="4"/>
  <c r="G279" i="4"/>
  <c r="G283" i="4"/>
  <c r="G287" i="4"/>
  <c r="G291" i="4"/>
  <c r="G295" i="4"/>
  <c r="G298" i="4"/>
  <c r="G302" i="4"/>
  <c r="G306" i="4"/>
  <c r="G310" i="4"/>
  <c r="G314" i="4"/>
  <c r="G318" i="4"/>
  <c r="G322" i="4"/>
  <c r="G326" i="4"/>
  <c r="G6" i="4"/>
  <c r="G333" i="4"/>
  <c r="G337" i="4"/>
  <c r="G341" i="4"/>
  <c r="G345" i="4"/>
  <c r="G349" i="4"/>
  <c r="G353" i="4"/>
  <c r="G357" i="4"/>
  <c r="G361" i="4"/>
  <c r="G365" i="4"/>
  <c r="G369" i="4"/>
  <c r="G373" i="4"/>
  <c r="G377" i="4"/>
  <c r="G381" i="4"/>
  <c r="G385" i="4"/>
  <c r="G389" i="4"/>
  <c r="G393" i="4"/>
  <c r="G397" i="4"/>
  <c r="G401" i="4"/>
  <c r="G405" i="4"/>
  <c r="G409" i="4"/>
  <c r="G413" i="4"/>
  <c r="G417" i="4"/>
  <c r="G420" i="4"/>
  <c r="G424"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607" i="4"/>
  <c r="G611" i="4"/>
  <c r="G88" i="4"/>
  <c r="G616" i="4"/>
  <c r="G620" i="4"/>
  <c r="G92" i="4"/>
  <c r="G626" i="4"/>
  <c r="G630" i="4"/>
  <c r="G634" i="4"/>
  <c r="G638" i="4"/>
  <c r="G642" i="4"/>
  <c r="G646" i="4"/>
  <c r="G650" i="4"/>
  <c r="G653" i="4"/>
  <c r="G657" i="4"/>
  <c r="G661" i="4"/>
  <c r="G665" i="4"/>
  <c r="G669" i="4"/>
  <c r="G673" i="4"/>
  <c r="G677" i="4"/>
  <c r="G107" i="4"/>
  <c r="G684" i="4"/>
  <c r="G688" i="4"/>
  <c r="A385" i="4"/>
  <c r="A691" i="4"/>
  <c r="A776" i="4"/>
  <c r="A858" i="4"/>
  <c r="A935" i="4"/>
  <c r="A998" i="4"/>
  <c r="A1060" i="4"/>
  <c r="A1115" i="4"/>
  <c r="A59" i="4"/>
  <c r="A1183" i="4"/>
  <c r="A33" i="4"/>
  <c r="A1224" i="4"/>
  <c r="A1243" i="4"/>
  <c r="A1263" i="4"/>
  <c r="A1279" i="4"/>
  <c r="A1299" i="4"/>
  <c r="A1318" i="4"/>
  <c r="A1339" i="4"/>
  <c r="A1358" i="4"/>
  <c r="A1378" i="4"/>
  <c r="A1400" i="4"/>
  <c r="A1419" i="4"/>
  <c r="A1431" i="4"/>
  <c r="A1445" i="4"/>
  <c r="A1458" i="4"/>
  <c r="A135" i="4"/>
  <c r="A71" i="4"/>
  <c r="A87" i="4"/>
  <c r="G136" i="4"/>
  <c r="G152" i="4"/>
  <c r="G168" i="4"/>
  <c r="G184" i="4"/>
  <c r="G200" i="4"/>
  <c r="G215" i="4"/>
  <c r="G231" i="4"/>
  <c r="G246" i="4"/>
  <c r="G262" i="4"/>
  <c r="G275" i="4"/>
  <c r="G280" i="4"/>
  <c r="G285" i="4"/>
  <c r="G290" i="4"/>
  <c r="G296" i="4"/>
  <c r="G300" i="4"/>
  <c r="G305" i="4"/>
  <c r="G311" i="4"/>
  <c r="G316" i="4"/>
  <c r="G321" i="4"/>
  <c r="G327" i="4"/>
  <c r="G331" i="4"/>
  <c r="G336" i="4"/>
  <c r="G342" i="4"/>
  <c r="G347" i="4"/>
  <c r="G352" i="4"/>
  <c r="G358" i="4"/>
  <c r="G363" i="4"/>
  <c r="G368" i="4"/>
  <c r="G374" i="4"/>
  <c r="G379" i="4"/>
  <c r="G384" i="4"/>
  <c r="G390" i="4"/>
  <c r="G395" i="4"/>
  <c r="G400" i="4"/>
  <c r="G406" i="4"/>
  <c r="G411" i="4"/>
  <c r="G416" i="4"/>
  <c r="G421" i="4"/>
  <c r="G66" i="4"/>
  <c r="G430" i="4"/>
  <c r="G436" i="4"/>
  <c r="G441" i="4"/>
  <c r="G446" i="4"/>
  <c r="G452" i="4"/>
  <c r="G457" i="4"/>
  <c r="G462" i="4"/>
  <c r="G468" i="4"/>
  <c r="G473" i="4"/>
  <c r="G478" i="4"/>
  <c r="G484" i="4"/>
  <c r="G489" i="4"/>
  <c r="G494" i="4"/>
  <c r="G500" i="4"/>
  <c r="G505" i="4"/>
  <c r="G510" i="4"/>
  <c r="G516" i="4"/>
  <c r="G521" i="4"/>
  <c r="G526" i="4"/>
  <c r="G532" i="4"/>
  <c r="G537" i="4"/>
  <c r="G542" i="4"/>
  <c r="G548" i="4"/>
  <c r="G553" i="4"/>
  <c r="G558" i="4"/>
  <c r="G564" i="4"/>
  <c r="G569" i="4"/>
  <c r="G574" i="4"/>
  <c r="G580" i="4"/>
  <c r="G585" i="4"/>
  <c r="G590" i="4"/>
  <c r="G596" i="4"/>
  <c r="G601" i="4"/>
  <c r="G606" i="4"/>
  <c r="G612" i="4"/>
  <c r="G614" i="4"/>
  <c r="G619" i="4"/>
  <c r="G623" i="4"/>
  <c r="G628" i="4"/>
  <c r="G633" i="4"/>
  <c r="G639" i="4"/>
  <c r="G644" i="4"/>
  <c r="G649" i="4"/>
  <c r="G654" i="4"/>
  <c r="G659" i="4"/>
  <c r="G664" i="4"/>
  <c r="G670" i="4"/>
  <c r="G675" i="4"/>
  <c r="G680" i="4"/>
  <c r="G685" i="4"/>
  <c r="G690" i="4"/>
  <c r="G694" i="4"/>
  <c r="G698" i="4"/>
  <c r="G702" i="4"/>
  <c r="G706" i="4"/>
  <c r="G710" i="4"/>
  <c r="G714" i="4"/>
  <c r="G718" i="4"/>
  <c r="G722" i="4"/>
  <c r="G726" i="4"/>
  <c r="G730" i="4"/>
  <c r="G734" i="4"/>
  <c r="G738" i="4"/>
  <c r="G742" i="4"/>
  <c r="G746" i="4"/>
  <c r="G750" i="4"/>
  <c r="G754" i="4"/>
  <c r="G758" i="4"/>
  <c r="G762" i="4"/>
  <c r="G766" i="4"/>
  <c r="G770" i="4"/>
  <c r="G774" i="4"/>
  <c r="G778" i="4"/>
  <c r="G782" i="4"/>
  <c r="G786" i="4"/>
  <c r="G790" i="4"/>
  <c r="G794" i="4"/>
  <c r="G798" i="4"/>
  <c r="G802" i="4"/>
  <c r="G806" i="4"/>
  <c r="G810" i="4"/>
  <c r="G812" i="4"/>
  <c r="G816" i="4"/>
  <c r="G820" i="4"/>
  <c r="G824" i="4"/>
  <c r="G828" i="4"/>
  <c r="G832" i="4"/>
  <c r="G836" i="4"/>
  <c r="G840" i="4"/>
  <c r="G844" i="4"/>
  <c r="G847" i="4"/>
  <c r="G851" i="4"/>
  <c r="G855" i="4"/>
  <c r="G859" i="4"/>
  <c r="G863" i="4"/>
  <c r="G867" i="4"/>
  <c r="G871" i="4"/>
  <c r="G875" i="4"/>
  <c r="G879" i="4"/>
  <c r="G883" i="4"/>
  <c r="G887" i="4"/>
  <c r="G891" i="4"/>
  <c r="G894" i="4"/>
  <c r="G898" i="4"/>
  <c r="G902" i="4"/>
  <c r="G906" i="4"/>
  <c r="G910" i="4"/>
  <c r="G914" i="4"/>
  <c r="G918" i="4"/>
  <c r="G922" i="4"/>
  <c r="G926" i="4"/>
  <c r="G930" i="4"/>
  <c r="G934" i="4"/>
  <c r="G938" i="4"/>
  <c r="G942" i="4"/>
  <c r="G946" i="4"/>
  <c r="G950" i="4"/>
  <c r="G954" i="4"/>
  <c r="G958" i="4"/>
  <c r="G962" i="4"/>
  <c r="G966" i="4"/>
  <c r="G970" i="4"/>
  <c r="G974" i="4"/>
  <c r="G977" i="4"/>
  <c r="G981" i="4"/>
  <c r="G985" i="4"/>
  <c r="G989" i="4"/>
  <c r="G993" i="4"/>
  <c r="G997" i="4"/>
  <c r="G1001" i="4"/>
  <c r="G1004" i="4"/>
  <c r="G1008" i="4"/>
  <c r="G1011" i="4"/>
  <c r="G1015" i="4"/>
  <c r="G1019" i="4"/>
  <c r="G1023" i="4"/>
  <c r="G1027" i="4"/>
  <c r="G1031" i="4"/>
  <c r="G1035" i="4"/>
  <c r="G1039" i="4"/>
  <c r="G1043" i="4"/>
  <c r="G1047" i="4"/>
  <c r="G1051" i="4"/>
  <c r="G1055" i="4"/>
  <c r="G1059" i="4"/>
  <c r="G1063" i="4"/>
  <c r="G8" i="4"/>
  <c r="G1069" i="4"/>
  <c r="G1073" i="4"/>
  <c r="G1076" i="4"/>
  <c r="G1079" i="4"/>
  <c r="G53" i="4"/>
  <c r="G1085" i="4"/>
  <c r="G1089" i="4"/>
  <c r="G1093" i="4"/>
  <c r="G1097" i="4"/>
  <c r="G1100" i="4"/>
  <c r="G1104" i="4"/>
  <c r="G1107" i="4"/>
  <c r="G1110" i="4"/>
  <c r="G1114" i="4"/>
  <c r="G1118" i="4"/>
  <c r="G1122" i="4"/>
  <c r="G1125" i="4"/>
  <c r="G1129" i="4"/>
  <c r="G1133" i="4"/>
  <c r="G1137" i="4"/>
  <c r="G1140" i="4"/>
  <c r="G1144" i="4"/>
  <c r="G1148" i="4"/>
  <c r="G1152" i="4"/>
  <c r="G1156" i="4"/>
  <c r="G1160" i="4"/>
  <c r="G1163" i="4"/>
  <c r="G1167" i="4"/>
  <c r="G1171" i="4"/>
  <c r="G1175" i="4"/>
  <c r="G1179" i="4"/>
  <c r="G1183" i="4"/>
  <c r="G1187" i="4"/>
  <c r="G1191" i="4"/>
  <c r="G1195" i="4"/>
  <c r="G1199" i="4"/>
  <c r="G1203" i="4"/>
  <c r="G1205" i="4"/>
  <c r="G1209" i="4"/>
  <c r="G1213" i="4"/>
  <c r="G1217" i="4"/>
  <c r="A513" i="4"/>
  <c r="A712" i="4"/>
  <c r="A797" i="4"/>
  <c r="A880" i="4"/>
  <c r="A951" i="4"/>
  <c r="A1012" i="4"/>
  <c r="A49" i="4"/>
  <c r="A1130" i="4"/>
  <c r="A1167" i="4"/>
  <c r="A1188" i="4"/>
  <c r="A1208" i="4"/>
  <c r="A1229" i="4"/>
  <c r="A1248" i="4"/>
  <c r="A1268" i="4"/>
  <c r="A1284" i="4"/>
  <c r="A1304" i="4"/>
  <c r="A1324" i="4"/>
  <c r="A1344" i="4"/>
  <c r="A1362" i="4"/>
  <c r="A1384" i="4"/>
  <c r="A1405" i="4"/>
  <c r="A132" i="4"/>
  <c r="A1433" i="4"/>
  <c r="A68" i="4"/>
  <c r="A1461" i="4"/>
  <c r="A1465" i="4"/>
  <c r="A52" i="4"/>
  <c r="A42" i="4"/>
  <c r="G140" i="4"/>
  <c r="G156" i="4"/>
  <c r="G172" i="4"/>
  <c r="G188" i="4"/>
  <c r="G204" i="4"/>
  <c r="G219" i="4"/>
  <c r="G235" i="4"/>
  <c r="G250" i="4"/>
  <c r="G76" i="4"/>
  <c r="G48" i="4"/>
  <c r="G281" i="4"/>
  <c r="G286" i="4"/>
  <c r="G292" i="4"/>
  <c r="G120" i="4"/>
  <c r="G301" i="4"/>
  <c r="G307" i="4"/>
  <c r="G312" i="4"/>
  <c r="G317" i="4"/>
  <c r="G323" i="4"/>
  <c r="G328" i="4"/>
  <c r="G332" i="4"/>
  <c r="G338" i="4"/>
  <c r="G343" i="4"/>
  <c r="G348" i="4"/>
  <c r="G354" i="4"/>
  <c r="G359" i="4"/>
  <c r="G364" i="4"/>
  <c r="G370" i="4"/>
  <c r="G375" i="4"/>
  <c r="G380" i="4"/>
  <c r="G386" i="4"/>
  <c r="G391" i="4"/>
  <c r="G396" i="4"/>
  <c r="G402" i="4"/>
  <c r="G407" i="4"/>
  <c r="G412" i="4"/>
  <c r="G100" i="4"/>
  <c r="G422" i="4"/>
  <c r="G426" i="4"/>
  <c r="G432" i="4"/>
  <c r="G437" i="4"/>
  <c r="G442" i="4"/>
  <c r="G448" i="4"/>
  <c r="G453" i="4"/>
  <c r="G458" i="4"/>
  <c r="G464" i="4"/>
  <c r="G469" i="4"/>
  <c r="G474" i="4"/>
  <c r="G480" i="4"/>
  <c r="G485" i="4"/>
  <c r="G490" i="4"/>
  <c r="G496" i="4"/>
  <c r="G501" i="4"/>
  <c r="G506" i="4"/>
  <c r="G512" i="4"/>
  <c r="G517" i="4"/>
  <c r="G522" i="4"/>
  <c r="G528" i="4"/>
  <c r="G533" i="4"/>
  <c r="G538" i="4"/>
  <c r="G544" i="4"/>
  <c r="G549" i="4"/>
  <c r="G554" i="4"/>
  <c r="G560" i="4"/>
  <c r="G565" i="4"/>
  <c r="G570" i="4"/>
  <c r="G576" i="4"/>
  <c r="G581" i="4"/>
  <c r="G586" i="4"/>
  <c r="G592" i="4"/>
  <c r="G597" i="4"/>
  <c r="G602" i="4"/>
  <c r="G608" i="4"/>
  <c r="G84" i="4"/>
  <c r="G615" i="4"/>
  <c r="G118" i="4"/>
  <c r="G624" i="4"/>
  <c r="G629" i="4"/>
  <c r="G635" i="4"/>
  <c r="G640" i="4"/>
  <c r="G645" i="4"/>
  <c r="G651" i="4"/>
  <c r="G655" i="4"/>
  <c r="G660" i="4"/>
  <c r="G666" i="4"/>
  <c r="G671" i="4"/>
  <c r="G676" i="4"/>
  <c r="G681" i="4"/>
  <c r="G686" i="4"/>
  <c r="G691" i="4"/>
  <c r="G695" i="4"/>
  <c r="G699" i="4"/>
  <c r="G703" i="4"/>
  <c r="G707" i="4"/>
  <c r="G711" i="4"/>
  <c r="G715" i="4"/>
  <c r="G719" i="4"/>
  <c r="G723" i="4"/>
  <c r="G727" i="4"/>
  <c r="G731" i="4"/>
  <c r="G735" i="4"/>
  <c r="G739" i="4"/>
  <c r="G743" i="4"/>
  <c r="G747" i="4"/>
  <c r="G751" i="4"/>
  <c r="A599" i="4"/>
  <c r="A733" i="4"/>
  <c r="A817" i="4"/>
  <c r="A900" i="4"/>
  <c r="A967" i="4"/>
  <c r="A1028" i="4"/>
  <c r="A1086" i="4"/>
  <c r="A1145" i="4"/>
  <c r="A1172" i="4"/>
  <c r="A1194" i="4"/>
  <c r="A1213" i="4"/>
  <c r="A1233" i="4"/>
  <c r="A1254" i="4"/>
  <c r="A1272" i="4"/>
  <c r="A1289" i="4"/>
  <c r="A1309" i="4"/>
  <c r="A1328" i="4"/>
  <c r="A1347" i="4"/>
  <c r="A1368" i="4"/>
  <c r="A1389" i="4"/>
  <c r="A1410" i="4"/>
  <c r="A50" i="4"/>
  <c r="A1435" i="4"/>
  <c r="A12" i="4"/>
  <c r="A63" i="4"/>
  <c r="A55" i="4"/>
  <c r="A90" i="4"/>
  <c r="A1473" i="4"/>
  <c r="G144" i="4"/>
  <c r="G160" i="4"/>
  <c r="G176" i="4"/>
  <c r="G192" i="4"/>
  <c r="G207" i="4"/>
  <c r="G223" i="4"/>
  <c r="G239" i="4"/>
  <c r="G254" i="4"/>
  <c r="G269" i="4"/>
  <c r="G277" i="4"/>
  <c r="G282" i="4"/>
  <c r="G288" i="4"/>
  <c r="G293" i="4"/>
  <c r="G297" i="4"/>
  <c r="G303" i="4"/>
  <c r="G308" i="4"/>
  <c r="G313" i="4"/>
  <c r="G319" i="4"/>
  <c r="G324" i="4"/>
  <c r="G329" i="4"/>
  <c r="G334" i="4"/>
  <c r="G339" i="4"/>
  <c r="G344" i="4"/>
  <c r="G350" i="4"/>
  <c r="G355" i="4"/>
  <c r="G360" i="4"/>
  <c r="G366" i="4"/>
  <c r="G371" i="4"/>
  <c r="G376" i="4"/>
  <c r="G382" i="4"/>
  <c r="G387" i="4"/>
  <c r="G392" i="4"/>
  <c r="G398" i="4"/>
  <c r="G403" i="4"/>
  <c r="G408" i="4"/>
  <c r="G414" i="4"/>
  <c r="G418" i="4"/>
  <c r="G423" i="4"/>
  <c r="G428" i="4"/>
  <c r="G433" i="4"/>
  <c r="G438" i="4"/>
  <c r="G444" i="4"/>
  <c r="G449" i="4"/>
  <c r="G454" i="4"/>
  <c r="G460" i="4"/>
  <c r="G465" i="4"/>
  <c r="G470" i="4"/>
  <c r="G476" i="4"/>
  <c r="G481" i="4"/>
  <c r="G486" i="4"/>
  <c r="G492" i="4"/>
  <c r="G497" i="4"/>
  <c r="G502" i="4"/>
  <c r="G508" i="4"/>
  <c r="G513" i="4"/>
  <c r="G518" i="4"/>
  <c r="G524" i="4"/>
  <c r="G529" i="4"/>
  <c r="G534" i="4"/>
  <c r="G540" i="4"/>
  <c r="G545" i="4"/>
  <c r="G550" i="4"/>
  <c r="G556" i="4"/>
  <c r="G561" i="4"/>
  <c r="G566" i="4"/>
  <c r="G572" i="4"/>
  <c r="G577" i="4"/>
  <c r="G582" i="4"/>
  <c r="G588" i="4"/>
  <c r="G593" i="4"/>
  <c r="G598" i="4"/>
  <c r="G604" i="4"/>
  <c r="G609" i="4"/>
  <c r="G126" i="4"/>
  <c r="G617" i="4"/>
  <c r="G621" i="4"/>
  <c r="G625" i="4"/>
  <c r="G631" i="4"/>
  <c r="G636" i="4"/>
  <c r="G641" i="4"/>
  <c r="G647" i="4"/>
  <c r="G93" i="4"/>
  <c r="G656" i="4"/>
  <c r="G662" i="4"/>
  <c r="G667" i="4"/>
  <c r="G672" i="4"/>
  <c r="G678" i="4"/>
  <c r="G682" i="4"/>
  <c r="G687" i="4"/>
  <c r="G692" i="4"/>
  <c r="G696" i="4"/>
  <c r="G700" i="4"/>
  <c r="G704" i="4"/>
  <c r="G708" i="4"/>
  <c r="G712" i="4"/>
  <c r="G716" i="4"/>
  <c r="G720" i="4"/>
  <c r="G724" i="4"/>
  <c r="G728" i="4"/>
  <c r="G732" i="4"/>
  <c r="G736" i="4"/>
  <c r="G740" i="4"/>
  <c r="G744" i="4"/>
  <c r="G748" i="4"/>
  <c r="G752" i="4"/>
  <c r="G756" i="4"/>
  <c r="G760" i="4"/>
  <c r="G764" i="4"/>
  <c r="G768" i="4"/>
  <c r="G772" i="4"/>
  <c r="G776" i="4"/>
  <c r="A666" i="4"/>
  <c r="A982" i="4"/>
  <c r="A1178" i="4"/>
  <c r="A1258" i="4"/>
  <c r="A1333" i="4"/>
  <c r="A1415" i="4"/>
  <c r="A40" i="4"/>
  <c r="G148" i="4"/>
  <c r="G211" i="4"/>
  <c r="G273" i="4"/>
  <c r="G294" i="4"/>
  <c r="G315" i="4"/>
  <c r="G335" i="4"/>
  <c r="G356" i="4"/>
  <c r="G378" i="4"/>
  <c r="G399" i="4"/>
  <c r="G419" i="4"/>
  <c r="G440" i="4"/>
  <c r="G461" i="4"/>
  <c r="G482" i="4"/>
  <c r="G504" i="4"/>
  <c r="G525" i="4"/>
  <c r="G546" i="4"/>
  <c r="G568" i="4"/>
  <c r="G589" i="4"/>
  <c r="G610" i="4"/>
  <c r="G627" i="4"/>
  <c r="G648" i="4"/>
  <c r="G668" i="4"/>
  <c r="G689" i="4"/>
  <c r="G705" i="4"/>
  <c r="G721" i="4"/>
  <c r="G737" i="4"/>
  <c r="G753" i="4"/>
  <c r="G761" i="4"/>
  <c r="G769" i="4"/>
  <c r="G777" i="4"/>
  <c r="G783" i="4"/>
  <c r="G788" i="4"/>
  <c r="G793" i="4"/>
  <c r="G799" i="4"/>
  <c r="G804" i="4"/>
  <c r="G809" i="4"/>
  <c r="G813" i="4"/>
  <c r="G818" i="4"/>
  <c r="G823" i="4"/>
  <c r="G829" i="4"/>
  <c r="G834" i="4"/>
  <c r="G839" i="4"/>
  <c r="G845" i="4"/>
  <c r="G849" i="4"/>
  <c r="G854" i="4"/>
  <c r="G860" i="4"/>
  <c r="G865" i="4"/>
  <c r="G870" i="4"/>
  <c r="G876" i="4"/>
  <c r="G881" i="4"/>
  <c r="G886" i="4"/>
  <c r="G892" i="4"/>
  <c r="G896" i="4"/>
  <c r="G901" i="4"/>
  <c r="G907" i="4"/>
  <c r="G912" i="4"/>
  <c r="G917" i="4"/>
  <c r="G923" i="4"/>
  <c r="G928" i="4"/>
  <c r="G933" i="4"/>
  <c r="G939" i="4"/>
  <c r="G944" i="4"/>
  <c r="G949" i="4"/>
  <c r="G955" i="4"/>
  <c r="G960" i="4"/>
  <c r="G965" i="4"/>
  <c r="G971" i="4"/>
  <c r="G975" i="4"/>
  <c r="G980" i="4"/>
  <c r="G986" i="4"/>
  <c r="G991" i="4"/>
  <c r="G996" i="4"/>
  <c r="G78" i="4"/>
  <c r="G1006" i="4"/>
  <c r="G65" i="4"/>
  <c r="G1016" i="4"/>
  <c r="G1021" i="4"/>
  <c r="G1026" i="4"/>
  <c r="G1032" i="4"/>
  <c r="G1037" i="4"/>
  <c r="G1042" i="4"/>
  <c r="G1048" i="4"/>
  <c r="G1053" i="4"/>
  <c r="G1058" i="4"/>
  <c r="G1064" i="4"/>
  <c r="G72" i="4"/>
  <c r="G1072" i="4"/>
  <c r="G1077" i="4"/>
  <c r="G1081" i="4"/>
  <c r="G1084" i="4"/>
  <c r="G1090" i="4"/>
  <c r="G1095" i="4"/>
  <c r="G1099" i="4"/>
  <c r="G9" i="4"/>
  <c r="G1109" i="4"/>
  <c r="G1113" i="4"/>
  <c r="G1119" i="4"/>
  <c r="G32" i="4"/>
  <c r="G1128" i="4"/>
  <c r="G1134" i="4"/>
  <c r="G1138" i="4"/>
  <c r="G1143" i="4"/>
  <c r="G1149" i="4"/>
  <c r="G1154" i="4"/>
  <c r="G1159" i="4"/>
  <c r="G1164" i="4"/>
  <c r="G1169" i="4"/>
  <c r="G1174" i="4"/>
  <c r="G1180" i="4"/>
  <c r="G1185" i="4"/>
  <c r="G1190" i="4"/>
  <c r="G1196" i="4"/>
  <c r="G1201" i="4"/>
  <c r="G1204" i="4"/>
  <c r="G1210" i="4"/>
  <c r="G1215" i="4"/>
  <c r="G1220" i="4"/>
  <c r="G1224" i="4"/>
  <c r="G1228" i="4"/>
  <c r="G1231" i="4"/>
  <c r="G134" i="4"/>
  <c r="G1238" i="4"/>
  <c r="G1242" i="4"/>
  <c r="G1246" i="4"/>
  <c r="G1250" i="4"/>
  <c r="G1254" i="4"/>
  <c r="G1257" i="4"/>
  <c r="G1261" i="4"/>
  <c r="G1265" i="4"/>
  <c r="G1268" i="4"/>
  <c r="G1271" i="4"/>
  <c r="G1275" i="4"/>
  <c r="G111" i="4"/>
  <c r="G1279" i="4"/>
  <c r="G1283" i="4"/>
  <c r="G1287" i="4"/>
  <c r="G1291" i="4"/>
  <c r="G1295" i="4"/>
  <c r="G1298" i="4"/>
  <c r="G1302" i="4"/>
  <c r="G1305" i="4"/>
  <c r="G1309" i="4"/>
  <c r="G1313" i="4"/>
  <c r="G1316" i="4"/>
  <c r="G1320" i="4"/>
  <c r="G1324" i="4"/>
  <c r="G1327" i="4"/>
  <c r="G1331" i="4"/>
  <c r="G1335" i="4"/>
  <c r="G1339" i="4"/>
  <c r="G1343" i="4"/>
  <c r="G1346" i="4"/>
  <c r="G1349" i="4"/>
  <c r="G1353" i="4"/>
  <c r="G1357" i="4"/>
  <c r="G1360" i="4"/>
  <c r="G1364" i="4"/>
  <c r="G1368" i="4"/>
  <c r="G1372" i="4"/>
  <c r="G1376" i="4"/>
  <c r="G1380" i="4"/>
  <c r="G1384" i="4"/>
  <c r="G1388" i="4"/>
  <c r="G1392" i="4"/>
  <c r="G1396" i="4"/>
  <c r="G1400" i="4"/>
  <c r="G1404" i="4"/>
  <c r="G1408" i="4"/>
  <c r="G129" i="4"/>
  <c r="G1415" i="4"/>
  <c r="G1418" i="4"/>
  <c r="G1421" i="4"/>
  <c r="G1423" i="4"/>
  <c r="G50" i="4"/>
  <c r="G1427" i="4"/>
  <c r="G31" i="4"/>
  <c r="G62" i="4"/>
  <c r="G1433" i="4"/>
  <c r="G1434" i="4"/>
  <c r="G105" i="4"/>
  <c r="G1441" i="4"/>
  <c r="G1445" i="4"/>
  <c r="G16" i="4"/>
  <c r="G1450" i="4"/>
  <c r="G1452" i="4"/>
  <c r="G133" i="4"/>
  <c r="G1457" i="4"/>
  <c r="G1460" i="4"/>
  <c r="G1463" i="4"/>
  <c r="G63" i="4"/>
  <c r="G39" i="4"/>
  <c r="G54" i="4"/>
  <c r="G114" i="4"/>
  <c r="G1465" i="4"/>
  <c r="G1466" i="4"/>
  <c r="G1467" i="4"/>
  <c r="G70" i="4"/>
  <c r="G85" i="4"/>
  <c r="G98" i="4"/>
  <c r="G56" i="4"/>
  <c r="G64" i="4"/>
  <c r="G1471" i="4"/>
  <c r="G57" i="4"/>
  <c r="G1476" i="4"/>
  <c r="G1478" i="4"/>
  <c r="A755" i="4"/>
  <c r="A1044" i="4"/>
  <c r="A1199" i="4"/>
  <c r="A73" i="4"/>
  <c r="A1353" i="4"/>
  <c r="A1428" i="4"/>
  <c r="A1468" i="4"/>
  <c r="G164" i="4"/>
  <c r="G227" i="4"/>
  <c r="G278" i="4"/>
  <c r="G299" i="4"/>
  <c r="G320" i="4"/>
  <c r="G340" i="4"/>
  <c r="G362" i="4"/>
  <c r="G383" i="4"/>
  <c r="G404" i="4"/>
  <c r="G425" i="4"/>
  <c r="G445" i="4"/>
  <c r="G466" i="4"/>
  <c r="G488" i="4"/>
  <c r="G509" i="4"/>
  <c r="G530" i="4"/>
  <c r="G552" i="4"/>
  <c r="G573" i="4"/>
  <c r="G594" i="4"/>
  <c r="G613" i="4"/>
  <c r="G632" i="4"/>
  <c r="G652" i="4"/>
  <c r="G674" i="4"/>
  <c r="G693" i="4"/>
  <c r="G709" i="4"/>
  <c r="G725" i="4"/>
  <c r="G741" i="4"/>
  <c r="G755" i="4"/>
  <c r="G763" i="4"/>
  <c r="G771" i="4"/>
  <c r="G779" i="4"/>
  <c r="G784" i="4"/>
  <c r="G789" i="4"/>
  <c r="G795" i="4"/>
  <c r="G800" i="4"/>
  <c r="G805" i="4"/>
  <c r="G109" i="4"/>
  <c r="G814" i="4"/>
  <c r="G819" i="4"/>
  <c r="G825" i="4"/>
  <c r="G830" i="4"/>
  <c r="G835" i="4"/>
  <c r="G841" i="4"/>
  <c r="G46" i="4"/>
  <c r="G850" i="4"/>
  <c r="G856" i="4"/>
  <c r="G861" i="4"/>
  <c r="G866" i="4"/>
  <c r="G872" i="4"/>
  <c r="G877" i="4"/>
  <c r="G882" i="4"/>
  <c r="G888" i="4"/>
  <c r="G7" i="4"/>
  <c r="G897" i="4"/>
  <c r="G903" i="4"/>
  <c r="G908" i="4"/>
  <c r="G913" i="4"/>
  <c r="G919" i="4"/>
  <c r="G924" i="4"/>
  <c r="G929" i="4"/>
  <c r="G935" i="4"/>
  <c r="G940" i="4"/>
  <c r="G945" i="4"/>
  <c r="G951" i="4"/>
  <c r="G956" i="4"/>
  <c r="G961" i="4"/>
  <c r="G967" i="4"/>
  <c r="G972" i="4"/>
  <c r="G976" i="4"/>
  <c r="G982" i="4"/>
  <c r="G987" i="4"/>
  <c r="G992" i="4"/>
  <c r="G998" i="4"/>
  <c r="G1002" i="4"/>
  <c r="G1007" i="4"/>
  <c r="G1012" i="4"/>
  <c r="G1017" i="4"/>
  <c r="G1022" i="4"/>
  <c r="G1028" i="4"/>
  <c r="G1033" i="4"/>
  <c r="G1038" i="4"/>
  <c r="G1044" i="4"/>
  <c r="G1049" i="4"/>
  <c r="G1054" i="4"/>
  <c r="G1060" i="4"/>
  <c r="G1065" i="4"/>
  <c r="G1068" i="4"/>
  <c r="G49" i="4"/>
  <c r="G91" i="4"/>
  <c r="G14" i="4"/>
  <c r="G1086" i="4"/>
  <c r="G1091" i="4"/>
  <c r="G1096" i="4"/>
  <c r="G1101" i="4"/>
  <c r="G1105" i="4"/>
  <c r="G97" i="4"/>
  <c r="G1115" i="4"/>
  <c r="G1120" i="4"/>
  <c r="G1124" i="4"/>
  <c r="G1130" i="4"/>
  <c r="G1135" i="4"/>
  <c r="G1139" i="4"/>
  <c r="G1145" i="4"/>
  <c r="G1150" i="4"/>
  <c r="G1155" i="4"/>
  <c r="G1161" i="4"/>
  <c r="G1165" i="4"/>
  <c r="G1170" i="4"/>
  <c r="G1176" i="4"/>
  <c r="G1181" i="4"/>
  <c r="G1186" i="4"/>
  <c r="G1192" i="4"/>
  <c r="G1197" i="4"/>
  <c r="G1202" i="4"/>
  <c r="G1206" i="4"/>
  <c r="G1211" i="4"/>
  <c r="G1216" i="4"/>
  <c r="G1221" i="4"/>
  <c r="G1225" i="4"/>
  <c r="G1229" i="4"/>
  <c r="G1232" i="4"/>
  <c r="G1235" i="4"/>
  <c r="G1239" i="4"/>
  <c r="G1243" i="4"/>
  <c r="G1247" i="4"/>
  <c r="G1251" i="4"/>
  <c r="G1255" i="4"/>
  <c r="G1258" i="4"/>
  <c r="G1262" i="4"/>
  <c r="G1266" i="4"/>
  <c r="G26" i="4"/>
  <c r="G1272" i="4"/>
  <c r="G124" i="4"/>
  <c r="G1276" i="4"/>
  <c r="G1280" i="4"/>
  <c r="G1284" i="4"/>
  <c r="G1288" i="4"/>
  <c r="G1292" i="4"/>
  <c r="G1296" i="4"/>
  <c r="G1299" i="4"/>
  <c r="G1303" i="4"/>
  <c r="G1306" i="4"/>
  <c r="G1310" i="4"/>
  <c r="G1314" i="4"/>
  <c r="G1317" i="4"/>
  <c r="G1321" i="4"/>
  <c r="G30" i="4"/>
  <c r="G1328" i="4"/>
  <c r="G1332" i="4"/>
  <c r="G1336" i="4"/>
  <c r="G1340" i="4"/>
  <c r="G1344" i="4"/>
  <c r="G122" i="4"/>
  <c r="G1350" i="4"/>
  <c r="G1354" i="4"/>
  <c r="G1358" i="4"/>
  <c r="G1361" i="4"/>
  <c r="G1365" i="4"/>
  <c r="G1369" i="4"/>
  <c r="G1373" i="4"/>
  <c r="G1377" i="4"/>
  <c r="G1381" i="4"/>
  <c r="G1385" i="4"/>
  <c r="G1389" i="4"/>
  <c r="G1393" i="4"/>
  <c r="G1397" i="4"/>
  <c r="G1401" i="4"/>
  <c r="G1405" i="4"/>
  <c r="G1409" i="4"/>
  <c r="G1412" i="4"/>
  <c r="G1416" i="4"/>
  <c r="G1419" i="4"/>
  <c r="G1422" i="4"/>
  <c r="G1424" i="4"/>
  <c r="G1426" i="4"/>
  <c r="G1428" i="4"/>
  <c r="G1430" i="4"/>
  <c r="G125" i="4"/>
  <c r="G121" i="4"/>
  <c r="G1435" i="4"/>
  <c r="G1438" i="4"/>
  <c r="G1442" i="4"/>
  <c r="G1446" i="4"/>
  <c r="G68" i="4"/>
  <c r="G18" i="4"/>
  <c r="G1453" i="4"/>
  <c r="G1455" i="4"/>
  <c r="G1458" i="4"/>
  <c r="G22" i="4"/>
  <c r="G115" i="4"/>
  <c r="G24" i="4"/>
  <c r="G40" i="4"/>
  <c r="G69" i="4"/>
  <c r="G23" i="4"/>
  <c r="G36" i="4"/>
  <c r="G55" i="4"/>
  <c r="G1468" i="4"/>
  <c r="G71" i="4"/>
  <c r="G52" i="4"/>
  <c r="G90" i="4"/>
  <c r="G82" i="4"/>
  <c r="G87" i="4"/>
  <c r="G42" i="4"/>
  <c r="G1473" i="4"/>
  <c r="G43" i="4"/>
  <c r="A838" i="4"/>
  <c r="A1101" i="4"/>
  <c r="A1218" i="4"/>
  <c r="A1295" i="4"/>
  <c r="A1373" i="4"/>
  <c r="A1439" i="4"/>
  <c r="A82" i="4"/>
  <c r="G180" i="4"/>
  <c r="G242" i="4"/>
  <c r="G284" i="4"/>
  <c r="G304" i="4"/>
  <c r="G325" i="4"/>
  <c r="G346" i="4"/>
  <c r="G367" i="4"/>
  <c r="G388" i="4"/>
  <c r="G410" i="4"/>
  <c r="G429" i="4"/>
  <c r="G450" i="4"/>
  <c r="G472" i="4"/>
  <c r="G493" i="4"/>
  <c r="G514" i="4"/>
  <c r="G536" i="4"/>
  <c r="G557" i="4"/>
  <c r="G578" i="4"/>
  <c r="G600" i="4"/>
  <c r="G618" i="4"/>
  <c r="G637" i="4"/>
  <c r="G658" i="4"/>
  <c r="G679" i="4"/>
  <c r="G697" i="4"/>
  <c r="G713" i="4"/>
  <c r="G729" i="4"/>
  <c r="G745" i="4"/>
  <c r="G757" i="4"/>
  <c r="G765" i="4"/>
  <c r="G773" i="4"/>
  <c r="G780" i="4"/>
  <c r="G785" i="4"/>
  <c r="G791" i="4"/>
  <c r="G796" i="4"/>
  <c r="G801" i="4"/>
  <c r="G807" i="4"/>
  <c r="G29" i="4"/>
  <c r="G815" i="4"/>
  <c r="G821" i="4"/>
  <c r="G826" i="4"/>
  <c r="G831" i="4"/>
  <c r="G837" i="4"/>
  <c r="G842" i="4"/>
  <c r="G846" i="4"/>
  <c r="G852" i="4"/>
  <c r="G857" i="4"/>
  <c r="G862" i="4"/>
  <c r="G868" i="4"/>
  <c r="G873" i="4"/>
  <c r="G878" i="4"/>
  <c r="G884" i="4"/>
  <c r="G889" i="4"/>
  <c r="G893" i="4"/>
  <c r="G899" i="4"/>
  <c r="G904" i="4"/>
  <c r="G909" i="4"/>
  <c r="G915" i="4"/>
  <c r="G920" i="4"/>
  <c r="G925" i="4"/>
  <c r="G931" i="4"/>
  <c r="G936" i="4"/>
  <c r="G941" i="4"/>
  <c r="G947" i="4"/>
  <c r="G952" i="4"/>
  <c r="G957" i="4"/>
  <c r="G963" i="4"/>
  <c r="G968" i="4"/>
  <c r="G973" i="4"/>
  <c r="G978" i="4"/>
  <c r="G983" i="4"/>
  <c r="G988" i="4"/>
  <c r="G994" i="4"/>
  <c r="G999" i="4"/>
  <c r="G1003" i="4"/>
  <c r="G1009" i="4"/>
  <c r="G1013" i="4"/>
  <c r="G1018" i="4"/>
  <c r="G1024" i="4"/>
  <c r="G1029" i="4"/>
  <c r="G1034" i="4"/>
  <c r="G1040" i="4"/>
  <c r="G1045" i="4"/>
  <c r="G1050" i="4"/>
  <c r="G1056" i="4"/>
  <c r="G1061" i="4"/>
  <c r="G1066" i="4"/>
  <c r="G1070" i="4"/>
  <c r="G1074" i="4"/>
  <c r="G1078" i="4"/>
  <c r="G1082" i="4"/>
  <c r="G1087" i="4"/>
  <c r="G1092" i="4"/>
  <c r="G47" i="4"/>
  <c r="G1102" i="4"/>
  <c r="G1106" i="4"/>
  <c r="G1111" i="4"/>
  <c r="G1116" i="4"/>
  <c r="G1121" i="4"/>
  <c r="G1126" i="4"/>
  <c r="G1131" i="4"/>
  <c r="G1136" i="4"/>
  <c r="G1141" i="4"/>
  <c r="G1146" i="4"/>
  <c r="G1151" i="4"/>
  <c r="G1157" i="4"/>
  <c r="G1162" i="4"/>
  <c r="G1166" i="4"/>
  <c r="G1172" i="4"/>
  <c r="G1177" i="4"/>
  <c r="G1182" i="4"/>
  <c r="G1188" i="4"/>
  <c r="G1193" i="4"/>
  <c r="G1198" i="4"/>
  <c r="G33" i="4"/>
  <c r="G1207" i="4"/>
  <c r="G1212" i="4"/>
  <c r="G1218" i="4"/>
  <c r="G1222" i="4"/>
  <c r="G1226" i="4"/>
  <c r="G79" i="4"/>
  <c r="G1233" i="4"/>
  <c r="G1236" i="4"/>
  <c r="G1240" i="4"/>
  <c r="G1244" i="4"/>
  <c r="G1248" i="4"/>
  <c r="G1252" i="4"/>
  <c r="G128" i="4"/>
  <c r="G1259" i="4"/>
  <c r="G1263" i="4"/>
  <c r="G38" i="4"/>
  <c r="G1269" i="4"/>
  <c r="G1273" i="4"/>
  <c r="G73" i="4"/>
  <c r="G1277" i="4"/>
  <c r="G1281" i="4"/>
  <c r="G1285" i="4"/>
  <c r="G1289" i="4"/>
  <c r="G1293" i="4"/>
  <c r="G41" i="4"/>
  <c r="G1300" i="4"/>
  <c r="G1304" i="4"/>
  <c r="G1307" i="4"/>
  <c r="G1311" i="4"/>
  <c r="G1315" i="4"/>
  <c r="G1318" i="4"/>
  <c r="G1322" i="4"/>
  <c r="G1325" i="4"/>
  <c r="G1329" i="4"/>
  <c r="G1333" i="4"/>
  <c r="G1337" i="4"/>
  <c r="G1341" i="4"/>
  <c r="G61" i="4"/>
  <c r="G1347" i="4"/>
  <c r="G1351" i="4"/>
  <c r="G1355" i="4"/>
  <c r="G1359" i="4"/>
  <c r="G1362" i="4"/>
  <c r="G1366" i="4"/>
  <c r="G1370" i="4"/>
  <c r="G1374" i="4"/>
  <c r="G1378" i="4"/>
  <c r="G1382" i="4"/>
  <c r="G1386" i="4"/>
  <c r="G1390" i="4"/>
  <c r="G1394" i="4"/>
  <c r="G1398" i="4"/>
  <c r="G1402" i="4"/>
  <c r="G1406" i="4"/>
  <c r="G1410" i="4"/>
  <c r="G1413" i="4"/>
  <c r="G10" i="4"/>
  <c r="G1420" i="4"/>
  <c r="G132" i="4"/>
  <c r="G94" i="4"/>
  <c r="G15" i="4"/>
  <c r="G1429" i="4"/>
  <c r="G1431" i="4"/>
  <c r="G127" i="4"/>
  <c r="G102" i="4"/>
  <c r="G1436" i="4"/>
  <c r="G1439" i="4"/>
  <c r="G1443" i="4"/>
  <c r="G1447" i="4"/>
  <c r="G1448" i="4"/>
  <c r="G12" i="4"/>
  <c r="G35" i="4"/>
  <c r="G80" i="4"/>
  <c r="G1459" i="4"/>
  <c r="G1461" i="4"/>
  <c r="G19" i="4"/>
  <c r="G1464" i="4"/>
  <c r="G131" i="4"/>
  <c r="G135" i="4"/>
  <c r="G112" i="4"/>
  <c r="G21" i="4"/>
  <c r="G89" i="4"/>
  <c r="G1469" i="4"/>
  <c r="G83" i="4"/>
  <c r="G1470" i="4"/>
  <c r="G34" i="4"/>
  <c r="G99" i="4"/>
  <c r="G45" i="4"/>
  <c r="G58" i="4"/>
  <c r="G1474" i="4"/>
  <c r="G44" i="4"/>
  <c r="A919" i="4"/>
  <c r="A1157" i="4"/>
  <c r="A1238" i="4"/>
  <c r="A1314" i="4"/>
  <c r="A1394" i="4"/>
  <c r="A133" i="4"/>
  <c r="A43" i="4"/>
  <c r="G196" i="4"/>
  <c r="G258" i="4"/>
  <c r="G289" i="4"/>
  <c r="G309" i="4"/>
  <c r="G330" i="4"/>
  <c r="G351" i="4"/>
  <c r="G372" i="4"/>
  <c r="G394" i="4"/>
  <c r="G415" i="4"/>
  <c r="G434" i="4"/>
  <c r="G456" i="4"/>
  <c r="G477" i="4"/>
  <c r="G498" i="4"/>
  <c r="G520" i="4"/>
  <c r="G541" i="4"/>
  <c r="G562" i="4"/>
  <c r="G584" i="4"/>
  <c r="G605" i="4"/>
  <c r="G622" i="4"/>
  <c r="G643" i="4"/>
  <c r="G663" i="4"/>
  <c r="G683" i="4"/>
  <c r="G701" i="4"/>
  <c r="G717" i="4"/>
  <c r="G733" i="4"/>
  <c r="G749" i="4"/>
  <c r="G759" i="4"/>
  <c r="G767" i="4"/>
  <c r="G775" i="4"/>
  <c r="G781" i="4"/>
  <c r="G787" i="4"/>
  <c r="G792" i="4"/>
  <c r="G797" i="4"/>
  <c r="G803" i="4"/>
  <c r="G808" i="4"/>
  <c r="G811" i="4"/>
  <c r="G817" i="4"/>
  <c r="G822" i="4"/>
  <c r="G827" i="4"/>
  <c r="G833" i="4"/>
  <c r="G838" i="4"/>
  <c r="G843" i="4"/>
  <c r="G848" i="4"/>
  <c r="G853" i="4"/>
  <c r="G858" i="4"/>
  <c r="G864" i="4"/>
  <c r="G869" i="4"/>
  <c r="G874" i="4"/>
  <c r="G880" i="4"/>
  <c r="G885" i="4"/>
  <c r="G890" i="4"/>
  <c r="G895" i="4"/>
  <c r="G900" i="4"/>
  <c r="G905" i="4"/>
  <c r="G911" i="4"/>
  <c r="G916" i="4"/>
  <c r="G921" i="4"/>
  <c r="G927" i="4"/>
  <c r="G932" i="4"/>
  <c r="G937" i="4"/>
  <c r="G943" i="4"/>
  <c r="G948" i="4"/>
  <c r="G953" i="4"/>
  <c r="G959" i="4"/>
  <c r="G964" i="4"/>
  <c r="G969" i="4"/>
  <c r="G110" i="4"/>
  <c r="G979" i="4"/>
  <c r="G984" i="4"/>
  <c r="G990" i="4"/>
  <c r="G995" i="4"/>
  <c r="G1000" i="4"/>
  <c r="G1005" i="4"/>
  <c r="G1010" i="4"/>
  <c r="G1014" i="4"/>
  <c r="G1020" i="4"/>
  <c r="G1025" i="4"/>
  <c r="G1030" i="4"/>
  <c r="G1036" i="4"/>
  <c r="G1041" i="4"/>
  <c r="G1046" i="4"/>
  <c r="G1052" i="4"/>
  <c r="G1057" i="4"/>
  <c r="G1062" i="4"/>
  <c r="G1067" i="4"/>
  <c r="G1071" i="4"/>
  <c r="G1075" i="4"/>
  <c r="G1080" i="4"/>
  <c r="G1083" i="4"/>
  <c r="G1088" i="4"/>
  <c r="G1094" i="4"/>
  <c r="G1098" i="4"/>
  <c r="G1103" i="4"/>
  <c r="G1108" i="4"/>
  <c r="G1112" i="4"/>
  <c r="G1117" i="4"/>
  <c r="G1123" i="4"/>
  <c r="G1127" i="4"/>
  <c r="G1132" i="4"/>
  <c r="G113" i="4"/>
  <c r="G1142" i="4"/>
  <c r="G1147" i="4"/>
  <c r="G1153" i="4"/>
  <c r="G1158" i="4"/>
  <c r="G59" i="4"/>
  <c r="G1168" i="4"/>
  <c r="G1173" i="4"/>
  <c r="G1178" i="4"/>
  <c r="G1184" i="4"/>
  <c r="G1189" i="4"/>
  <c r="G1194" i="4"/>
  <c r="G1200" i="4"/>
  <c r="G60" i="4"/>
  <c r="G1208" i="4"/>
  <c r="G1214" i="4"/>
  <c r="G1219" i="4"/>
  <c r="G1223" i="4"/>
  <c r="G1227" i="4"/>
  <c r="G1230" i="4"/>
  <c r="G1234" i="4"/>
  <c r="G1237" i="4"/>
  <c r="G1253" i="4"/>
  <c r="G1267" i="4"/>
  <c r="G1278" i="4"/>
  <c r="G1294" i="4"/>
  <c r="G1308" i="4"/>
  <c r="G1323" i="4"/>
  <c r="G1338" i="4"/>
  <c r="G1352" i="4"/>
  <c r="G1367" i="4"/>
  <c r="G1383" i="4"/>
  <c r="G1399" i="4"/>
  <c r="G1414" i="4"/>
  <c r="G1425" i="4"/>
  <c r="G123" i="4"/>
  <c r="G1444" i="4"/>
  <c r="G1454" i="4"/>
  <c r="G74" i="4"/>
  <c r="G28" i="4"/>
  <c r="G77" i="4"/>
  <c r="G103" i="4"/>
  <c r="G1241" i="4"/>
  <c r="G1256" i="4"/>
  <c r="G1270" i="4"/>
  <c r="G1282" i="4"/>
  <c r="G1297" i="4"/>
  <c r="G1312" i="4"/>
  <c r="G1326" i="4"/>
  <c r="G1342" i="4"/>
  <c r="G1356" i="4"/>
  <c r="G1371" i="4"/>
  <c r="G1387" i="4"/>
  <c r="G1403" i="4"/>
  <c r="G1417" i="4"/>
  <c r="G95" i="4"/>
  <c r="G20" i="4"/>
  <c r="G11" i="4"/>
  <c r="G1456" i="4"/>
  <c r="G86" i="4"/>
  <c r="G25" i="4"/>
  <c r="G81" i="4"/>
  <c r="G1472" i="4"/>
  <c r="G1245" i="4"/>
  <c r="G1260" i="4"/>
  <c r="G1274" i="4"/>
  <c r="G1286" i="4"/>
  <c r="G1301" i="4"/>
  <c r="G116" i="4"/>
  <c r="G1330" i="4"/>
  <c r="G1345" i="4"/>
  <c r="G104" i="4"/>
  <c r="G1375" i="4"/>
  <c r="G1391" i="4"/>
  <c r="G1407" i="4"/>
  <c r="G13" i="4"/>
  <c r="G67" i="4"/>
  <c r="G1437" i="4"/>
  <c r="G1449" i="4"/>
  <c r="G108" i="4"/>
  <c r="G17" i="4"/>
  <c r="G37" i="4"/>
  <c r="G96" i="4"/>
  <c r="G1475" i="4"/>
  <c r="G1249" i="4"/>
  <c r="G1264" i="4"/>
  <c r="G101" i="4"/>
  <c r="G1290" i="4"/>
  <c r="G27" i="4"/>
  <c r="G1319" i="4"/>
  <c r="G1334" i="4"/>
  <c r="G1348" i="4"/>
  <c r="G1363" i="4"/>
  <c r="G1379" i="4"/>
  <c r="G1395" i="4"/>
  <c r="G1411" i="4"/>
  <c r="G130" i="4"/>
  <c r="G1432" i="4"/>
  <c r="G1440" i="4"/>
  <c r="G1451" i="4"/>
  <c r="G1462" i="4"/>
  <c r="G51" i="4"/>
  <c r="G119" i="4"/>
  <c r="G117" i="4"/>
  <c r="G1477"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<sst xmlns="http://schemas.openxmlformats.org/spreadsheetml/2006/main" count="22377" uniqueCount="4002">
  <si>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</si>
  <si>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</si>
  <si>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</si>
  <si>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</si>
  <si>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</si>
  <si>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</si>
  <si>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</si>
  <si>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</si>
  <si>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</si>
  <si>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</si>
  <si>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</si>
  <si>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</si>
  <si>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</si>
  <si>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</si>
  <si>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</si>
  <si>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</si>
  <si>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</si>
  <si>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</si>
  <si>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</si>
  <si>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</si>
  <si>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</si>
  <si>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</si>
  <si>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</si>
  <si>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</si>
  <si>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</si>
  <si>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</si>
  <si>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</si>
  <si>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</si>
  <si>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</si>
  <si>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</si>
  <si>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</si>
  <si>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</si>
  <si>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</si>
  <si>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</si>
  <si>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</si>
  <si>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</si>
  <si>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</si>
  <si>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</si>
  <si>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</si>
  <si>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</si>
  <si>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</si>
  <si>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</si>
  <si>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</si>
  <si>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</si>
  <si>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</si>
  <si>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</si>
  <si>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</si>
  <si>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</si>
  <si>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</si>
  <si>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</si>
  <si>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</si>
  <si>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</si>
  <si>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</si>
  <si>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</si>
  <si>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</si>
  <si>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</si>
  <si>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</si>
  <si>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</si>
  <si>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</si>
  <si>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</si>
  <si>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</si>
  <si>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</si>
  <si>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</si>
  <si>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</si>
  <si>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</si>
  <si>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</si>
  <si>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</si>
  <si>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</si>
  <si>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</si>
  <si>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</si>
  <si>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</si>
  <si>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</si>
  <si>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</si>
  <si>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</si>
  <si>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</si>
  <si>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</si>
  <si>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</si>
  <si>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</si>
  <si>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</si>
  <si>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</si>
  <si>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</si>
  <si>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</si>
  <si>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</si>
  <si>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</si>
  <si>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</si>
  <si>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</si>
  <si>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</si>
  <si>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</si>
  <si>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</si>
  <si>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</si>
  <si>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</si>
  <si>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</si>
  <si>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</si>
  <si>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</si>
  <si>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</si>
  <si>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</si>
  <si>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</si>
  <si>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</si>
  <si>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</si>
  <si>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</si>
  <si>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</si>
  <si>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</si>
  <si>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</si>
  <si>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</si>
  <si>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</si>
  <si>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</si>
  <si>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</si>
  <si>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</si>
  <si>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</si>
  <si>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</si>
  <si>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</si>
  <si>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</si>
  <si>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</si>
  <si>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</si>
  <si>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</si>
  <si>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</si>
  <si>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</si>
  <si>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</si>
  <si>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</si>
  <si>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</si>
  <si>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</si>
  <si>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</si>
  <si>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</si>
  <si>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</si>
  <si>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</si>
  <si>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</si>
  <si>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</si>
  <si>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</si>
  <si>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</si>
  <si>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</si>
  <si>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</si>
  <si>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</si>
  <si>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</si>
  <si>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</si>
  <si>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</si>
  <si>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</si>
  <si>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</si>
  <si>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</si>
  <si>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</si>
  <si>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</si>
  <si>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</si>
  <si>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</si>
  <si>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</si>
  <si>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</si>
  <si>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</si>
  <si>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</si>
  <si>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</si>
  <si>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</si>
  <si>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</si>
  <si>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</si>
  <si>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</si>
  <si>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</si>
  <si>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</si>
  <si>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</si>
  <si>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</si>
  <si>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</si>
  <si>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</si>
  <si>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</si>
  <si>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</si>
  <si>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</si>
  <si>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</si>
  <si>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</si>
  <si>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</si>
  <si>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</si>
  <si>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</si>
  <si>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</si>
  <si>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</si>
  <si>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</si>
  <si>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</si>
  <si>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</si>
  <si>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</si>
  <si>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</si>
  <si>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</si>
  <si>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</si>
  <si>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</si>
  <si>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</si>
  <si>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</si>
  <si>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</si>
  <si>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</si>
  <si>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</si>
  <si>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</si>
  <si>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</si>
  <si>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</si>
  <si>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</si>
  <si>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</si>
  <si>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</si>
  <si>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</si>
  <si>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</si>
  <si>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</si>
  <si>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</si>
  <si>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</si>
  <si>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</si>
  <si>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</si>
  <si>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</si>
  <si>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</si>
  <si>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</si>
  <si>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</si>
  <si>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</si>
  <si>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</si>
  <si>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</si>
  <si>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</si>
  <si>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</si>
  <si>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</si>
  <si>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</si>
  <si>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</si>
  <si>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</si>
  <si>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</si>
  <si>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</si>
  <si>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</si>
  <si>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</si>
  <si>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</si>
  <si>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</si>
  <si>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</si>
  <si>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</si>
  <si>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</si>
  <si>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</si>
  <si>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</si>
  <si>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</si>
  <si>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</si>
  <si>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</si>
  <si>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</si>
  <si>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</si>
  <si>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</si>
  <si>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</si>
  <si>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</si>
  <si>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</si>
  <si>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</si>
  <si>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</si>
  <si>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</si>
  <si>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</si>
  <si>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</si>
  <si>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</si>
  <si>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</si>
  <si>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</si>
  <si>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</si>
  <si>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</si>
  <si>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</si>
  <si>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</si>
  <si>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</si>
  <si>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</si>
  <si>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</si>
  <si>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</si>
  <si>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</si>
  <si>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</si>
  <si>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</si>
  <si>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</si>
  <si>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</si>
  <si>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</si>
  <si>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</si>
  <si>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</si>
  <si>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</si>
  <si>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</si>
  <si>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</si>
  <si>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</si>
  <si>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</si>
  <si>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</si>
  <si>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</si>
  <si>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</si>
  <si>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</si>
  <si>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</si>
  <si>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</si>
  <si>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</si>
  <si>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</si>
  <si>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</si>
  <si>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</si>
  <si>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</si>
  <si>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</si>
  <si>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</si>
  <si>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</si>
  <si>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</si>
  <si>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</si>
  <si>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</si>
  <si>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</si>
  <si>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</si>
  <si>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</si>
  <si>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</si>
  <si>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</si>
  <si>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</si>
  <si>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</si>
  <si>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</si>
  <si>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</si>
  <si>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</si>
  <si>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</si>
  <si>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</si>
  <si>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</si>
  <si>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</si>
  <si>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</si>
  <si>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</si>
  <si>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</si>
  <si>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</si>
  <si>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</si>
  <si>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</si>
  <si>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</si>
  <si>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</si>
  <si>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</si>
  <si>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</si>
  <si>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</si>
  <si>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</si>
  <si>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</si>
  <si>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</si>
  <si>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</si>
  <si>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</si>
  <si>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</si>
  <si>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</si>
  <si>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</si>
  <si>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</si>
  <si>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</si>
  <si>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</si>
  <si>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</si>
  <si>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</si>
  <si>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</si>
  <si>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</si>
  <si>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</si>
  <si>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</si>
  <si>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</si>
  <si>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</si>
  <si>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</si>
  <si>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</si>
  <si>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</si>
  <si>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</si>
  <si>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</si>
  <si>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</si>
  <si>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</si>
  <si>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</si>
  <si>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</si>
  <si>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</si>
  <si>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</si>
  <si>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</si>
  <si>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</si>
  <si>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</si>
  <si>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</si>
  <si>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</si>
  <si>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</si>
  <si>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</si>
  <si>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</si>
  <si>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</si>
  <si>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</si>
  <si>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</si>
  <si>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</si>
  <si>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</si>
  <si>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</si>
  <si>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</si>
  <si>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</si>
  <si>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</si>
  <si>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</si>
  <si>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</si>
  <si>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</si>
  <si>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</si>
  <si>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</si>
  <si>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</si>
  <si>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</si>
  <si>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</si>
  <si>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</si>
  <si>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</si>
  <si>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</si>
  <si>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</si>
  <si>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</si>
  <si>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</si>
  <si>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</si>
  <si>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</si>
  <si>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</si>
  <si>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</si>
  <si>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</si>
  <si>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</si>
  <si>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</si>
  <si>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</si>
  <si>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</si>
  <si>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</si>
  <si>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</si>
  <si>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</si>
  <si>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</si>
  <si>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</si>
  <si>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</si>
  <si>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</si>
  <si>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</si>
  <si>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</si>
  <si>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</si>
  <si>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</si>
  <si>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</si>
  <si>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</si>
  <si>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</si>
  <si>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</si>
  <si>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</si>
  <si>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</si>
  <si>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</si>
  <si>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</si>
  <si>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</si>
  <si>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</si>
  <si>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</si>
  <si>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</si>
  <si>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</si>
  <si>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</si>
  <si>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</si>
  <si>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</si>
  <si>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</si>
  <si>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</si>
  <si>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</si>
  <si>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</si>
  <si>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</si>
  <si>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</si>
  <si>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</si>
  <si>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</si>
  <si>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</si>
  <si>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</si>
  <si>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</si>
  <si>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</si>
  <si>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</si>
  <si>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</si>
  <si>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</si>
  <si>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</si>
  <si>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</si>
  <si>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</si>
  <si>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</si>
  <si>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</si>
  <si>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</si>
  <si>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</si>
  <si>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</si>
  <si>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</si>
  <si>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</si>
  <si>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</si>
  <si>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</si>
  <si>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</si>
  <si>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</si>
  <si>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</si>
  <si>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</si>
  <si>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</si>
  <si>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</si>
  <si>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</si>
  <si>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</si>
  <si>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</si>
  <si>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</si>
  <si>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</si>
  <si>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</si>
  <si>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</si>
  <si>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</si>
  <si>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</si>
  <si>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</si>
  <si>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</si>
  <si>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</si>
  <si>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</si>
  <si>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</si>
  <si>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</si>
  <si>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</si>
  <si>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</si>
  <si>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</si>
  <si>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</si>
  <si>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</si>
  <si>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</si>
  <si>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</si>
  <si>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</si>
  <si>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</si>
  <si>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</si>
  <si>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</si>
  <si>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</si>
  <si>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</si>
  <si>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</si>
  <si>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</si>
  <si>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</si>
  <si>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</si>
  <si>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</si>
  <si>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</si>
  <si>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</si>
  <si>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</si>
  <si>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</si>
  <si>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</si>
  <si>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</si>
  <si>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</si>
  <si>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</si>
  <si>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</si>
  <si>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</si>
  <si>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</si>
  <si>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</si>
  <si>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</si>
  <si>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</si>
  <si>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</si>
  <si>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</si>
  <si>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</si>
  <si>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</si>
  <si>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</si>
  <si>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</si>
  <si>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</si>
  <si>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</si>
  <si>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</si>
  <si>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</si>
  <si>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</si>
  <si>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</si>
  <si>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</si>
  <si>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</si>
  <si>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</si>
  <si>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</si>
  <si>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</si>
  <si>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</si>
  <si>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</si>
  <si>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</si>
  <si>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</si>
  <si>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</si>
  <si>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</si>
  <si>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</si>
  <si>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</si>
  <si>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</si>
  <si>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</si>
  <si>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</si>
  <si>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</si>
  <si>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</si>
  <si>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</si>
  <si>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</si>
  <si>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</si>
  <si>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</si>
  <si>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</si>
  <si>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</si>
  <si>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</si>
  <si>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</si>
  <si>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</si>
  <si>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</si>
  <si>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</si>
  <si>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</si>
  <si>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</si>
  <si>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</si>
  <si>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</si>
  <si>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</si>
  <si>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</si>
  <si>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</si>
  <si>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</si>
  <si>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</si>
  <si>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</si>
  <si>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</si>
  <si>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</si>
  <si>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</si>
  <si>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</si>
  <si>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</si>
  <si>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</si>
  <si>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</si>
  <si>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</si>
  <si>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</si>
  <si>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</si>
  <si>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</si>
  <si>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</si>
  <si>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</si>
  <si>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</si>
  <si>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</si>
  <si>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</si>
  <si>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</si>
  <si>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</si>
  <si>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</si>
  <si>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</si>
  <si>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</si>
  <si>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</si>
  <si>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</si>
  <si>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</si>
  <si>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</si>
  <si>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</si>
  <si>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</si>
  <si>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</si>
  <si>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</si>
  <si>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</si>
  <si>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</si>
  <si>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</si>
  <si>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</si>
  <si>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</si>
  <si>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</si>
  <si>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</si>
  <si>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</si>
  <si>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</si>
  <si>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</si>
  <si>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</si>
  <si>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</si>
  <si>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</si>
  <si>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</si>
  <si>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</si>
  <si>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</si>
  <si>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</si>
  <si>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</si>
  <si>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</si>
  <si>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</si>
  <si>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</si>
  <si>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</si>
  <si>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</si>
  <si>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</si>
  <si>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</si>
  <si>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</si>
  <si>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</si>
  <si>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</si>
  <si>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</si>
  <si>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</si>
  <si>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</si>
  <si>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</si>
  <si>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</si>
  <si>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</si>
  <si>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</si>
  <si>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</si>
  <si>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</si>
  <si>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</si>
  <si>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</si>
  <si>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</si>
  <si>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</si>
  <si>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</si>
  <si>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</si>
  <si>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</si>
  <si>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</si>
  <si>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</si>
  <si>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</si>
  <si>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</si>
  <si>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</si>
  <si>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</si>
  <si>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</si>
  <si>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</si>
  <si>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</si>
  <si>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</si>
  <si>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</si>
  <si>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</si>
  <si>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</si>
  <si>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</si>
  <si>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</si>
  <si>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</si>
  <si>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</si>
  <si>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</si>
  <si>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</si>
  <si>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</si>
  <si>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</si>
  <si>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</si>
  <si>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</si>
  <si>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</si>
  <si>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</si>
  <si>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</si>
  <si>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</si>
  <si>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</si>
  <si>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</si>
  <si>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</si>
  <si>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</si>
  <si>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</si>
  <si>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</si>
  <si>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</si>
  <si>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</si>
  <si>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</si>
  <si>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</si>
  <si>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</si>
  <si>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</si>
  <si>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</si>
  <si>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</si>
  <si>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</si>
  <si>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</si>
  <si>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</si>
  <si>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</si>
  <si>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</si>
  <si>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</si>
  <si>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</si>
  <si>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</si>
  <si>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</si>
  <si>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</si>
  <si>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</si>
  <si>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</si>
  <si>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</si>
  <si>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</si>
  <si>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</si>
  <si>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</si>
  <si>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</si>
  <si>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</si>
  <si>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</si>
  <si>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</si>
  <si>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</si>
  <si>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</si>
  <si>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</si>
  <si>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</si>
  <si>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</si>
  <si>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</si>
  <si>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</si>
  <si>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</si>
  <si>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</si>
  <si>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</si>
  <si>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</si>
  <si>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</si>
  <si>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</si>
  <si>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</si>
  <si>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</si>
  <si>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</si>
  <si>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</si>
  <si>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</si>
  <si>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</si>
  <si>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</si>
  <si>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</si>
  <si>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</si>
  <si>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</si>
  <si>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</si>
  <si>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</si>
  <si>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</si>
  <si>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</si>
  <si>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</si>
  <si>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</si>
  <si>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</si>
  <si>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</si>
  <si>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</si>
  <si>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</si>
  <si>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</si>
  <si>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</si>
  <si>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</si>
  <si>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</si>
  <si>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</si>
  <si>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</si>
  <si>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</si>
  <si>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</si>
  <si>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</si>
  <si>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</si>
  <si>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</si>
  <si>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</si>
  <si>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</si>
  <si>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</si>
  <si>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</si>
  <si>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</si>
  <si>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</si>
  <si>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</si>
  <si>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</si>
  <si>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</si>
  <si>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</si>
  <si>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</si>
  <si>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</si>
  <si>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</si>
  <si>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</si>
  <si>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</si>
  <si>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</si>
  <si>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</si>
  <si>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</si>
  <si>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</si>
  <si>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</si>
  <si>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</si>
  <si>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</si>
  <si>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</si>
  <si>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</si>
  <si>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</si>
  <si>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</si>
  <si>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</si>
  <si>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</si>
  <si>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</si>
  <si>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</si>
  <si>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</si>
  <si>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</si>
  <si>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</si>
  <si>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</si>
  <si>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</si>
  <si>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</si>
  <si>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</si>
  <si>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</si>
  <si>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</si>
  <si>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</si>
  <si>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</si>
  <si>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</si>
  <si>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</si>
  <si>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</si>
  <si>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</si>
  <si>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</si>
  <si>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</si>
  <si>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</si>
  <si>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</si>
  <si>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</si>
  <si>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</si>
  <si>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</si>
  <si>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</si>
  <si>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</si>
  <si>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</si>
  <si>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</si>
  <si>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</si>
  <si>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</si>
  <si>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</si>
  <si>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</si>
  <si>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</si>
  <si>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</si>
  <si>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</si>
  <si>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</si>
  <si>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</si>
  <si>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</si>
  <si>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</si>
  <si>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</si>
  <si>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</si>
  <si>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</si>
  <si>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</si>
  <si>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</si>
  <si>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</si>
  <si>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</si>
  <si>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</si>
  <si>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</si>
  <si>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</si>
  <si>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</si>
  <si>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</si>
  <si>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</si>
  <si>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</si>
  <si>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</si>
  <si>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</si>
  <si>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</si>
  <si>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</si>
  <si>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</si>
  <si>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</si>
  <si>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</si>
  <si>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</si>
  <si>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</si>
  <si>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</si>
  <si>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</si>
  <si>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</si>
  <si>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</si>
  <si>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</si>
  <si>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</si>
  <si>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</si>
  <si>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</si>
  <si>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</si>
  <si>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</si>
  <si>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</si>
  <si>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</si>
  <si>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</si>
  <si>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</si>
  <si>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</si>
  <si>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</si>
  <si>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</si>
  <si>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</si>
  <si>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</si>
  <si>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</si>
  <si>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</si>
  <si>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</si>
  <si>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</si>
  <si>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</si>
  <si>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</si>
  <si>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</si>
  <si>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</si>
  <si>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</si>
  <si>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</si>
  <si>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</si>
  <si>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</si>
  <si>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</si>
  <si>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</si>
  <si>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</si>
  <si>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</si>
  <si>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</si>
  <si>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</si>
  <si>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</si>
  <si>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</si>
  <si>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</si>
  <si>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</si>
  <si>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</si>
  <si>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</si>
  <si>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</si>
  <si>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</si>
  <si>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</si>
  <si>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</si>
  <si>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</si>
  <si>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</si>
  <si>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</si>
  <si>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</si>
  <si>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</si>
  <si>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</si>
  <si>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</si>
  <si>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</si>
  <si>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</si>
  <si>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</si>
  <si>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</si>
  <si>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</si>
  <si>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</si>
  <si>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</si>
  <si>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</si>
  <si>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</si>
  <si>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</si>
  <si>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</si>
  <si>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</si>
  <si>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</si>
  <si>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</si>
  <si>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</si>
  <si>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</si>
  <si>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</si>
  <si>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</si>
  <si>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</si>
  <si>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</si>
  <si>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</si>
  <si>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</si>
  <si>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</si>
  <si>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</si>
  <si>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</si>
  <si>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</si>
  <si>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</si>
  <si>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</si>
  <si>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</si>
  <si>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</si>
  <si>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</si>
  <si>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</si>
  <si>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</si>
  <si>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</si>
  <si>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</si>
  <si>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</si>
  <si>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</si>
  <si>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</si>
  <si>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</si>
  <si>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</si>
  <si>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</si>
  <si>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</si>
  <si>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</si>
  <si>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</si>
  <si>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</si>
  <si>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</si>
  <si>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</si>
  <si>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</si>
  <si>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</si>
  <si>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</si>
  <si>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</si>
  <si>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</si>
  <si>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</si>
  <si>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</si>
  <si>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</si>
  <si>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</si>
  <si>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</si>
  <si>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</si>
  <si>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</si>
  <si>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</si>
  <si>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</si>
  <si>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</si>
  <si>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</si>
  <si>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</si>
  <si>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</si>
  <si>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</si>
  <si>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</si>
  <si>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</si>
  <si>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</si>
  <si>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</si>
  <si>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</si>
  <si>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</si>
  <si>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</si>
  <si>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</si>
  <si>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</si>
  <si>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</si>
  <si>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</si>
  <si>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</si>
  <si>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</si>
  <si>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</si>
  <si>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</si>
  <si>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</si>
  <si>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</si>
  <si>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</si>
  <si>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</si>
  <si>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</si>
  <si>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</si>
  <si>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</si>
  <si>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</si>
  <si>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</si>
  <si>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</si>
  <si>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</si>
  <si>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</si>
  <si>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</si>
  <si>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</si>
  <si>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</si>
  <si>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</si>
  <si>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</si>
  <si>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</si>
  <si>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</si>
  <si>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</si>
  <si>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</si>
  <si>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</si>
  <si>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</si>
  <si>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</si>
  <si>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</si>
  <si>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</si>
  <si>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</si>
  <si>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</si>
  <si>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</si>
  <si>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</si>
  <si>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</si>
  <si>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</si>
  <si>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</si>
  <si>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</si>
  <si>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</si>
  <si>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</si>
  <si>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</si>
  <si>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</si>
  <si>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</si>
  <si>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</si>
  <si>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</si>
  <si>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</si>
  <si>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</si>
  <si>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</si>
  <si>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</si>
  <si>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</si>
  <si>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</si>
  <si>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</si>
  <si>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</si>
  <si>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</si>
  <si>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</si>
  <si>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</si>
  <si>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</si>
  <si>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</si>
  <si>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</si>
  <si>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</si>
  <si>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</si>
  <si>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</si>
  <si>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</si>
  <si>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</si>
  <si>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</si>
  <si>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</si>
  <si>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</si>
  <si>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</si>
  <si>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</si>
  <si>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</si>
  <si>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</si>
  <si>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</si>
  <si>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</si>
  <si>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</si>
  <si>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</si>
  <si>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</si>
  <si>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</si>
  <si>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</si>
  <si>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</si>
  <si>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</si>
  <si>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</si>
  <si>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</si>
  <si>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</si>
  <si>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</si>
  <si>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</si>
  <si>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</si>
  <si>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</si>
  <si>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</si>
  <si>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</si>
  <si>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</si>
  <si>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</si>
  <si>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</si>
  <si>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</si>
  <si>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</si>
  <si>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</si>
  <si>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</si>
  <si>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</si>
  <si>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</si>
  <si>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</si>
  <si>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</si>
  <si>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</si>
  <si>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</si>
  <si>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</si>
  <si>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</si>
  <si>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</si>
  <si>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</si>
  <si>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</si>
  <si>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</si>
  <si>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</si>
  <si>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</si>
  <si>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</si>
  <si>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</si>
  <si>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</si>
  <si>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</si>
  <si>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</si>
  <si>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</si>
  <si>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</si>
  <si>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</si>
  <si>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</si>
  <si>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</si>
  <si>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</si>
  <si>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</si>
  <si>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</si>
  <si>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</si>
  <si>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</si>
  <si>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</si>
  <si>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</si>
  <si>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</si>
  <si>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</si>
  <si>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</si>
  <si>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</si>
  <si>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</si>
  <si>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</si>
  <si>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</si>
  <si>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</si>
  <si>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</si>
  <si>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</si>
  <si>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</si>
  <si>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</si>
  <si>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</si>
  <si>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</si>
  <si>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</si>
  <si>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</si>
  <si>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</si>
  <si>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</si>
  <si>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</si>
  <si>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</si>
  <si>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</si>
  <si>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</si>
  <si>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</si>
  <si>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</si>
  <si>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</si>
  <si>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</si>
  <si>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</si>
  <si>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</si>
  <si>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</si>
  <si>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</si>
  <si>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</si>
  <si>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</si>
  <si>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</si>
  <si>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</si>
  <si>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</si>
  <si>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</si>
  <si>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</si>
  <si>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</si>
  <si>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</si>
  <si>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</si>
  <si>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</si>
  <si>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</si>
  <si>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</si>
  <si>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</si>
  <si>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</si>
  <si>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</si>
  <si>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</si>
  <si>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</si>
  <si>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</si>
  <si>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</si>
  <si>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</si>
  <si>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</si>
  <si>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</si>
  <si>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</si>
  <si>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</si>
  <si>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</si>
  <si>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</si>
  <si>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</si>
  <si>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</si>
  <si>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</si>
  <si>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</si>
  <si>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</si>
  <si>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</si>
  <si>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</si>
  <si>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</si>
  <si>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</si>
  <si>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</si>
  <si>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</si>
  <si>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</si>
  <si>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</si>
  <si>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</si>
  <si>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</si>
  <si>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</si>
  <si>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</si>
  <si>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</si>
  <si>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</si>
  <si>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</si>
  <si>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</si>
  <si>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</si>
  <si>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</si>
  <si>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</si>
  <si>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</si>
  <si>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</si>
  <si>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</si>
  <si>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</si>
  <si>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</si>
  <si>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</si>
  <si>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</si>
  <si>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</si>
  <si>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</si>
  <si>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</si>
  <si>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</si>
  <si>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</si>
  <si>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</si>
  <si>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</si>
  <si>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</si>
  <si>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</si>
  <si>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</si>
  <si>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</si>
  <si>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</si>
  <si>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</si>
  <si>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</si>
  <si>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</si>
  <si>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</si>
  <si>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</si>
  <si>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</si>
  <si>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</si>
  <si>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</si>
  <si>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</si>
  <si>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</si>
  <si>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</si>
  <si>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</si>
  <si>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</si>
  <si>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</si>
  <si>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</si>
  <si>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</si>
  <si>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</si>
  <si>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</si>
  <si>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</si>
  <si>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</si>
  <si>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</si>
  <si>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</si>
  <si>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</si>
  <si>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</si>
  <si>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</si>
  <si>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</si>
  <si>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</si>
  <si>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</si>
  <si>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</si>
  <si>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</si>
  <si>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</si>
  <si>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</si>
  <si>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</si>
  <si>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</si>
  <si>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</si>
  <si>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</si>
  <si>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</si>
  <si>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</si>
  <si>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</si>
  <si>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</si>
  <si>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</si>
  <si>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</si>
  <si>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</si>
  <si>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</si>
  <si>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</si>
  <si>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</si>
  <si>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</si>
  <si>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</si>
  <si>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</si>
  <si>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</si>
  <si>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</si>
  <si>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</si>
  <si>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</si>
  <si>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</si>
  <si>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</si>
  <si>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</si>
  <si>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</si>
  <si>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</si>
  <si>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</si>
  <si>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</si>
  <si>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</si>
  <si>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</si>
  <si>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</si>
  <si>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</si>
  <si>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</si>
  <si>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</si>
  <si>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</si>
  <si>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</si>
  <si>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</si>
  <si>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</si>
  <si>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</si>
  <si>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</si>
  <si>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</si>
  <si>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</si>
  <si>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</si>
  <si>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</si>
  <si>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</si>
  <si>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</si>
  <si>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</si>
  <si>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</si>
  <si>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</si>
  <si>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</si>
  <si>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</si>
  <si>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</si>
  <si>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</si>
  <si>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</si>
  <si>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</si>
  <si>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</si>
  <si>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</si>
  <si>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</si>
  <si>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</si>
  <si>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</si>
  <si>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</si>
  <si>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</si>
  <si>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</si>
  <si>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</si>
  <si>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</si>
  <si>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</si>
  <si>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</si>
  <si>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</si>
  <si>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</si>
  <si>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</si>
  <si>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</si>
  <si>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</si>
  <si>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</si>
  <si>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</si>
  <si>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</si>
  <si>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</si>
  <si>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</si>
  <si>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</si>
  <si>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</si>
  <si>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</si>
  <si>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</si>
  <si>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</si>
  <si>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</si>
  <si>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</si>
  <si>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</si>
  <si>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</si>
  <si>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</si>
  <si>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</si>
  <si>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</si>
  <si>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</si>
  <si>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</si>
  <si>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</si>
  <si>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</si>
  <si>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</si>
  <si>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</si>
  <si>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</si>
  <si>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</si>
  <si>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</si>
  <si>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</si>
  <si>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</si>
  <si>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</si>
  <si>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</si>
  <si>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</si>
  <si>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</si>
  <si>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</si>
  <si>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</si>
  <si>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</si>
  <si>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</si>
  <si>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</si>
  <si>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</si>
  <si>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</si>
  <si>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</si>
  <si>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</si>
  <si>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</si>
  <si>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</si>
  <si>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</si>
  <si>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</si>
  <si>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</si>
  <si>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</si>
  <si>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</si>
  <si>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</si>
  <si>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</si>
  <si>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</si>
  <si>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</si>
  <si>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</si>
  <si>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</si>
  <si>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</si>
  <si>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</si>
  <si>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</si>
  <si>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</si>
  <si>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</si>
  <si>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</si>
  <si>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</si>
  <si>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</si>
  <si>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</si>
  <si>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</si>
  <si>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</si>
  <si>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</si>
  <si>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</si>
  <si>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</si>
  <si>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</si>
  <si>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</si>
  <si>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</si>
  <si>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</si>
  <si>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</si>
  <si>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</si>
  <si>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</si>
  <si>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</si>
  <si>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</si>
  <si>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</si>
  <si>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</si>
  <si>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</si>
  <si>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</si>
  <si>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</si>
  <si>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</si>
  <si>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</si>
  <si>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</si>
  <si>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</si>
  <si>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</si>
  <si>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</si>
  <si>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</si>
  <si>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</si>
  <si>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</si>
  <si>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</si>
  <si>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</si>
  <si>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</si>
  <si>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</si>
  <si>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</si>
  <si>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</si>
  <si>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</si>
  <si>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</si>
  <si>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</si>
  <si>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</si>
  <si>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</si>
  <si>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</si>
  <si>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</si>
  <si>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</si>
  <si>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</si>
  <si>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</si>
  <si>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</si>
  <si>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</si>
  <si>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</si>
  <si>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</si>
  <si>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</si>
  <si>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</si>
  <si>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</si>
  <si>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</si>
  <si>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</si>
  <si>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</si>
  <si>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</si>
  <si>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</si>
  <si>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</si>
  <si>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</si>
  <si>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</si>
  <si>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</si>
  <si>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</si>
  <si>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</si>
  <si>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</si>
  <si>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</si>
  <si>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</si>
  <si>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</si>
  <si>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</si>
  <si>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</si>
  <si>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</si>
  <si>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</si>
  <si>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</si>
  <si>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</si>
  <si>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</si>
  <si>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</si>
  <si>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</si>
  <si>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</si>
  <si>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</si>
  <si>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</si>
  <si>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</si>
  <si>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</si>
  <si>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</si>
  <si>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</si>
  <si>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</si>
  <si>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</si>
  <si>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</si>
  <si>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</si>
  <si>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</si>
  <si>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</si>
  <si>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</si>
  <si>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</si>
  <si>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</si>
  <si>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</si>
  <si>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</si>
  <si>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</si>
  <si>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</si>
  <si>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</si>
  <si>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</si>
  <si>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</si>
  <si>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</si>
  <si>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</si>
  <si>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</si>
  <si>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</si>
  <si>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</si>
  <si>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</si>
  <si>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</si>
  <si>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</si>
  <si>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</si>
  <si>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</si>
  <si>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</si>
  <si>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</si>
  <si>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</si>
  <si>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</si>
  <si>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</si>
  <si>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</si>
  <si>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</si>
  <si>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</si>
  <si>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</si>
  <si>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</si>
  <si>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</si>
  <si>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</si>
  <si>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</si>
  <si>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</si>
  <si>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</si>
  <si>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</si>
  <si>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</si>
  <si>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</si>
  <si>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</si>
  <si>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</si>
  <si>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</si>
  <si>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</si>
  <si>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</si>
  <si>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</si>
  <si>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</si>
  <si>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</si>
  <si>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</si>
  <si>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</si>
  <si>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</si>
  <si>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</si>
  <si>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</si>
  <si>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</si>
  <si>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</si>
  <si>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</si>
  <si>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</si>
  <si>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</si>
  <si>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</si>
  <si>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</si>
  <si>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</si>
  <si>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</si>
  <si>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</si>
  <si>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</si>
  <si>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</si>
  <si>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</si>
  <si>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</si>
  <si>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</si>
  <si>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</si>
  <si>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</si>
  <si>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</si>
  <si>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</si>
  <si>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</si>
  <si>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</si>
  <si>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</si>
  <si>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</si>
  <si>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</si>
  <si>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</si>
  <si>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</si>
  <si>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</si>
  <si>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</si>
  <si>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</si>
  <si>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</si>
  <si>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</si>
  <si>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</si>
  <si>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</si>
  <si>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</si>
  <si>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</si>
  <si>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</si>
  <si>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</si>
  <si>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</si>
  <si>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</si>
  <si>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</si>
  <si>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</si>
  <si>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</si>
  <si>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</si>
  <si>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</si>
  <si>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</si>
  <si>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</si>
  <si>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</si>
  <si>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</si>
  <si>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</si>
  <si>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</si>
  <si>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</si>
  <si>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</si>
  <si>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</si>
  <si>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</si>
  <si>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</si>
  <si>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</si>
  <si>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</si>
  <si>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</si>
  <si>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</si>
  <si>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</si>
  <si>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</si>
  <si>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</si>
  <si>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</si>
  <si>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</si>
  <si>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</si>
  <si>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</si>
  <si>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</si>
  <si>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</si>
  <si>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</si>
  <si>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</si>
  <si>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</si>
  <si>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</si>
  <si>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</si>
  <si>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</si>
  <si>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</si>
  <si>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</si>
  <si>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</si>
  <si>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</si>
  <si>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</si>
  <si>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</si>
  <si>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</si>
  <si>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</si>
  <si>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</si>
  <si>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</si>
  <si>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</si>
  <si>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</si>
  <si>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</si>
  <si>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</si>
  <si>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</si>
  <si>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</si>
  <si>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</si>
  <si>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</si>
  <si>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</si>
  <si>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</si>
  <si>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</si>
  <si>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</si>
  <si>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</si>
  <si>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</si>
  <si>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</si>
  <si>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</si>
  <si>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</si>
  <si>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</si>
  <si>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</si>
  <si>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</si>
  <si>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</si>
  <si>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</si>
  <si>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</si>
  <si>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</si>
  <si>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</si>
  <si>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</si>
  <si>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</si>
  <si>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</si>
  <si>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</si>
  <si>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</si>
  <si>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</si>
  <si>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</si>
  <si>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</si>
  <si>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</si>
  <si>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</si>
  <si>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</si>
  <si>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</si>
  <si>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</si>
  <si>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</si>
  <si>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</si>
  <si>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</si>
  <si>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</si>
  <si>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</si>
  <si>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</si>
  <si>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</si>
  <si>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</si>
  <si>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</si>
  <si>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</si>
  <si>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</si>
  <si>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</si>
  <si>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</si>
  <si>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</si>
  <si>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</si>
  <si>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</si>
  <si>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</si>
  <si>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</si>
  <si>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</si>
  <si>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</si>
  <si>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</si>
  <si>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</si>
  <si>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</si>
  <si>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</si>
  <si>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</si>
  <si>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</si>
  <si>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</si>
  <si>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</si>
  <si>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</si>
  <si>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</si>
  <si>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</si>
  <si>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</si>
  <si>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</si>
  <si>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</si>
  <si>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</si>
  <si>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</si>
  <si>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</si>
  <si>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</si>
  <si>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</si>
  <si>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</si>
  <si>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</si>
  <si>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</si>
  <si>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</si>
  <si>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</si>
  <si>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</si>
  <si>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</si>
  <si>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</si>
  <si>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</si>
  <si>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</si>
  <si>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</si>
  <si>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</si>
  <si>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</si>
  <si>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</si>
  <si>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</si>
  <si>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</si>
  <si>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</si>
  <si>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</si>
  <si>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</si>
  <si>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</si>
  <si>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</si>
  <si>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</si>
  <si>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</si>
  <si>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</si>
  <si>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</si>
  <si>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</si>
  <si>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</si>
  <si>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</si>
  <si>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</si>
  <si>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</si>
  <si>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</si>
  <si>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</si>
  <si>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</si>
  <si>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</si>
  <si>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</si>
  <si>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</si>
  <si>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</si>
  <si>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</si>
  <si>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</si>
  <si>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</si>
  <si>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</si>
  <si>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</si>
  <si>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</si>
  <si>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</si>
  <si>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</si>
  <si>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</si>
  <si>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</si>
  <si>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</si>
  <si>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</si>
  <si>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</si>
  <si>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</si>
  <si>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</si>
  <si>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</si>
  <si>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</si>
  <si>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</si>
  <si>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</si>
  <si>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</si>
  <si>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</si>
  <si>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</si>
  <si>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</si>
  <si>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</si>
  <si>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</si>
  <si>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</si>
  <si>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</si>
  <si>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</si>
  <si>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</si>
  <si>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</si>
  <si>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</si>
  <si>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</si>
  <si>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</si>
  <si>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</si>
  <si>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</si>
  <si>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</si>
  <si>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</si>
  <si>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</si>
  <si>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</si>
  <si>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</si>
  <si>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</si>
  <si>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</si>
  <si>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</si>
  <si>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</si>
  <si>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</si>
  <si>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</si>
  <si>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</si>
  <si>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</si>
  <si>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</si>
  <si>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</si>
  <si>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</si>
  <si>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</si>
  <si>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</si>
  <si>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</si>
  <si>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</si>
  <si>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</si>
  <si>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</si>
  <si>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</si>
  <si>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</si>
  <si>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</si>
  <si>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</si>
  <si>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</si>
  <si>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</si>
  <si>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</si>
  <si>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</si>
  <si>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</si>
  <si>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</si>
  <si>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</si>
  <si>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</si>
  <si>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</si>
  <si>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</si>
  <si>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</si>
  <si>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</si>
  <si>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</si>
  <si>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</si>
  <si>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</si>
  <si>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</si>
  <si>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</si>
  <si>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</si>
  <si>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</si>
  <si>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</si>
  <si>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</si>
  <si>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</si>
  <si>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</si>
  <si>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</si>
  <si>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</si>
  <si>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</si>
  <si>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</si>
  <si>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</si>
  <si>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</si>
  <si>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</si>
  <si>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</si>
  <si>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</si>
  <si>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</si>
  <si>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</si>
  <si>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</si>
  <si>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</si>
  <si>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</si>
  <si>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</si>
  <si>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</si>
  <si>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</si>
  <si>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</si>
  <si>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</si>
  <si>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</si>
  <si>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</si>
  <si>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</si>
  <si>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</si>
  <si>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</si>
  <si>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</si>
  <si>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</si>
  <si>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</si>
  <si>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</si>
  <si>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</si>
  <si>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</si>
  <si>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</si>
  <si>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</si>
  <si>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</si>
  <si>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</si>
  <si>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</si>
  <si>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</si>
  <si>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</si>
  <si>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</si>
  <si>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</si>
  <si>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</si>
  <si>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</si>
  <si>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</si>
  <si>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</si>
  <si>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</si>
  <si>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</si>
  <si>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</si>
  <si>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</si>
  <si>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</si>
  <si>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</si>
  <si>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</si>
  <si>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</si>
  <si>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</si>
  <si>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</si>
  <si>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</si>
  <si>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</si>
  <si>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</si>
  <si>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</si>
  <si>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</si>
  <si>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</si>
  <si>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</si>
  <si>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</si>
  <si>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</si>
  <si>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</si>
  <si>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</si>
  <si>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</si>
  <si>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</si>
  <si>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</si>
  <si>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</si>
  <si>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</si>
  <si>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</si>
  <si>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</si>
  <si>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</si>
  <si>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</si>
  <si>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</si>
  <si>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</si>
  <si>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</si>
  <si>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</si>
  <si>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</si>
  <si>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</si>
  <si>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</si>
  <si>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</si>
  <si>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</si>
  <si>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</si>
  <si>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</si>
  <si>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</si>
  <si>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</si>
  <si>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</si>
  <si>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</si>
  <si>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</si>
  <si>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</si>
  <si>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</si>
  <si>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</si>
  <si>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</si>
  <si>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</si>
  <si>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</si>
  <si>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</si>
  <si>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</si>
  <si>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</si>
  <si>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</si>
  <si>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</si>
  <si>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</si>
  <si>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</si>
  <si>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</si>
  <si>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</si>
  <si>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</si>
  <si>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</si>
  <si>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</si>
  <si>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</si>
  <si>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</si>
  <si>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</si>
  <si>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</si>
  <si>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</si>
  <si>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</si>
  <si>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</si>
  <si>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</si>
  <si>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</si>
  <si>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</si>
  <si>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</si>
  <si>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</si>
  <si>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</si>
  <si>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</si>
  <si>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</si>
  <si>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</si>
  <si>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</si>
  <si>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</si>
  <si>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</si>
  <si>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</si>
  <si>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</si>
  <si>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</si>
  <si>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</si>
  <si>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</si>
  <si>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</si>
  <si>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</si>
  <si>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</si>
  <si>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</si>
  <si>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</si>
  <si>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</si>
  <si>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</si>
  <si>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</si>
  <si>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</si>
  <si>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</si>
  <si>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</si>
  <si>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</si>
  <si>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</si>
  <si>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</si>
  <si>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</si>
  <si>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</si>
  <si>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</si>
  <si>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</si>
  <si>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</si>
  <si>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</si>
  <si>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</si>
  <si>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</si>
  <si>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</si>
  <si>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</si>
  <si>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</si>
  <si>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</si>
  <si>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</si>
  <si>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</si>
  <si>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</si>
  <si>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</si>
  <si>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</si>
  <si>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</si>
  <si>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</si>
  <si>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</si>
  <si>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</si>
  <si>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</si>
  <si>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</si>
  <si>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</si>
  <si>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</si>
  <si>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</si>
  <si>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</si>
  <si>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</si>
  <si>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</si>
  <si>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</si>
  <si>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</si>
  <si>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</si>
  <si>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</si>
  <si>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</si>
  <si>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</si>
  <si>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</si>
  <si>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</si>
  <si>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</si>
  <si>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</si>
  <si>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</si>
  <si>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</si>
  <si>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</si>
  <si>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</si>
  <si>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</si>
  <si>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</si>
  <si>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</si>
  <si>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</si>
  <si>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</si>
  <si>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</si>
  <si>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</si>
  <si>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</si>
  <si>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</si>
  <si>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</si>
  <si>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</si>
  <si>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</si>
  <si>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</si>
  <si>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</si>
  <si>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</si>
  <si>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</si>
  <si>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</si>
  <si>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</si>
  <si>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</si>
  <si>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</si>
  <si>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</si>
  <si>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</si>
  <si>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</si>
  <si>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</si>
  <si>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</si>
  <si>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</si>
  <si>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</si>
  <si>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</si>
  <si>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</si>
  <si>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</si>
  <si>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</si>
  <si>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</si>
  <si>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</si>
  <si>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</si>
  <si>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</si>
  <si>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</si>
  <si>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</si>
  <si>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</si>
  <si>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</si>
  <si>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</si>
  <si>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</si>
  <si>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</si>
  <si>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</si>
  <si>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</si>
  <si>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</si>
  <si>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</si>
  <si>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</si>
  <si>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</si>
  <si>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</si>
  <si>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</si>
  <si>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</si>
  <si>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</si>
  <si>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</si>
  <si>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</si>
  <si>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</si>
  <si>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</si>
  <si>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</si>
  <si>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</si>
  <si>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</si>
  <si>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</si>
  <si>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</si>
  <si>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</si>
  <si>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</si>
  <si>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</si>
  <si>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</si>
  <si>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</si>
  <si>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</si>
  <si>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</si>
  <si>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</si>
  <si>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</si>
  <si>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</si>
  <si>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</si>
  <si>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</si>
  <si>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</si>
  <si>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</si>
  <si>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</si>
  <si>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</si>
  <si>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</si>
  <si>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</si>
  <si>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</si>
  <si>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</si>
  <si>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</si>
  <si>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</si>
  <si>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</si>
  <si>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</si>
  <si>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</si>
  <si>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</si>
  <si>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</si>
  <si>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</si>
  <si>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</si>
  <si>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</si>
  <si>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</si>
  <si>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</si>
  <si>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</si>
  <si>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</si>
  <si>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</si>
  <si>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</si>
  <si>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</si>
  <si>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</si>
  <si>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</si>
  <si>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</si>
  <si>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</si>
  <si>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</si>
  <si>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</si>
  <si>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</si>
  <si>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</si>
  <si>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</si>
  <si>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</si>
  <si>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</si>
  <si>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</si>
  <si>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</si>
  <si>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</si>
  <si>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</si>
  <si>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</si>
  <si>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</si>
  <si>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</si>
  <si>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</si>
  <si>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</si>
  <si>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</si>
  <si>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</si>
  <si>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</si>
  <si>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</si>
  <si>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</si>
  <si>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</si>
  <si>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</si>
  <si>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</si>
  <si>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</si>
  <si>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</si>
  <si>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</si>
  <si>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</si>
  <si>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</si>
  <si>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</si>
  <si>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</si>
  <si>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</si>
  <si>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</si>
  <si>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</si>
  <si>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</si>
  <si>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</si>
  <si>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</si>
  <si>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</si>
  <si>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</si>
  <si>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</si>
  <si>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</si>
  <si>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</si>
  <si>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</si>
  <si>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</si>
  <si>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</si>
  <si>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</si>
  <si>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</si>
  <si>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</si>
  <si>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</si>
  <si>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</si>
  <si>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</si>
  <si>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</si>
  <si>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</si>
  <si>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</si>
  <si>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</si>
  <si>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</si>
  <si>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</si>
  <si>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</si>
  <si>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</si>
  <si>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</si>
  <si>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</si>
  <si>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</si>
  <si>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</si>
  <si>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</si>
  <si>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</si>
  <si>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</si>
  <si>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</si>
  <si>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</si>
  <si>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</si>
  <si>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</si>
  <si>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</si>
  <si>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</si>
  <si>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</si>
  <si>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</si>
  <si>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</si>
  <si>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</si>
  <si>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</si>
  <si>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</si>
  <si>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</si>
  <si>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</si>
  <si>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</si>
  <si>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</si>
  <si>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</si>
  <si>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</si>
  <si>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</si>
  <si>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</si>
  <si>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</si>
  <si>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</si>
  <si>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</si>
  <si>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</si>
  <si>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</si>
  <si>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</si>
  <si>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</si>
  <si>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</si>
  <si>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</si>
  <si>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</si>
  <si>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</si>
  <si>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</si>
  <si>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</si>
  <si>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</si>
  <si>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</si>
  <si>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</si>
  <si>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</si>
  <si>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</si>
  <si>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</si>
  <si>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</si>
  <si>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</si>
  <si>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</si>
  <si>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</si>
  <si>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</si>
  <si>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</si>
  <si>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</si>
  <si>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</si>
  <si>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</si>
  <si>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</si>
  <si>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</si>
  <si>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</si>
  <si>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</si>
  <si>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</si>
  <si>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</si>
  <si>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</si>
  <si>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</si>
  <si>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</si>
  <si>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</si>
  <si>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</si>
  <si>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</si>
  <si>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</si>
  <si>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</si>
  <si>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</si>
  <si>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</si>
  <si>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</si>
  <si>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</si>
  <si>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</si>
  <si>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</si>
  <si>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</si>
  <si>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</si>
  <si>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</si>
  <si>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</si>
  <si>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</si>
  <si>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</si>
  <si>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</si>
  <si>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</si>
  <si>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</si>
  <si>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</si>
  <si>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</si>
  <si>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</si>
  <si>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</si>
  <si>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</si>
  <si>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</si>
  <si>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</si>
  <si>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</si>
  <si>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</si>
  <si>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</si>
  <si>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</si>
  <si>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</si>
  <si>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</si>
  <si>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</si>
  <si>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</si>
  <si>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</si>
  <si>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</si>
  <si>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</si>
  <si>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</si>
  <si>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</si>
  <si>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</si>
  <si>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</si>
  <si>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</si>
  <si>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</si>
  <si>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</si>
  <si>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</si>
  <si>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</si>
  <si>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</si>
  <si>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</si>
  <si>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</si>
  <si>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</si>
  <si>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</si>
  <si>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</si>
  <si>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</si>
  <si>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</si>
  <si>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</si>
  <si>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</si>
  <si>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</si>
  <si>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</si>
  <si>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</si>
  <si>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</si>
  <si>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</si>
  <si>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</si>
  <si>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</si>
  <si>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</si>
  <si>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</si>
  <si>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</si>
  <si>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</si>
  <si>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</si>
  <si>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</si>
  <si>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</si>
  <si>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</si>
  <si>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</si>
  <si>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</si>
  <si>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</si>
  <si>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</si>
  <si>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</si>
  <si>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</si>
  <si>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</si>
  <si>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</si>
  <si>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</si>
  <si>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</si>
  <si>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</si>
  <si>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</si>
  <si>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</si>
  <si>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</si>
  <si>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</si>
  <si>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</si>
  <si>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</si>
  <si>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</si>
  <si>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</si>
  <si>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</si>
  <si>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</si>
  <si>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</si>
  <si>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</si>
  <si>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</si>
  <si>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</si>
  <si>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</si>
  <si>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</si>
  <si>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</si>
  <si>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</si>
  <si>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</si>
  <si>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</si>
  <si>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</si>
  <si>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</si>
  <si>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</si>
  <si>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</si>
  <si>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</si>
  <si>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</si>
  <si>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</si>
  <si>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</si>
  <si>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</si>
  <si>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</si>
  <si>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</si>
  <si>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</si>
  <si>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</si>
  <si>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</si>
  <si>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</si>
  <si>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</si>
  <si>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</si>
  <si>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</si>
  <si>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</si>
  <si>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</si>
  <si>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</si>
  <si>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</si>
  <si>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</si>
  <si>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</si>
  <si>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</si>
  <si>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</si>
  <si>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</si>
  <si>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</si>
  <si>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</si>
  <si>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</si>
  <si>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</si>
  <si>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</si>
  <si>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</si>
  <si>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</si>
  <si>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</si>
  <si>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</si>
  <si>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</si>
  <si>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</si>
  <si>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</si>
  <si>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</si>
  <si>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</si>
  <si>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</si>
  <si>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</si>
  <si>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</si>
  <si>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</si>
  <si>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</si>
  <si>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</si>
  <si>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</si>
  <si>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</si>
  <si>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</si>
  <si>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</si>
  <si>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</si>
  <si>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</si>
  <si>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</si>
  <si>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</si>
  <si>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</si>
  <si>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</si>
  <si>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</si>
  <si>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</si>
  <si>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</si>
  <si>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</si>
  <si>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</si>
  <si>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</si>
  <si>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</si>
  <si>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</si>
  <si>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</si>
  <si>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</si>
  <si>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</si>
  <si>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</si>
  <si>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</si>
  <si>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</si>
  <si>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</si>
  <si>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</si>
  <si>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</si>
  <si>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</si>
  <si>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</si>
  <si>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</si>
  <si>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</si>
  <si>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</si>
  <si>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</si>
  <si>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</si>
  <si>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</si>
  <si>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</si>
  <si>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</si>
  <si>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</si>
  <si>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</si>
  <si>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</si>
  <si>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</si>
  <si>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</si>
  <si>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</si>
  <si>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</si>
  <si>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</si>
  <si>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</si>
  <si>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</si>
  <si>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</si>
  <si>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</si>
  <si>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</si>
  <si>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</si>
  <si>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</si>
  <si>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</si>
  <si>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</si>
  <si>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</si>
  <si>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</si>
  <si>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</si>
  <si>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</si>
  <si>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</si>
  <si>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</si>
  <si>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</si>
  <si>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</si>
  <si>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</si>
  <si>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</si>
  <si>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</si>
  <si>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</si>
  <si>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</si>
  <si>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</si>
  <si>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</si>
  <si>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</si>
  <si>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</si>
  <si>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</si>
  <si>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</si>
  <si>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</si>
  <si>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</si>
  <si>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</si>
  <si>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</si>
  <si>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</si>
  <si>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</si>
  <si>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</si>
  <si>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</si>
  <si>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</si>
  <si>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</si>
  <si>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</si>
  <si>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</si>
  <si>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</si>
  <si>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</si>
  <si>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</si>
  <si>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</si>
  <si>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</si>
  <si>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</si>
  <si>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</si>
  <si>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</si>
  <si>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</si>
  <si>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</si>
  <si>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</si>
  <si>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</si>
  <si>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</si>
  <si>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</si>
  <si>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</si>
  <si>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</si>
  <si>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</si>
  <si>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</si>
  <si>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</si>
  <si>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</si>
  <si>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</si>
  <si>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</si>
  <si>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</si>
  <si>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</si>
  <si>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</si>
  <si>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</si>
  <si>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</si>
  <si>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</si>
  <si>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</si>
  <si>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</si>
  <si>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</si>
  <si>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</si>
  <si>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</si>
  <si>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</si>
  <si>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</si>
  <si>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</si>
  <si>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</si>
  <si>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</si>
  <si>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</si>
  <si>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</si>
  <si>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</si>
  <si>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</si>
  <si>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</si>
  <si>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</si>
  <si>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</si>
  <si>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</si>
  <si>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</si>
  <si>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</si>
  <si>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</si>
  <si>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</si>
  <si>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</si>
  <si>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</si>
  <si>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</si>
  <si>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</si>
  <si>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</si>
  <si>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</si>
  <si>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</si>
  <si>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</si>
  <si>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</si>
  <si>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</si>
  <si>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</si>
  <si>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</si>
  <si>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</si>
  <si>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</si>
  <si>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</si>
  <si>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</si>
  <si>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</si>
  <si>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</si>
  <si>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</si>
  <si>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</si>
  <si>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</si>
  <si>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</si>
  <si>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</si>
  <si>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</si>
  <si>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</si>
  <si>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</si>
  <si>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</si>
  <si>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</si>
  <si>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</si>
  <si>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</si>
  <si>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</si>
  <si>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</si>
  <si>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</si>
  <si>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</si>
  <si>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</si>
  <si>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</si>
  <si>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</si>
  <si>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</si>
  <si>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</si>
  <si>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</si>
  <si>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</si>
  <si>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</si>
  <si>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</si>
  <si>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</si>
  <si>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</si>
  <si>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</si>
  <si>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</si>
  <si>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</si>
  <si>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</si>
  <si>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</si>
  <si>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</si>
  <si>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</si>
  <si>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</si>
  <si>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</si>
  <si>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</si>
  <si>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</si>
  <si>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</si>
  <si>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</si>
  <si>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</si>
  <si>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</si>
  <si>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</si>
  <si>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</si>
  <si>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</si>
  <si>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</si>
  <si>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</si>
  <si>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</si>
  <si>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</si>
  <si>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</si>
  <si>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</si>
  <si>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</si>
  <si>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</si>
  <si>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</si>
  <si>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</si>
  <si>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</si>
  <si>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</si>
  <si>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</si>
  <si>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</si>
  <si>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</si>
  <si>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</si>
  <si>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</si>
  <si>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</si>
  <si>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</si>
  <si>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</si>
  <si>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</si>
  <si>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</si>
  <si>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</si>
  <si>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</si>
  <si>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</si>
  <si>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</si>
  <si>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</si>
  <si>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</si>
  <si>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</si>
  <si>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</si>
  <si>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</si>
  <si>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</si>
  <si>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</si>
  <si>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</si>
  <si>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</si>
  <si>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</si>
  <si>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</si>
  <si>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</si>
  <si>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</si>
  <si>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</si>
  <si>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</si>
  <si>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</si>
  <si>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</si>
  <si>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</si>
  <si>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</si>
  <si>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</si>
  <si>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</si>
  <si>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</si>
  <si>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</si>
  <si>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</si>
  <si>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</si>
  <si>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</si>
  <si>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</si>
  <si>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</si>
  <si>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</si>
  <si>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</si>
  <si>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</si>
  <si>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</si>
  <si>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</si>
  <si>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</si>
  <si>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</si>
  <si>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</si>
  <si>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</si>
  <si>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</si>
  <si>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</si>
  <si>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</si>
  <si>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</si>
  <si>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</si>
  <si>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</si>
  <si>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</si>
  <si>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</si>
  <si>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</si>
  <si>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</si>
  <si>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</si>
  <si>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</si>
  <si>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</si>
  <si>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</si>
  <si>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</si>
  <si>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</si>
  <si>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</si>
  <si>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</si>
  <si>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</si>
  <si>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</si>
  <si>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</si>
  <si>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</si>
  <si>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</si>
  <si>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</si>
  <si>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</si>
  <si>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</si>
  <si>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</si>
  <si>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</si>
  <si>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</si>
  <si>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</si>
  <si>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</si>
  <si>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</si>
  <si>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</si>
  <si>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</si>
  <si>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</si>
  <si>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</si>
  <si>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</si>
  <si>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</si>
  <si>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</si>
  <si>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</si>
  <si>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</si>
  <si>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</si>
  <si>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</si>
  <si>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</si>
  <si>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</si>
  <si>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</si>
  <si>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</si>
  <si>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</si>
  <si>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</si>
  <si>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</si>
  <si>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</si>
  <si>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</si>
  <si>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</si>
  <si>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</si>
  <si>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</si>
  <si>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</si>
  <si>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</si>
  <si>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</si>
  <si>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</si>
  <si>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</si>
  <si>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</si>
  <si>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</si>
  <si>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</si>
  <si>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</si>
  <si>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</si>
  <si>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</si>
  <si>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</si>
  <si>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</si>
  <si>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</si>
  <si>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</si>
  <si>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</si>
  <si>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</si>
  <si>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</si>
  <si>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</si>
  <si>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</si>
  <si>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</si>
  <si>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</si>
  <si>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</si>
  <si>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</si>
  <si>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</si>
  <si>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</si>
  <si>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</si>
  <si>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</si>
  <si>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</si>
  <si>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</si>
  <si>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</si>
  <si>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</si>
  <si>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</si>
  <si>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</si>
  <si>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</si>
  <si>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</si>
  <si>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</si>
  <si>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</si>
  <si>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</si>
  <si>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</si>
  <si>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</si>
  <si>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</si>
  <si>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</si>
  <si>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</si>
  <si>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</si>
  <si>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</si>
  <si>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</si>
  <si>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</si>
  <si>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</si>
  <si>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</si>
  <si>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</si>
  <si>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</si>
  <si>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</si>
  <si>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</si>
  <si>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</si>
  <si>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</si>
  <si>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</si>
  <si>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</si>
  <si>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</si>
  <si>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737859</t>
  </si>
  <si>
    <t>703289</t>
  </si>
  <si>
    <t>634112</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</si>
  <si>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</si>
  <si>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</si>
  <si>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</si>
  <si>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</si>
  <si>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</si>
  <si>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</si>
  <si>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</si>
  <si>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</si>
  <si>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</si>
  <si>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</si>
  <si>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</si>
  <si>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</si>
  <si>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</si>
  <si>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</si>
  <si>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</si>
  <si>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</si>
  <si>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</si>
  <si>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</si>
  <si>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</si>
  <si>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</si>
  <si>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</si>
  <si>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</si>
  <si>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</si>
  <si>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</si>
  <si>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</si>
  <si>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</si>
  <si>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</si>
  <si>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</si>
  <si>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</si>
  <si>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</si>
  <si>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</si>
  <si>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</si>
  <si>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</si>
  <si>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</si>
  <si>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</si>
  <si>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</si>
  <si>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</si>
  <si>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</si>
  <si>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</si>
  <si>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</si>
  <si>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</si>
  <si>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</si>
  <si>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</si>
  <si>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</si>
  <si>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</si>
  <si>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</si>
  <si>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</si>
  <si>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</si>
  <si>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</si>
  <si>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</si>
  <si>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</si>
  <si>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</si>
  <si>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</si>
  <si>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</si>
  <si>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</si>
  <si>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</si>
  <si>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</si>
  <si>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</si>
  <si>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</si>
  <si>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</si>
  <si>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</si>
  <si>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</si>
  <si>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</si>
  <si>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</si>
  <si>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</si>
  <si>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</si>
  <si>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</si>
  <si>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</si>
  <si>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</si>
  <si>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</si>
  <si>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</si>
  <si>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</si>
  <si>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</si>
  <si>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</si>
  <si>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</si>
  <si>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</si>
  <si>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</si>
  <si>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</si>
  <si>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744765</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</si>
  <si>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</si>
  <si>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</si>
  <si>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</si>
  <si>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</si>
  <si>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</si>
  <si>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</si>
  <si>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</si>
  <si>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</si>
  <si>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</si>
  <si>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</si>
  <si>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</si>
  <si>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</si>
  <si>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</si>
  <si>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</si>
  <si>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</si>
  <si>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</si>
  <si>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</si>
  <si>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</si>
  <si>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</si>
  <si>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</si>
  <si>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</si>
  <si>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</si>
  <si>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</si>
  <si>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</si>
  <si>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</si>
  <si>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</si>
  <si>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</si>
  <si>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</si>
  <si>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</si>
  <si>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</si>
  <si>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</si>
  <si>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</si>
  <si>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</si>
  <si>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</si>
  <si>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</si>
  <si>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</si>
  <si>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</si>
  <si>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</si>
  <si>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</si>
  <si>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</si>
  <si>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</si>
  <si>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</si>
  <si>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</si>
  <si>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</si>
  <si>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</si>
  <si>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</si>
  <si>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</si>
  <si>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</si>
  <si>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</si>
  <si>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</si>
  <si>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</si>
  <si>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</si>
  <si>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</si>
  <si>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</si>
  <si>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</si>
  <si>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</si>
  <si>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</si>
  <si>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</si>
  <si>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</si>
  <si>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</si>
  <si>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</si>
  <si>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</si>
  <si>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</si>
  <si>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</si>
  <si>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</si>
  <si>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</si>
  <si>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</si>
  <si>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</si>
  <si>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</si>
  <si>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</si>
  <si>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</si>
  <si>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</si>
  <si>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</si>
  <si>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</si>
  <si>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</si>
  <si>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</si>
  <si>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</si>
  <si>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</si>
  <si>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</si>
  <si>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</si>
  <si>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</si>
  <si>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</si>
  <si>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</si>
  <si>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</si>
  <si>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</si>
  <si>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</si>
  <si>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</si>
  <si>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</si>
  <si>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</si>
  <si>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</si>
  <si>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</si>
  <si>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</si>
  <si>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</si>
  <si>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</si>
  <si>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</si>
  <si>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</si>
  <si>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</si>
  <si>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</si>
  <si>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</si>
  <si>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</si>
  <si>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</si>
  <si>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</si>
  <si>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</si>
  <si>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</si>
  <si>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</si>
  <si>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</si>
  <si>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</si>
  <si>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</si>
  <si>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</si>
  <si>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</si>
  <si>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</si>
  <si>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</si>
  <si>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</si>
  <si>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</si>
  <si>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</si>
  <si>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</si>
  <si>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</si>
  <si>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</si>
  <si>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</si>
  <si>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</si>
  <si>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</si>
  <si>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</si>
  <si>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</si>
  <si>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</si>
  <si>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</si>
  <si>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</si>
  <si>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</si>
  <si>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</si>
  <si>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</si>
  <si>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</si>
  <si>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</si>
  <si>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</si>
  <si>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</si>
  <si>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</si>
  <si>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</si>
  <si>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</si>
  <si>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</si>
  <si>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</si>
  <si>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</si>
  <si>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</si>
  <si>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</si>
  <si>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</si>
  <si>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</si>
  <si>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</si>
  <si>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</si>
  <si>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</si>
  <si>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</si>
  <si>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</si>
  <si>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</si>
  <si>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</si>
  <si>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</si>
  <si>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</si>
  <si>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</si>
  <si>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</si>
  <si>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</si>
  <si>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</si>
  <si>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</si>
  <si>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</si>
  <si>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</si>
  <si>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</si>
  <si>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</si>
  <si>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</si>
  <si>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</si>
  <si>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</si>
  <si>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</si>
  <si>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</si>
  <si>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</si>
  <si>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</si>
  <si>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</si>
  <si>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</si>
  <si>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</si>
  <si>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</si>
  <si>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</si>
  <si>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</si>
  <si>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</si>
  <si>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</si>
  <si>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</si>
  <si>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</si>
  <si>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</si>
  <si>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</si>
  <si>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</si>
  <si>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</si>
  <si>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</si>
  <si>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</si>
  <si>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</si>
  <si>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</si>
  <si>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</si>
  <si>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</si>
  <si>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</si>
  <si>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</si>
  <si>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</si>
  <si>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</si>
  <si>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</si>
  <si>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</si>
  <si>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</si>
  <si>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</si>
  <si>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</si>
  <si>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</si>
  <si>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</si>
  <si>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</si>
  <si>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</si>
  <si>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</si>
  <si>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</si>
  <si>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</si>
  <si>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</si>
  <si>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</si>
  <si>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</si>
  <si>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</si>
  <si>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</si>
  <si>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</si>
  <si>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</si>
  <si>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</si>
  <si>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</si>
  <si>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</si>
  <si>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</si>
  <si>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</si>
  <si>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</si>
  <si>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</si>
  <si>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</si>
  <si>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</si>
  <si>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</si>
  <si>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</si>
  <si>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</si>
  <si>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</si>
  <si>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</si>
  <si>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</si>
  <si>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</si>
  <si>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</si>
  <si>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</si>
  <si>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</si>
  <si>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</si>
  <si>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</si>
  <si>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</si>
  <si>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</si>
  <si>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</si>
  <si>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</si>
  <si>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</si>
  <si>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</si>
  <si>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</si>
  <si>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</si>
  <si>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</si>
  <si>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</si>
  <si>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</si>
  <si>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</si>
  <si>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</si>
  <si>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</si>
  <si>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</si>
  <si>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</si>
  <si>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</si>
  <si>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</si>
  <si>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</si>
  <si>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</si>
  <si>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</si>
  <si>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</si>
  <si>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</si>
  <si>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</si>
  <si>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</si>
  <si>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</si>
  <si>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</si>
  <si>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</si>
  <si>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</si>
  <si>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</si>
  <si>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</si>
  <si>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</si>
  <si>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</si>
  <si>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</si>
  <si>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</si>
  <si>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</si>
  <si>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</si>
  <si>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</si>
  <si>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</si>
  <si>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</si>
  <si>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</si>
  <si>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</si>
  <si>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</si>
  <si>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</si>
  <si>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</si>
  <si>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</si>
  <si>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</si>
  <si>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</si>
  <si>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</si>
  <si>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</si>
  <si>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</si>
  <si>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</si>
  <si>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</si>
  <si>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</si>
  <si>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</si>
  <si>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</si>
  <si>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</si>
  <si>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</si>
  <si>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</si>
  <si>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</si>
  <si>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</si>
  <si>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</si>
  <si>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</si>
  <si>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</si>
  <si>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</si>
  <si>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</si>
  <si>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</si>
  <si>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</si>
  <si>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</si>
  <si>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</si>
  <si>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</si>
  <si>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</si>
  <si>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</si>
  <si>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</si>
  <si>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</si>
  <si>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</si>
  <si>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</si>
  <si>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</si>
  <si>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</si>
  <si>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</si>
  <si>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</si>
  <si>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</si>
  <si>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</si>
  <si>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</si>
  <si>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</si>
  <si>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</si>
  <si>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</si>
  <si>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</si>
  <si>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</si>
  <si>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</si>
  <si>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</si>
  <si>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</si>
  <si>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</si>
  <si>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</si>
  <si>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</si>
  <si>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</si>
  <si>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</si>
  <si>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</si>
  <si>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</si>
  <si>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</si>
  <si>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</si>
  <si>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</si>
  <si>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</si>
  <si>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</si>
  <si>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</si>
  <si>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</si>
  <si>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</si>
  <si>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</si>
  <si>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</si>
  <si>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</si>
  <si>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</si>
  <si>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</si>
  <si>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</si>
  <si>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</si>
  <si>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</si>
  <si>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</si>
  <si>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</si>
  <si>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</si>
  <si>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</si>
  <si>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</si>
  <si>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</si>
  <si>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</si>
  <si>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</si>
  <si>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</si>
  <si>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</si>
  <si>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</si>
  <si>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</si>
  <si>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</si>
  <si>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</si>
  <si>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</si>
  <si>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</si>
  <si>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</si>
  <si>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</si>
  <si>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</si>
  <si>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</si>
  <si>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</si>
  <si>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</si>
  <si>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</si>
  <si>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</si>
  <si>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</si>
  <si>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</si>
  <si>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</si>
  <si>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</si>
  <si>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</si>
  <si>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</si>
  <si>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</si>
  <si>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</si>
  <si>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</si>
  <si>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</si>
  <si>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</si>
  <si>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</si>
  <si>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</si>
  <si>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</si>
  <si>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</si>
  <si>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</si>
  <si>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</si>
  <si>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</si>
  <si>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</si>
  <si>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</si>
  <si>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</si>
  <si>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</si>
  <si>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</si>
  <si>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</si>
  <si>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</si>
  <si>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</si>
  <si>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</si>
  <si>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</si>
  <si>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</si>
  <si>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</si>
  <si>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</si>
  <si>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</si>
  <si>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</si>
  <si>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</si>
  <si>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</si>
  <si>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</si>
  <si>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</si>
  <si>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</si>
  <si>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</si>
  <si>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</si>
  <si>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</si>
  <si>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Table Control</t>
  </si>
  <si>
    <t>746999</t>
  </si>
  <si>
    <t>747301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</si>
  <si>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</si>
  <si>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</si>
  <si>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</si>
  <si>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</si>
  <si>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</si>
  <si>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</si>
  <si>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</si>
  <si>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</si>
  <si>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</si>
  <si>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</si>
  <si>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</si>
  <si>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</si>
  <si>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</si>
  <si>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</si>
  <si>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</si>
  <si>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</si>
  <si>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</si>
  <si>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</si>
  <si>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</si>
  <si>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</si>
  <si>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</si>
  <si>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</si>
  <si>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</si>
  <si>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</si>
  <si>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</si>
  <si>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</si>
  <si>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</si>
  <si>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</si>
  <si>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</si>
  <si>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</si>
  <si>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</si>
  <si>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</si>
  <si>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</si>
  <si>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</si>
  <si>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</si>
  <si>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</si>
  <si>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</si>
  <si>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</si>
  <si>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</si>
  <si>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</si>
  <si>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</si>
  <si>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</si>
  <si>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748377</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</si>
  <si>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</si>
  <si>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</si>
  <si>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</si>
  <si>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</si>
  <si>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</si>
  <si>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</si>
  <si>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</si>
  <si>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</si>
  <si>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</si>
  <si>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</si>
  <si>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</si>
  <si>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</si>
  <si>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</si>
  <si>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</si>
  <si>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</si>
  <si>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</si>
  <si>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</si>
  <si>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</si>
  <si>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</si>
  <si>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</si>
  <si>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</si>
  <si>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</si>
  <si>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</si>
  <si>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Shell Habanero</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</si>
  <si>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</si>
  <si>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</si>
  <si>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</si>
  <si>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</si>
  <si>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</si>
  <si>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</si>
  <si>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</si>
  <si>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</si>
  <si>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</si>
  <si>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</si>
  <si>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</si>
  <si>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</si>
  <si>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</si>
  <si>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</si>
  <si>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</si>
  <si>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</si>
  <si>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</si>
  <si>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</si>
  <si>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</si>
  <si>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</si>
  <si>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</si>
  <si>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</si>
  <si>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</si>
  <si>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</si>
  <si>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</si>
  <si>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</si>
  <si>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</si>
  <si>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</si>
  <si>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</si>
  <si>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</si>
  <si>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</si>
  <si>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</si>
  <si>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</si>
  <si>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</si>
  <si>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</si>
  <si>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</si>
  <si>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</si>
  <si>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</si>
  <si>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</si>
  <si>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</si>
  <si>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</si>
  <si>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</si>
  <si>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</si>
  <si>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</si>
  <si>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</si>
  <si>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</si>
  <si>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</si>
  <si>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</si>
  <si>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</si>
  <si>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</si>
  <si>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</si>
  <si>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</si>
  <si>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</si>
  <si>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</si>
  <si>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</si>
  <si>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</si>
  <si>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</si>
  <si>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</si>
  <si>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</si>
  <si>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</si>
  <si>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</si>
  <si>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</si>
  <si>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</si>
  <si>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</si>
  <si>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</si>
  <si>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</si>
  <si>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</si>
  <si>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</si>
  <si>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</si>
  <si>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</si>
  <si>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</si>
  <si>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</si>
  <si>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</si>
  <si>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</si>
  <si>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</si>
  <si>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</si>
  <si>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</si>
  <si>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</si>
  <si>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</si>
  <si>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</si>
  <si>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</si>
  <si>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</si>
  <si>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</si>
  <si>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</si>
  <si>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</si>
  <si>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</si>
  <si>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</si>
  <si>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</si>
  <si>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</si>
  <si>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</si>
  <si>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</si>
  <si>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</si>
  <si>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</si>
  <si>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</si>
  <si>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</si>
  <si>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</si>
  <si>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</si>
  <si>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</si>
  <si>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</si>
  <si>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</si>
  <si>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</si>
  <si>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</si>
  <si>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</si>
  <si>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</si>
  <si>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</si>
  <si>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</si>
  <si>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</si>
  <si>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</si>
  <si>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</si>
  <si>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752454</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</si>
  <si>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</si>
  <si>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</si>
  <si>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</si>
  <si>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</si>
  <si>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</si>
  <si>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</si>
  <si>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</si>
  <si>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</si>
  <si>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</si>
  <si>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</si>
  <si>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</si>
  <si>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</si>
  <si>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</si>
  <si>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</si>
  <si>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</si>
  <si>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</si>
  <si>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Ellen McGuinness</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</si>
  <si>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</si>
  <si>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</si>
  <si>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</si>
  <si>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</si>
  <si>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</si>
  <si>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</si>
  <si>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</si>
  <si>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</si>
  <si>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</si>
  <si>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</si>
  <si>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</si>
  <si>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</si>
  <si>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</si>
  <si>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</si>
  <si>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</si>
  <si>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</si>
  <si>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</si>
  <si>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</si>
  <si>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</si>
  <si>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</si>
  <si>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</si>
  <si>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</si>
  <si>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</si>
  <si>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</si>
  <si>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</si>
  <si>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</si>
  <si>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</si>
  <si>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</si>
  <si>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</si>
  <si>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</si>
  <si>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</si>
  <si>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</si>
  <si>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</si>
  <si>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</si>
  <si>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</si>
  <si>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</si>
  <si>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</si>
  <si>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</si>
  <si>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</si>
  <si>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</si>
  <si>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</si>
  <si>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</si>
  <si>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</si>
  <si>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</si>
  <si>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</si>
  <si>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</si>
  <si>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</si>
  <si>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</si>
  <si>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</si>
  <si>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</si>
  <si>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</si>
  <si>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</si>
  <si>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</si>
  <si>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</si>
  <si>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</si>
  <si>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</si>
  <si>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</si>
  <si>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</si>
  <si>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</si>
  <si>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</si>
  <si>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</si>
  <si>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</si>
  <si>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</si>
  <si>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</si>
  <si>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</si>
  <si>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</si>
  <si>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</si>
  <si>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</si>
  <si>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</si>
  <si>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</si>
  <si>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</si>
  <si>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</si>
  <si>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</si>
  <si>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</si>
  <si>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</si>
  <si>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</si>
  <si>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</si>
  <si>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</si>
  <si>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</si>
  <si>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</si>
  <si>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</si>
  <si>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</si>
  <si>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</si>
  <si>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</si>
  <si>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</si>
  <si>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</si>
  <si>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</si>
  <si>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</si>
  <si>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</si>
  <si>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</si>
  <si>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</si>
  <si>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</si>
  <si>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</si>
  <si>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</si>
  <si>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</si>
  <si>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</si>
  <si>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</si>
  <si>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</si>
  <si>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</si>
  <si>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</si>
  <si>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</si>
  <si>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</si>
  <si>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</si>
  <si>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</si>
  <si>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</si>
  <si>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</si>
  <si>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</si>
  <si>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</si>
  <si>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</si>
  <si>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</si>
  <si>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753829</t>
  </si>
  <si>
    <t>ECR-316167-02-01. CAN PRE-PLATING AND POST PLATING DIMENSIONS BE ADDED TO THE DRG AS DONE ON PREVIOUS DRAWINGS THAT REQUIRE PLATING.</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</si>
  <si>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</si>
  <si>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</si>
  <si>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</si>
  <si>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</si>
  <si>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</si>
  <si>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Esmeralda.McLeane@welldynamics.com</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</si>
  <si>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</si>
  <si>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</si>
  <si>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</si>
  <si>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</si>
  <si>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</si>
  <si>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</si>
  <si>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</si>
  <si>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</si>
  <si>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</si>
  <si>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</si>
  <si>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</si>
  <si>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</si>
  <si>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</si>
  <si>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</si>
  <si>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</si>
  <si>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</si>
  <si>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</si>
  <si>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</si>
  <si>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</si>
  <si>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</si>
  <si>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</si>
  <si>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</si>
  <si>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</si>
  <si>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</si>
  <si>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</si>
  <si>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</si>
  <si>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</si>
  <si>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</si>
  <si>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</si>
  <si>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</si>
  <si>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755804</t>
  </si>
  <si>
    <t>Al Ahlia Oilfields Development Co</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</si>
  <si>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</si>
  <si>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</si>
  <si>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</si>
  <si>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</si>
  <si>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</si>
  <si>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</si>
  <si>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</si>
  <si>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</si>
  <si>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</si>
  <si>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</si>
  <si>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</si>
  <si>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</si>
  <si>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</si>
  <si>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</si>
  <si>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</si>
  <si>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</si>
  <si>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</si>
  <si>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</si>
  <si>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</si>
  <si>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</si>
  <si>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</si>
  <si>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</si>
  <si>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</si>
  <si>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</si>
  <si>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</si>
  <si>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</si>
  <si>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</si>
  <si>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755888</t>
  </si>
  <si>
    <t>BHPBilliton</t>
  </si>
  <si>
    <t>754990</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</si>
  <si>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</si>
  <si>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</si>
  <si>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</si>
  <si>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</si>
  <si>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</si>
  <si>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</si>
  <si>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754866</t>
  </si>
  <si>
    <t>Part drawing states mark part with part number and info, suggest bag and tag as part is small and round. Part numbers affected are 598243,598239,598223,598221.</t>
  </si>
  <si>
    <t>Nicholas Webster</t>
  </si>
  <si>
    <t>Nick.Webster@Halliburton.com</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</si>
  <si>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</si>
  <si>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</si>
  <si>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</si>
  <si>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</si>
  <si>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</si>
  <si>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754992</t>
  </si>
  <si>
    <t>754870</t>
  </si>
  <si>
    <t>Kuwait Oil Company</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</si>
  <si>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</si>
  <si>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</si>
  <si>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</si>
  <si>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</si>
  <si>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</si>
  <si>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</si>
  <si>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</si>
  <si>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</si>
  <si>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</si>
  <si>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</si>
  <si>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</si>
  <si>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4.2.0.1</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</si>
  <si>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</si>
  <si>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</si>
  <si>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</si>
  <si>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</si>
  <si>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</si>
  <si>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</si>
  <si>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756689</t>
  </si>
  <si>
    <t>Same As: 101678747; DSPL,BEKA,PNL MTD,IS,SER TEXT
Except: Adjust PLC firmware to handle an option of degrees C and Bar in the display.
Project Name: Grane
Special Quality Plan Required?: No
Material: 
Mating Infomation:
Work With item with RTA Number 00000682094
2012-02-24, TS: In the queue to be worked.</t>
  </si>
  <si>
    <t>13: SPLT=N/A</t>
  </si>
  <si>
    <t>760679</t>
  </si>
  <si>
    <t>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</si>
  <si>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</si>
  <si>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</si>
  <si>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</si>
  <si>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</si>
  <si>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</si>
  <si>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</si>
  <si>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</si>
  <si>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</si>
  <si>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</si>
  <si>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</si>
  <si>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022312 RCVD. FILE BACK FOR REVIEW OF CORRECTIONS. SENDING FILE BACK FOR FURTHER CORRECTIONS. RCVD. FILE BACK FOR CORRECTIONS CHECK. ALL CORRECTIONS COMPLETED. (KEN) END</t>
  </si>
  <si>
    <t>26: SPLT=84 Assigned to Mark G, Change class to C, changed request design complete date to 2/21/2012- 1/3/2012 RB</t>
  </si>
  <si>
    <t>758581</t>
  </si>
  <si>
    <t>I need a design circle for 5.5IN 26PPF Inconel 718 125Ksi MY VAM Top KP Gauge Mandrel made to suit a fully redundant ROC 175 25Ksi Gauge. Bypass slots to allow 3/8IN encapsulated control line to bypass on either side of the mandrel.</t>
  </si>
  <si>
    <t>10: SPLT=N/A</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</si>
  <si>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</si>
  <si>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</si>
  <si>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</si>
  <si>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</si>
  <si>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</si>
  <si>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</si>
  <si>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</si>
  <si>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</si>
  <si>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</si>
  <si>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</si>
  <si>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</si>
  <si>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</si>
  <si>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</si>
  <si>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</si>
  <si>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</si>
  <si>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Same As: FP-301404-BL; 3 LINE FLATPACK, 1/4 X .049 SS316, WELDE
Except: Please find attached Quote. IT HAS TO BE GCDT with safety strip. Per meter
Tech Start Date is in the past
Project Name: Angsi SmartWell
Special Quality Plan Required?: No
Material: (16) Customer Supplied - Supply detail in description
Mating Infomation:</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</si>
  <si>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</si>
  <si>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</si>
  <si>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</si>
  <si>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</si>
  <si>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</si>
  <si>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</si>
  <si>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</si>
  <si>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</si>
  <si>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760294</t>
  </si>
  <si>
    <t>Same As: TEC11221; TEC, 16, A825, 1/4 X .049, TPR, ROUND
Except: Please USE QUOTE ATTACHED HAS TO BE GCDT with Safety Strip.
Per Meter
Tech Start Date is in the past
Project Name: Angsi SmartWell
Special Quality Plan Required?: No
Material: (16) Customer Supplied - Supply detail in description
Mating Infomation:</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</si>
  <si>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</si>
  <si>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</si>
  <si>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</si>
  <si>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</si>
  <si>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</si>
  <si>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</si>
  <si>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</si>
  <si>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</si>
  <si>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</si>
  <si>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</si>
  <si>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</si>
  <si>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</si>
  <si>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</si>
  <si>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</si>
  <si>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</si>
  <si>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</si>
  <si>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</si>
  <si>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</si>
  <si>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</si>
  <si>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</si>
  <si>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</si>
  <si>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</si>
  <si>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t>
  </si>
  <si>
    <t>RTA TO CREATE TEMPLATE FOR AMS SERVERS AND PCS</t>
  </si>
  <si>
    <t>757343</t>
  </si>
  <si>
    <t>Exxon Indonesia</t>
  </si>
  <si>
    <t>Quote Only - EZ-Gauge Surface equipment for Exxon Indonesia.  Main components in place, but need SKID mounted system.  Please see attached e-mails.
2012-02-20, TS:Still working. Awaiting quote for skid and assembly.
2012-02-27, TS: Dana to check status.</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</si>
  <si>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t>
  </si>
  <si>
    <t>759394</t>
  </si>
  <si>
    <t>All of our hybrid gauges run as single gauges have a dowel pin for support with the exception of the dual redundant gauge.  This came up in a meeting with Shell that they were concerned that their single dual redundant gauge would not have the support of a dowel pin.  We need to look into the possibility of adding this feature to all dual redundant gauges run in single gauge applications.  Shell is soon to place order for this.
2012-02-27, WM: Dual red. mountsub to be analyzed to determine feasibility of adding dowel pin and the best way to proceed with this issue.</t>
  </si>
  <si>
    <t>14.3: splt=N/A</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</si>
  <si>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</si>
  <si>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757399</t>
  </si>
  <si>
    <t>HES Germany</t>
  </si>
  <si>
    <t>Same As: 71SSS1; SFTY SYS STD RTA DESIGN REQ
Except: part number 101010289 and drawing 93FA138 need to be updated to show Norgren part number 11 002 013 2A.
change the top of the adjusting stem from a T bar to a knob.
Project Name: 
Special Quality Plan Required?: No
Material: 
Technical Support Deliverables:
Preliminary Design Specifications
Reference Assembly Drawing</t>
  </si>
  <si>
    <t>Placed in WD3 after discussions with Aswin. His group will take care of this internally - AGS 27 Feb 2012</t>
  </si>
  <si>
    <t>760905</t>
  </si>
  <si>
    <t>760914</t>
  </si>
  <si>
    <t>10: SPLT=126 Email to submitter re: requirements document and quality requirements. 2/8/12 DM; Follow up on requirements and quality 2/13/12 DM Emailed follow up to submitter.  2/15/12 DM</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</si>
  <si>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
DESIGN FOLDER WITH T. BORDMAN_A. BERRET_02/22/2012------END</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</si>
  <si>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</si>
  <si>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</si>
  <si>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</si>
  <si>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</si>
  <si>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</si>
  <si>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</si>
  <si>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8: SPLT=N/A</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</si>
  <si>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</si>
  <si>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</si>
  <si>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</si>
  <si>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</si>
  <si>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</si>
  <si>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</si>
  <si>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</si>
  <si>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</si>
  <si>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For drawing D00425903 open up the all (3) .44 inch dia. counter sink holes by .010 inch. The new diameter should be .045 inches to allow the head to drop through.
Anthony Rivera 1/30/2012
FOLDER WITH T. BORDMAN_A. BERRET_02/20/2012-------------END</t>
  </si>
  <si>
    <t>SPLT=168 Emailed field for requirement documents.  2/13/12 DM  Emailed submitter again for requirements document.  2/21/12 DM</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</si>
  <si>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</si>
  <si>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</si>
  <si>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</si>
  <si>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</si>
  <si>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</si>
  <si>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</si>
  <si>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</si>
  <si>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760834</t>
  </si>
  <si>
    <t>Require engineering confirmation and dwg for combined gauge mandrel and cable protector running OD inside a 9 5/8in 53.5lb with a drift ID of 8.379 (api standard). Cable protector to be positioned 2 meters above the gauge mandrel and we are concerned that the combined offset will present a running OD outwith the ID of the casing. If this is the case, we would like a dwg illustrating a barretting angle that would allow the assemblies to fit.
Please find Shell Glider Running OD dwg attached as a barretting reference. Also attached is ref mandrel 9290-SCH2853 (7in 29lb dual ROC mandrel assy) and SCH-5961 (7in CCP).</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</si>
  <si>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</si>
  <si>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</si>
  <si>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</si>
  <si>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</si>
  <si>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</si>
  <si>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</si>
  <si>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</si>
  <si>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TASK TO RELEASE NEW PARTS (HF1 PACKERS). ADD DRAWINGS TO RESPECTIVE PARTS. BOM NOT REQUIRED AT THIS TIME. UPON  PARTS RELEASE, THEY ARE TO BE PLACED ON TECHNOLOGY HOLD AS PER P. JAMES
IN ENG. DESIGN_A.BERRET_02/28/2012----------------------END</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</si>
  <si>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</si>
  <si>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</si>
  <si>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</si>
  <si>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</si>
  <si>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</si>
  <si>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</si>
  <si>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SPLT=126 Emailed submitter re: AIS date and quality identifier.  2/28/12 DM</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</si>
  <si>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</si>
  <si>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</si>
  <si>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</si>
  <si>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</si>
  <si>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</si>
  <si>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</si>
  <si>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</si>
  <si>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</si>
  <si>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</si>
  <si>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</si>
  <si>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</si>
  <si>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758582</t>
  </si>
  <si>
    <t>Design Circle - 5.5IN 26 ppf 125 ksi 3/8IN Check Valve
I need a design circle for 5.5IN 26PPF Inconel 718 125Ksi VAM Top KP CIM with a 3/8IN check valve installed and bypass slots for 3/8IN encapsulated control lines on either side of the mandrel.
------
2012-02-23 ST - SENT TO M. GUY FOR CHECKING</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</si>
  <si>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</si>
  <si>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</si>
  <si>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759408</t>
  </si>
  <si>
    <t>ECR - Change the MAX. HYDRAULIC PRESSURE from 10,000PSI to 7,500 PSI on the Design Data Sheet 216H000745U1O00
FOLDER IN ENG. DESIGN_A. BERRET_02/24/2012--------------END</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</si>
  <si>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</si>
  <si>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</si>
  <si>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</si>
  <si>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CHANGE DRG 315685-02-01 TO HAVE THE MIN WALL THICKNESS ADDED AND RUN OUT TOL TO THE SAME AS ON DRGS 315685-00-01- AND -01-01.
FOLDER WITH T. BORDMAN_A. BERRET_02/20/2012-------------END</t>
  </si>
  <si>
    <t>M/N-593899 Drawing 313151-00-01 Rev.D and M/N-593901 Drawing 313152-00-01 Rev.C
Please update the End and Center Element drawings to reflect the approved dimensional deviations for Custom Rubber Products. Please reference attached deviations...
FOLDER RET. TO T. BORDMAN_A. BERRET_02/20/2012----------END</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</si>
  <si>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</si>
  <si>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</si>
  <si>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</si>
  <si>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UPDATE DRAWING W.302169-00-00 PER CWI STANDARDS. UPDATE ALL CORRESPONDING PARTS WITH W. PREFIX
TSG NOTES 022412 RCVD. FILE FOR PROCESSING. (KEN) END</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</si>
  <si>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</si>
  <si>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</si>
  <si>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</si>
  <si>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</si>
  <si>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</si>
  <si>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</si>
  <si>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</si>
  <si>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</si>
  <si>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t>
  </si>
  <si>
    <t>760700</t>
  </si>
  <si>
    <t>ECR D00591417 REV A. THE 8.0-8 STUB ACME PIN THREAD SHOULD HAVE-LEFT HAND THREAD ON THE THREAD CALL OUT.</t>
  </si>
  <si>
    <t>758588</t>
  </si>
  <si>
    <t>Design Circle - 4.5IN 17ppf 125 ksi Triple ROC-175 Gauge
I need a design circle for 4.5IN 17PPF Inconel 718 125Ksi MY VAM Top Triple Gauge Mandrel with ROC 175 25Ksi triple gauge assembly. Bypass slots to accommodate 35mm on either side.</t>
  </si>
  <si>
    <t>9: SPLT=N/A  2/27/2012 DM, Contact Wolfy to clarify gauge requirements</t>
  </si>
  <si>
    <t>759002</t>
  </si>
  <si>
    <t>CPI NO. 300214197 RELATED-ECR:  
1.  REVISE DWG 092363-03-01 WITH NEW 1 NPT NOZZLE REFERENCE OR COMMODITY NUMBERS PLUS REVISE ALL APPLICABLE SAP NUMBERS WITH CHANGES. 
2.  GENERATE NEW DWG (D NUMBER -01,...) AND SAP NUMBERS FOR 1 NPT NOZZLE WITH TABLE FOR DIFFERENT SIZES SIMILAR TO DWG 316311-00-01</t>
  </si>
  <si>
    <t>omotayo.ewumi@Halliburton.com</t>
  </si>
  <si>
    <t>758637</t>
  </si>
  <si>
    <t>ECR TO ADD MISSING DIMENSIONS PER EMAIL</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</si>
  <si>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</si>
  <si>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</si>
  <si>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</si>
  <si>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</si>
  <si>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</si>
  <si>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</si>
  <si>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SPLT=112 Emailed submitter re: completion date and clarification of Code 4 shift sleeve metallurgy.  2/21/12 DM</t>
  </si>
  <si>
    <t>ECR-031092-12-01 SHEET 2 GRID REF E9. 3/8-24 UNC HOLES SHOULD BE 3/8-14 UNF.
FOLDER IN T. BORDMAN BOX_A. BERRET_02/15/2012_END</t>
  </si>
  <si>
    <t>758402</t>
  </si>
  <si>
    <t>CNR Ivory Coast</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</si>
  <si>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t>
  </si>
  <si>
    <t>15: SPLT=112  Emailed submitter re: standard lead time.  2/20/12 DM  Recd response from customer and adjusted AIS date. Email attached.  2/21/12 DM</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</si>
  <si>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</si>
  <si>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</si>
  <si>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</si>
  <si>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</si>
  <si>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</si>
  <si>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</si>
  <si>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UPDATE DRAWING W.302548-00-00 PER CWI STANDARDS. UPDATE ALL CORRESPONDING PARTS WITH W. PREFIX
TSG NOTES 022812 RECD FOR PROCESSING (GMC) END</t>
  </si>
  <si>
    <t>760762</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</si>
  <si>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t>
  </si>
  <si>
    <t>M/N-591124 and 591126, Drawing W.302243-00-00
Please remove the 6.995/7.000 dimension as this is not necessary for manufacturing the part and meeting geometry requirements.
FOLDER IN T. BORDMAN BOX FOR DISTRIBUTION_A.BERRET_02/15/2012------------------------END</t>
  </si>
  <si>
    <t>The reference Gauge Mandrel is the SAP: 102124903, RTA changes as follows:
(a)	Change material to 13Cr 80K
(c)	Final assembly needs be under the 8.379in casing drift.  
This mandrel will be run inside the 9 5/8in 53.5lb casing.</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</si>
  <si>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</si>
  <si>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</si>
  <si>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t>
  </si>
  <si>
    <t>42: SPLT=154 Well cancelled.  Design far enough along it will be completed for future needs. 4/18/11 DM</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</si>
  <si>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</si>
  <si>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</si>
  <si>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t>
  </si>
  <si>
    <t>15: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t>
  </si>
  <si>
    <t>40: SPLT=N/A On design hold waiting for designs by Carrollton FC. RTA 707224-718 Landing Nipple, 707227-718 Lock Mandrel, 707231-718 Equalizing Valve/Prong.  8/22/11 DM Pushed out AIS date and TRDD per P James.  9/20/11 DM</t>
  </si>
  <si>
    <t>41: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</si>
  <si>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</si>
  <si>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</si>
  <si>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30: SPLT= N/A @@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</si>
  <si>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31: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</si>
  <si>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</si>
  <si>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</si>
  <si>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</si>
  <si>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</si>
  <si>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</si>
  <si>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</si>
  <si>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
022812 RTA WAS ASSIGNED TO DYANE HENSON WITH NO NOTIFICATION THE LOWER LEVEL TASK IS NOT COMPLETED T00000728594.PENDING APPROVAL FROM TED SOULES.</t>
  </si>
  <si>
    <t>1: SPLT=N/A    Dan/Josh to be ready for vendor quote by 12/31.  11/28/11 DM  Documentation to be completed and forwarded to Ted for approval.  1/16/12 DM  Submitter asked for revision of technical report.  Mtg to review 1/24.  1/23/12 DM  T Soules to approve and push.  2/13/12 DM</t>
  </si>
  <si>
    <t>43: SPLT=N/A</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</si>
  <si>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</si>
  <si>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</si>
  <si>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t>
  </si>
  <si>
    <t>11: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</si>
  <si>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32: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</si>
  <si>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t>
  </si>
  <si>
    <t>6: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</si>
  <si>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t>
  </si>
  <si>
    <t>SPLT=140  Attached updated requirements document reflecting thread changes to Tenaris Blue.  11/17/11 DM  Placing on design hold until field supplies metallurgy confirmation per S Saldanha.  12/9/11 DM  Cancelling per attached email from S Saldanha.  2/22/12 DM</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</si>
  <si>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
TSG NOTES 022712 RECD FOR PROCESSING; QUALITY PROVIDED DRAWING FOR MARK UP (GMC) END</t>
  </si>
  <si>
    <t>35: SPLT=140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</si>
  <si>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
TSG NOTES 022212 RECD FOR PROCESSING; PROVIDED QUALITY WITH DRAWING FOR MARKUP; 022712 RECD MARKUP FROM QUALITY; RTA SENT FOR REVIEW AND APPROVAL (GMC) END</t>
  </si>
  <si>
    <t>3: SPLT=140 Emailed submitter regarding 5/12/12 delivery date per PMT. Waiting for confirmation from field to change AIS date.  1/19/12 DM Confirmation from field to push AIS date-email attached. 1/20/12 DM  Emailed submitter re: no bumper bar to anchor flatpack.  1/25/12 DM  Emailed submitter re: no response to flatpack question.  2/14/12 DM Field responded and advised to go ahead with design without bumper bars. Email attached.  2/15/12 DM</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</si>
  <si>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
TSG NOTES 022412 RECD FOR PROCESSING; 022712 QUALITY PROVIDED TDRs FOR MARKUP; 022712 REQUESTED THREAD CLASS FROM G. BREERWOOD FOR 9290-2799 (GMC) END</t>
  </si>
  <si>
    <t>18: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</si>
  <si>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
TSG NOTES 022312 RECD FOR PROCESSING; 022412 QUALTIY PROVIDED TDRs FOR MARKUP; 022712 REQUESTED THREAD CLASS FROM G. BREERWOOD FOR 9290-2854 (GMC) END</t>
  </si>
  <si>
    <t>16: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</si>
  <si>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7: SPLT=126  2/27/2012 DM, Using design on Visund V4</t>
  </si>
  <si>
    <t>23: SPLT=126  Changed AIS date per Shell rig schedule and confirmation of G Breerwood. Confirmation email attched.  1/19/12 DM</t>
  </si>
  <si>
    <t>Same As: 216HAP1035U3O00SB2; VLV INTEGD HS ACCUPULSE,3-1/2 -SB2
Except: 
All flow wetted parts to be made of Inc.718.
Rest ?? 13Cr.
TSG NOTES: TO TSG FOR PROCESSING. DWGS TO QUALITY FOR MARKUP 02-28-2012 JCC END</t>
  </si>
  <si>
    <t>12: @@ SPLT=168 Emailed submitter regarding 9/1/12 delivery date per PMT. Waiting for confirmation from field to change AIS date.  1/19/12 DM</t>
  </si>
  <si>
    <t>12: SPLT=126 Changed AIS date per Shell rig schedule and confirmation of G Breerwood.  Confirmation email attached. 1/19/12 DM</t>
  </si>
  <si>
    <t>13: SPLT=168 @@ Emailed submitter regarding 9/1/12 delivery date per PMT. Waiting for confirmation from field to change AIS date.  1/19/12 DM Emailed Marius regarding shroud adapter threads.  2/20/12 DM Submitter confirmed threads. Design proceeding.  2/21/2012 DM</t>
  </si>
  <si>
    <t>Not required for order
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</si>
  <si>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Same As: 722HF1106504; PKR,HF1,1065,TBG SET,KO PLUG,25CR
Except: 
1. Material to be 13Cr
2. Quality plan to be SB2
TSG NOTES TO TSG FOR PROCESSING; DWGS TO QUALITY FOR MARKUP. MARKUPS BACK TO TSG. TO QUALITY FOR REVIEW AND APPROVAL 02-16-2012 J. CALLAWAY END</t>
  </si>
  <si>
    <t>2: SPLT=168 @@ Emailed submitter regarding 9/1/12 delivery date per PMT. Waiting for confirmation from field to change AIS date.  1/19/12 DM</t>
  </si>
  <si>
    <t>17: SPLT=168 Emailed submitter regarding 9/1/12 delivery date per PMT. Waiting for confirmation from field to change AIS date.  1/19/12 DM EMailed submitter re: splice orientation.  2/13/12 DM</t>
  </si>
  <si>
    <t>14: SPLT=168 @@ Emailed submitter regarding 9/1/12 delivery date per PMT. Waiting for confirmation from field to change AIS date.  1/19/12 DM</t>
  </si>
  <si>
    <t>6: SPLT=140</t>
  </si>
  <si>
    <t>33: SPLT=168  Changed AIS date per PMT.  Need to finish design asap for field design reviews.  1/13/12 DM</t>
  </si>
  <si>
    <t>34: SPLT=168  Called submitter re: attached email from S Saldanha. Left message.  1/16/12 DM  Emailed submitter re: AIS date...well completing end of Oct,2012. 2/21/12 DM</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</si>
  <si>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t>
  </si>
  <si>
    <t>8: SPLT=126 Design should be released by end of week.  2/13/12 DM</t>
  </si>
  <si>
    <t>11: SPLT= 126 Emailed field re: AIS date and quality requirements.  1/26/12 DM  Email attached regarding AIS date from submitter.  1/26/12 DM</t>
  </si>
  <si>
    <t>Safety System - Quote Only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t>
  </si>
  <si>
    <t>5: SPLT=N/A Waiting for vendor quotes.  Initial design review held.  2/13/12 DM</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</si>
  <si>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
2012-02-15: TS, Received extension till the 23rd. To be sent out for quote Friday Feb 17.
2012-02-20: TS, design review first thing in morning. Will ask for extension after assessment.
2012-02-24: TS, quotes due in on 28th. T. soules to responde to Chandrans e-mail.
2012-02-27: TS, responded to E-mail. awaiting a response.</t>
  </si>
  <si>
    <t>7: SPLT=N/A Recd extension to 2/23.  Design in process.  2/13/12 DM</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</si>
  <si>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
02-15-2012, TS: wrote e-mail to Khaled El-Amir for clarifications yesterday. Awaitng response.
02-20-2012, TS: no response. resent e-mail today.
02-27-2012, TS: sent out quote to customer. Need to close out RTA.</t>
  </si>
  <si>
    <t>14: SPLT=N/A  Out for quote.  2/13/12 DM</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</si>
  <si>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(KEN) END</t>
  </si>
  <si>
    <t>24: SPLT=N/A  Emailed submitter for clarification. RTA description conflicts with requirements document.  2/13/12 DM  Emailed submitter to confirm single line.  2/20/12 DM</t>
  </si>
  <si>
    <t>Same As: 71SSS1; SFTY SYS STD RTA DESIGN REQ
Except: Set up Haskel pump model no. 4B55, Otis legacy P/N 93ST1532 with SAP P/N.
Project Name: 
Special Quality Plan Required?: No
Material: 
Mating Infomation:
2012-02--08, TS: Send to be checked tomorrow. To be sent to TSG by Friday 02-10
2012-2-24, TS: sent e-mail to Chandran to clarify pump requirement. Awaiting response.</t>
  </si>
  <si>
    <t>11: To T Soules to approve.  2/13/12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</si>
  <si>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</si>
  <si>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17: SPLT=126</t>
  </si>
  <si>
    <t>SPLT=168  Emailed submitter re: AIS date...well completing end of Oct,2012. 2/21/12 DM  Placing on hold per attached email from field.  2/22/12 DM</t>
  </si>
  <si>
    <t>37: SPLT=N/A</t>
  </si>
  <si>
    <t>757064</t>
  </si>
  <si>
    <t>Shell Europa</t>
  </si>
  <si>
    <t>4IN 13.2PPF S13CR110Ksi Class B VAM DRS Chemical Injection Mandrel. 1/2IN Chemical Injection. No bypass slots. SE1 Quality Plan. EDS Required. EFD Required. CERT Documentation Required.
2012-02-20, WM: Assign to James, class B; std. lead time.</t>
  </si>
  <si>
    <t>21: SPLT=126</t>
  </si>
  <si>
    <t>19: SPLT=84</t>
  </si>
  <si>
    <t>757062</t>
  </si>
  <si>
    <t>4IN 13.2PPF S13CR110Ksi MY Class B VAM DRS Gauge Mandrel to suit ROC 175 20Ksi rated Fully Redundant Gauge Assembly. This mandrel should have bypass slots to accommodate 0.66IN Control Line.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</si>
  <si>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22: SPLT=126</t>
  </si>
  <si>
    <t>17: SPLT=98 @@</t>
  </si>
  <si>
    <t>756490</t>
  </si>
  <si>
    <t>13: SPLT=N/A  To be machined locally.  2/17/12 DM</t>
  </si>
  <si>
    <t>mark.bedry@halliburton.com</t>
  </si>
  <si>
    <t>757556</t>
  </si>
  <si>
    <t>1/4 OD x 0.049 WT Alloy 825 welded?? &amp; cold drawn annealed tubing
Encapsulated as 11mm 11mm in red TT260 thermoplastic, 800 ft
TUBE TEC	T-17562</t>
  </si>
  <si>
    <t>Emailed submitter for requirements document again.  2/21/12 DM Emailed submitter with third request for requirements document.  2/28/12 DM</t>
  </si>
  <si>
    <t>Ray Taylor</t>
  </si>
  <si>
    <t>Ray.taylo2r@halliburton.com</t>
  </si>
  <si>
    <t>20: SPLT=84</t>
  </si>
  <si>
    <t>757068</t>
  </si>
  <si>
    <t>Shell Olympus</t>
  </si>
  <si>
    <t>4IN 13.2PPF S13CR110Ksi Class B VAM DRS Gauge Mandrel to suit ROC 175 25Ksi Fully Redundant Gauge. Bypass slots to accommodate bare 3/8IN Control Line. SE1 Quality Plan, EFD required. EFS required. CERT documentation required.
2012-02-20, WM: Assign to James, class B; std. lead time.</t>
  </si>
  <si>
    <t>28: SPLT=126</t>
  </si>
  <si>
    <t>756903</t>
  </si>
  <si>
    <t>Woodside Australia</t>
  </si>
  <si>
    <t>DH SAP PART NUMBER REQUIRED
In order to supply a proposal to Woodside for 14 off EFS stsyems a SAP number is required for the new tubing hnager connector.
The Tronic part number is DHCE-B36-BD-01P-1534-135.
The deatiled drawing will be supplied when released by Tronic.
The unit cost as per Tronic Quote is 21,727
021412 PRE-RELEASED PART REQUESTED AND RELEASED REF 102133441 DSH
2012-02-20, WM: Assign to Sam, class A; standard lead time</t>
  </si>
  <si>
    <t>24: SPLT=84  2/20/2012 DM: verify quality plan. No quality applied per P Allardyce.  2/20/12 DM</t>
  </si>
  <si>
    <t>756694</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</si>
  <si>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t>
  </si>
  <si>
    <t>10: SPLT=126</t>
  </si>
  <si>
    <t>757067</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</si>
  <si>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2012-02-20, WM: Assign to James class B, standard lead time.</t>
  </si>
  <si>
    <t>27:  SPLT=126  2/27/2012 DM, Contact Wolfy to veryify and update RTA requirements regarding nipple profile in mandrel.</t>
  </si>
  <si>
    <t>758623</t>
  </si>
  <si>
    <t>14: SPLT=N/A Mandrel to be machined locally,  2/22 MS.</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</si>
  <si>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</si>
  <si>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</si>
  <si>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</si>
  <si>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</si>
  <si>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t>
  </si>
  <si>
    <t>29: SPLT=98 Changed to code 2 see attached email from submitter.  12/8/11 DM</t>
  </si>
  <si>
    <t>756703</t>
  </si>
  <si>
    <t>Part Number creation for Control Line Flatpack SS316 filled with Red Oil and tested to 10500PSI</t>
  </si>
  <si>
    <t>23: SPLT=N/A</t>
  </si>
  <si>
    <t>756732</t>
  </si>
  <si>
    <t>Statoil FT Hyme C4</t>
  </si>
  <si>
    <t>Same As: 022083-18-SB2; SHROUDED X-OVER ASSY,ECC - SB2
Except: 1. Requesting a NON SHROUDED xover.
2. Change threads to 7 inch 29 lbs ft box X 5,5 inch 20 lbs ft pin.
3. Change Material to 25 Chrome.
4. Quality Plan SB2.
Tech Start Date is in the past
Project Name: Hyme C4
Special Quality Plan Required?: Yes
Quality Plan Identifier: SB2
Material: (12) 25 CR  AF918 85 MY (ES-MA-66-49)
Mating Infomation:</t>
  </si>
  <si>
    <t>36: SPLT=140 Emailed submitter re: TR061 and Code 7.  2/14/12 DM Latest release of TR06 attached.  2/17/12 DM  Emailed submitter for confirmation of completion date as Hyme C2 does not complete until December 2012.  2/21/12 DM  Pushed AIS date to 2013 per attached email from submitter.  2/22/12 DM</t>
  </si>
  <si>
    <t>Statoil Stjerne M14</t>
  </si>
  <si>
    <t>30: SPLT=140  Emailed submitter re: AIS date...well completing end of Oct,2012. 2/21/12 DM</t>
  </si>
  <si>
    <t>758773</t>
  </si>
  <si>
    <t>7inch-5.5inch ShroudedCrossover
Change top connection to 7inch 29pound Vam Top HC
Change bottom connection to 5.5inch 23pound Vam Top HC</t>
  </si>
  <si>
    <t>20: SPLT=140 @@ Emailed submitter re: AIS date, project, RTA code and quality plan.  2/21/12 DM  Emailed field for info again.  2/27/12 DM</t>
  </si>
  <si>
    <t>Kare.Hognestad@halliburton.com</t>
  </si>
  <si>
    <t>Flatpack
Create Part Number against Vendor Quoted Part
A825, 0.25in OD, 0.049in Thickness, 11mm x 11mm Nylon Encapsulation Black, 500 Ft
020912 PRE-RELEASED PART 102132197 PER ATTACHED REQUEST DSH</t>
  </si>
  <si>
    <t>SPLT=N/A  Emailed submitter for requirements doc.  2/13/12 DM  Emailed submitter for requirements doc.  2/21/12 DM  Recd spool info from submitter. 2/28/12 DM</t>
  </si>
  <si>
    <t>760641</t>
  </si>
  <si>
    <t>Perenco</t>
  </si>
  <si>
    <t>4.5-12.6 VamTop ChemInj, 500psi CV
Chemical Injection Mandrel, 500 PSI Check Valve
Please see attached Requirment Doc. 
Project:	Perenco Dissoni
Project Number:	TBC
Required by Date:	1st May 2012
Size (in.): 	4 1/2 in
Weight (lb./ft.):	12.6Ib/ft 
Material:	4140, L-80
Yield (psi):	80ksi
Thread type (If pin/box to be left unthreaded then state intended thread(s).  Design review will check suitability of pin/box for swaging/thread-cutting):	Vam Top
Thread cut or uncut:	Cut
Casing size/weight:	9 5/8 in 53.5ppf
Casing drift (if non-standard):	Standard
By-Pass slots cable dimensions:	11 x 11mm slot to suit TEC line
End Configuration Type (e.g., Box x Pin)	Box (coupling) x Pin
Gauge/Chemical Inj. Configuration (e.g., single, dual, feed-through, other)	Single
Gauge Porting:	Tubing
Gauge/Chemical Injection Type:	500psi Check dual check valve for 3/8 control line
Gauge/Chemical Injection Part Number:	2225-0054
Please see attached Input Sheets
------------------
2/28/2012 RB - RTA inputs reviewed &amp; verified. 
Prioritized per C.McKay; Assign to James, Class B</t>
  </si>
  <si>
    <t>14.2: SPLT=112</t>
  </si>
  <si>
    <t>David Christie</t>
  </si>
  <si>
    <t>760822</t>
  </si>
  <si>
    <t>3 Line flatpack w/2 1/4 in 0.049 wt hydraulic lines and 1 1/4 TEC line.  See attached requirements document.</t>
  </si>
  <si>
    <t>760643</t>
  </si>
  <si>
    <t>4.5-12.6 VamTop,Sngl Roc-150 10K
ROC-150 SERIES, 9381-XXXX with Dual MTM seal
Project:	Perenco Dissoni
Project Number:	TBC
Required by Date:	
Size (in.): 	4 1/2 in
Weight (lb./ft.):	12.6Ib/ft 
Material:	4140, L-80
Yield (psi):	80ksi
Thread type (If pin/box to be left unthreaded then state intended thread(s).  Design review will check suitability of pin/box for swaging/thread-cutting):	Vam Top
Thread cut or uncut:	Cut
Casing size/weight:	7 in 29ppf
Casing drift (if non-standard):	Standard
By-Pass slots cable dimensions:	None
End Configuration Type (e.g., Box x Pin)	Box (coupling) x Pin
Gauge/Chemical Inj. Configuration (e.g., single, dual, feed-through, other)	Single
Gauge Porting:	Tubing
Gauge/Chemical Injection Type:	ROC-150
Gauge/Chemical Injection Part Number:	101863921    9381-6031
Other Pertinent information:	Ref P No 101952065     9290-6765
Please see attached Input Sheets
2012-02-28, MWS:  AIS date updated to 5/21 per Colin McKay.
------------------
2/28/2012 RB - RTA inputs reviewed &amp; verified. Required AIS Date verified; The Gauge assembly required is 101954620 (9381-6144).
Prioritized per C.McKay. Assign to Sam, Class B</t>
  </si>
  <si>
    <t>14.1: SPLT=112</t>
  </si>
  <si>
    <t>760861</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</si>
  <si>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t>
  </si>
  <si>
    <t>758769</t>
  </si>
  <si>
    <t>Statoil Grane</t>
  </si>
  <si>
    <t>5.5inch Crimp clamp assy
Change to 13Cr 80 KSI MY
Change to PxB 5.5inch 23pound Vam Top HC
see attached doc for more info
SB2 quality plan</t>
  </si>
  <si>
    <t>Emailed submitter re: AIS date, project, RTA code and quality plan.  2/21/12 DM Emailed field for info again.  2/27/12 DM 2/28/12 Recd required info from field.  2/28/12 DM</t>
  </si>
  <si>
    <t>758770</t>
  </si>
  <si>
    <t>7inch Crimp Clamp assy
Change BxP Connection to 7inch 29pound Vam Top HC
SB2 quality plan</t>
  </si>
  <si>
    <t>Emailed submitter re: AIS date, project, RTA code and quality plan.  2/21/12 DM  Emailed field for info again.  2/27/12 DM</t>
  </si>
  <si>
    <t>759161</t>
  </si>
  <si>
    <t>Same As: 722HF1964780; PKR,SZ 9647,TY HF1,WITH KNOCK OUT PLUG R
Except: Packer envelope required
Tech Start Date is in the past
Project Name: Champion West
Special Quality Plan Required?: No
Material: 
Mating Infomation:</t>
  </si>
  <si>
    <t>759159</t>
  </si>
  <si>
    <t>Exxon Tapis</t>
  </si>
  <si>
    <t>Same As: 722HF1702610; PKR,HF1,7026,TBG SET,KO PLUG,25CR,5 FE
Except: 1. 23ppf.
2. Vam Top DDLAA BB
3. Aflas.
4. 80k yield sufficient
Tech Start Date is in the past
Project Name: Tapis
Special Quality Plan Required?: No
Material: (12) 25 CR  AF918 85 MY (ES-MA-66-49)
Mating Infomation:</t>
  </si>
  <si>
    <t>Flatpack
Set up SAP MN in specific length per meter FOR FLATPACK CONTROL LINES 3-LINE.</t>
  </si>
  <si>
    <t>SPLT=N/A  Emailed submitter re: second RTA and requirements docs for each.  2/17/12 DM  Emailed submitter re: requirements document.  2/21/12 DM Attached requirements document 2/28/12 DM</t>
  </si>
  <si>
    <t>759794</t>
  </si>
  <si>
    <t>Modify existing 4 pin WHO (9895-6004) to be used for fluid filled SmartPlex tri-wire spooler during installation.</t>
  </si>
  <si>
    <t>SPLT=98</t>
  </si>
  <si>
    <t>19: SPLT=168 Emailed submitter for requirements document.  2/13/12 DM  Emailed submitter again for requirements document.  2/21/12 DM. Requirements document attached with previous well schematic 2/22/12</t>
  </si>
  <si>
    <t>12.9: SPLT=N/A</t>
  </si>
  <si>
    <t>UPDATE DRAWING W.302276-00-01 PER CWI STANDARDS. UPDATE ALL CORRESPONDING PARTS WITH W. PREFIX.
TSG NOTES: TO TSG FOR PROCESSING. WAS/IS/DWG TO QUALITY FOR REVIEW/APPROVAL 02-24-2012 J. CALLAWAY END</t>
  </si>
  <si>
    <t>18: SPLT=168  Emailed submitter for requirements document.  2/13/12 DM  Attached requirements document.  2/29/12 DM</t>
  </si>
  <si>
    <t>UPDATE DRAWING W.302272-00-00 PER CWI STANDARDS. UPDATE ALL CORRESPONDING PARTS WITH W. PREFIX
TSG NOTES 022912 RCVD. FILE FOR PROCESSING. (KEN) END</t>
  </si>
  <si>
    <t>761141</t>
  </si>
  <si>
    <t>Create a SAP MN for a 0.25 in Control Line 0.049 WT with 11 x 11 mm encapsulation Santoprene, Tube A 825 pre-filled with Transaqua HT2.</t>
  </si>
  <si>
    <t>761145</t>
  </si>
  <si>
    <t>Update Packer RIH and Retrieval Document (316255-00-01) to clear up the Retreival section and add Shift and Pull method.
Obsolete Engr Drawing 316255-00-01 Rev 2 in CWI and release this new Document as a Specification (Rev E).</t>
  </si>
  <si>
    <t>761027</t>
  </si>
  <si>
    <t>Statoil Visund S V4</t>
  </si>
  <si>
    <t>Same As: 215HVLV INTEGD,HVC,ACCUPULSE,5-1/2 -SB2
Except: 
1. Flow Trim to be 311537-31
2. By-pass for 4 x 1/4in lines</t>
  </si>
  <si>
    <t>12.9: SPLT=168</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</si>
  <si>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</si>
  <si>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</si>
  <si>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</si>
  <si>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</si>
  <si>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</si>
  <si>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</si>
  <si>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</si>
  <si>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</si>
  <si>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761143</t>
  </si>
  <si>
    <t>ECR - LVDT TEST FIXTURE &amp; KIT - Request that a revised process for calibrating every size of valve integration is established. Request also to develop a new test insert that follows the interal translation of the carbide carrier in the absence of a view window that has been removed from the design. This insert is to be attached to the Linear Variable Differention Transducer (LVDT) sensor so that measurements from outside the tool can be made. A new method/fixture should be designed to improve repeatability of the LVDT measurement. Paul Lively 2/29/2012</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</si>
  <si>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</si>
  <si>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</si>
  <si>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</si>
  <si>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</si>
  <si>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Statoil, Grane</t>
  </si>
  <si>
    <t>For Statoil Grane project. SB2 QA
see attached document for spesification</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</si>
  <si>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</si>
  <si>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</si>
  <si>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</si>
  <si>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Same as: 235SF0967018-SB2;  CLP,SPLC,9670,13CR,7-29.00 VAMTOP -SB2
Except: Change Material to 25Cr
TSG NOTES 021612 RECD FOR PROCESSING; QUALITY PROVIDED DRAWING FOR MARKUP; 022712 RECD MARKUPS FROM QUALITY; RTA SENT FOR REVIEW AND APPROVAL 022912 RTA PLACED ON DESIGN HOLD-FOLDER RETURNED TO D. MOE (GMC) END</t>
  </si>
  <si>
    <t>Gauge mandrel 2 b mfd. in Canada
This is being created for Mark Bedry.  Please address all questions to him.
He only requires the design, the carriers will be built in Alberta at a Halliburton Approved Machine Shop.
SO No. 9275368
The WD parts we require:
	WellDynamics					
	Material Number	Legacy Number	Description	QTY	  	
	101863926	9381-6034	GAUGE SUB-ASSEMBLY, ROC-175, 0.75IN OD,  0-16K PSIA, 25-177C	1	  	
	101865405	9381-6026	GAUGE SUB-ASSEMBLY, ROC-175, FEEDTHRU,  1.125 INCH OD, 0-16K PSIA, 25-177C	  2	  	
	598392	9388-6038	ROC-S CABLE TERMINATION ASSEMBLY  (MP35N)	5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
NOTE from Martin Staelens: If it would help to get this design done this week, please concentrate on one mandrel - the feed-thru mandrel if the single sensor can be fitted to this mandrel too.
------
2012-02-20 ST - SENT TO J. SEALE FOR CHECKING
------
2012-02-29 ST - SENT TO R. BAKHTIARY FOR APPROVAL
2012-02-20, WM: Dana to follow up with requirements document and Rameen to clarify RTA scope with Martin Staelens. Dana put into WIP</t>
  </si>
  <si>
    <t>12.8: SPLT=N/A</t>
  </si>
  <si>
    <t>12.5: SPLT=N/A Emailed submitter to clarify if packer envelope is all being requested.  2/27/12 DM Field confirmed packer envelope is all that is required. 2/28/12 DM</t>
  </si>
  <si>
    <t>12.6: SPLT=84 Emailed submitter for requirements document and code/quality.  1/16/12 DM  Attached req doc. Emailed submitter re: standard lead time. 2/21/12 DM</t>
  </si>
  <si>
    <t>12.7: SPLT=84 Emailed submitter for requirements doc and code/quality clarification.  1/16/12 DM Attached req doc. Emailed submitter re: standard lead time. 2/21/12 DM</t>
  </si>
  <si>
    <t>pm</t>
  </si>
  <si>
    <t>2/29/2012 Permanent Monitoring RTA Priorities List</t>
  </si>
  <si>
    <t>Non-Feed Thru Variant
WellDynamics Material Legacy Number 101863926
Description GAUGE SUB-ASSEMBLY, ROC-175, 0.75IN OD,  0-16K PSIA, 25-177C	
101865405	9381-6026	GAUGE SUB-ASSEMBLY, ROC-175, FEEDTHRU,  1.125 INCH OD, 0-16K PSIA, 25-177C	  	  	
598392	9388-6038	ROC-S CABLE TERMINATION ASSEMBLY  (MP35N)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
2012-02-29 ST - SENT TO J. SEALE FOR CHECKING
OH size is 216mm</t>
  </si>
  <si>
    <t>SPLT=N/A Emailed submitter for completion date, Customer name, Project name.  2/29/12 DM</t>
  </si>
  <si>
    <t>CREATE DOCUMENTATION RELATED TO PSA ASSEMBLY THAT DID NOT CARRY OVER CORRECTLY DURING INTEGRATION. UPDATE PSA AND VMA ASSEMBLIES WITH THE RIGHT REFERENCE DOCUMENTATION. 
TSG WILL REQUEST THE FOLLOWING PARTS BE BACKFILLED: 595965, 595967 02-29-2012 JCC</t>
  </si>
  <si>
    <t>761192</t>
  </si>
  <si>
    <t>MAERSK</t>
  </si>
  <si>
    <t>ECR RTA TO CHANGE MATERIAL ON PART NUMBER 102127990 FROM ES-MA-18-9 (4140 LAS) TO ES-MA-175-1 (1CR).  MATERIAL WHEN PART ORIGINALLY CREATED WAS NOT EXACT TYPE REQUIRED BY RTA - R756902.</t>
  </si>
  <si>
    <t>Same As: 235SF0703550; SUB,SPLC,7035,S13CR,3 1/2-9.20 VAMTOP BO
Except: in 13Cr 80k Material
Tech Start Date is in the past
Project Name: Angsi
Special Quality Plan Required?: No
Material: (7) 13 CR 80 MY 22HRC (ES-MA-58-7)
Mating Infomation:
TSG NOTES 022912 RCVD. FILE FOR PROCESSING. (KEN) END</t>
  </si>
  <si>
    <t>Michael Nguyen</t>
  </si>
  <si>
    <t>SPLT=126 Emailed submitter re:standard lead and thread clarification.  2/27/12 DM  Emailed submitter suggesting Nitrile in lieu of AFLAS for element and O-rings. 2/29/12 DM</t>
  </si>
  <si>
    <t>761254</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</si>
  <si>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t>
  </si>
  <si>
    <t>lorenzzobreda.minassa@halliburton.com</t>
  </si>
  <si>
    <t>ConocoPhilips require a Single ROC Gauge Mandrel of the following specification:
4 1/2 in x 13.5 LB/FT 13Cr80 Tenaris Blue Pin x Pin
Gauge will be ROC- 175 16k single gauge 0.75 OD SAP No 101863926
------
2012-02-27 ST - SENT TO M.GUY FOR CHECKING.
2012-02-28 MG - CHECKED, RETURNED TO SAM FOR SMALL MODS.
------
2012-02-28 ST - SENT TO R. BAKHTIARY FOR APPROVAL
No quality required.  2/29/12 DM</t>
  </si>
  <si>
    <t>2/29/2012 - SCOPE OF THIS RTA EXPANDED TO COVER CHANGING MATERIAL SPEC ON ALL RELEVANT PARTS ON MAERSK SMARTPLEX PROJECT RTAS 698242, 756622, 756625, AND 756902.  BY: SCOTT HOADLEY</t>
  </si>
  <si>
    <t>761223</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</si>
  <si>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t>
  </si>
  <si>
    <t>761238</t>
  </si>
  <si>
    <t>FMC Stjerne</t>
  </si>
  <si>
    <t>Need FAR for RMA-000895, MN 101892578 SN:2118</t>
  </si>
  <si>
    <t>99: SPLT=168  Cancelling per submitter customer wants HS instead of HVC valves. Completed most of design so will go ahead and complete. 1/27/12 DM  Emailed submitter re: AIS date...well completing end of Oct,2012. 2/21/12 DM</t>
  </si>
  <si>
    <t>6 foot pup joint with Vam Top box (coupling) on one side and T3SB box on the other
Per Paul James, the TenarisHydril 3SB for the 4-1/2 OD is 12.75, not 12.6. (CMN 2/29/12)
No quality required.  2/29/12 DM</t>
  </si>
  <si>
    <t>6 foot pup joint with Vam Top box (coupling) on one end and T3SB pin on the other.
Confirmed with Paul James that bottom connection thread is really T3SB 4.5 12.75ppf. (CMN 2/28/12)
No quality required.  2/29/12 DM</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</si>
  <si>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</si>
  <si>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</si>
  <si>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t>
  </si>
  <si>
    <t>Statoil Stjerne M-14</t>
  </si>
  <si>
    <t>New ROC Mdrl 2 b used on Stjerne M-14
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</si>
  <si>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Wildcards * and ? May be used
Type to filter by name:</t>
  </si>
</sst>
</file>

<file path=xl/styles.xml><?xml version="1.0" encoding="utf-8"?>
<styleSheet xmlns="http://schemas.openxmlformats.org/spreadsheetml/2006/main" xmlns:mc="http://schemas.openxmlformats.org/markup-compatibility/2006" xmlns:x14ac="http://schemas.microsoft.com/office/spreadsheetml/2009/9/ac" mc:Ignorable="x14ac">
  <fonts count="35">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0"/>
      <color theme="1"/>
      <name val="Arial"/>
      <family val="2"/>
    </font>
    <font>
      <sz val="11"/>
      <color theme="1"/>
      <name val="Arial"/>
      <family val="2"/>
    </font>
    <font>
      <sz val="10.5"/>
      <color theme="1"/>
      <name val="Arial"/>
      <family val="2"/>
    </font>
    <font>
      <sz val="10.5"/>
      <name val="Arial"/>
      <family val="2"/>
    </font>
    <font>
      <sz val="10.5"/>
      <color theme="1"/>
      <name val="Century Gothic"/>
      <family val="2"/>
    </font>
    <font>
      <b/>
      <sz val="10.5"/>
      <color theme="1"/>
      <name val="Arial"/>
      <family val="2"/>
    </font>
    <font>
      <sz val="13"/>
      <color theme="1"/>
      <name val="Arial"/>
      <family val="2"/>
    </font>
    <font>
      <sz val="14"/>
      <color theme="1"/>
      <name val="Century Gothic"/>
      <family val="2"/>
    </font>
    <font>
      <sz val="16"/>
      <color theme="1"/>
      <name val="Century Gothic"/>
      <family val="2"/>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6">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s>
  <cellStyleXfs count="1">
    <xf numFmtId="0" fontId="0" fillId="0" borderId="0"/>
  </cellStyleXfs>
  <cellXfs count="152">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2" xfId="0" applyFont="1" applyFill="1" applyBorder="1" applyAlignment="1">
      <alignment horizontal="center" vertical="center" wrapText="1"/>
    </xf>
    <xf numFmtId="0" fontId="8" fillId="0" borderId="22" xfId="0" applyFont="1" applyBorder="1" applyAlignment="1">
      <alignment horizontal="center" vertical="center" wrapText="1"/>
    </xf>
    <xf numFmtId="0" fontId="8" fillId="0" borderId="22" xfId="0" applyFont="1" applyFill="1" applyBorder="1" applyAlignment="1">
      <alignment horizontal="center" vertical="center" wrapText="1"/>
    </xf>
    <xf numFmtId="0" fontId="8" fillId="0" borderId="22"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10"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0" fillId="7" borderId="0" xfId="0" applyFont="1" applyFill="1" applyAlignment="1" applyProtection="1">
      <alignment horizontal="center" vertical="center"/>
      <protection locked="0"/>
    </xf>
    <xf numFmtId="0" fontId="13" fillId="7" borderId="0" xfId="0" applyFont="1" applyFill="1"/>
    <xf numFmtId="0" fontId="0" fillId="0" borderId="0" xfId="0" applyBorder="1" applyAlignment="1">
      <alignment horizontal="left" vertical="top" wrapText="1"/>
    </xf>
    <xf numFmtId="0" fontId="19" fillId="7" borderId="0" xfId="0" applyFont="1" applyFill="1"/>
    <xf numFmtId="0" fontId="18" fillId="7" borderId="0" xfId="0" applyFont="1" applyFill="1" applyAlignment="1">
      <alignment vertical="center"/>
    </xf>
    <xf numFmtId="0" fontId="18" fillId="7" borderId="0" xfId="0" applyFont="1" applyFill="1" applyAlignment="1">
      <alignment horizontal="center" vertical="center"/>
    </xf>
    <xf numFmtId="0" fontId="20" fillId="7" borderId="0" xfId="0" applyFont="1" applyFill="1"/>
    <xf numFmtId="0" fontId="21" fillId="7" borderId="0" xfId="0" applyFont="1" applyFill="1"/>
    <xf numFmtId="0" fontId="22" fillId="7" borderId="0" xfId="0" applyFont="1" applyFill="1"/>
    <xf numFmtId="0" fontId="23" fillId="7" borderId="0" xfId="0" applyFont="1" applyFill="1"/>
    <xf numFmtId="0" fontId="20" fillId="7" borderId="0" xfId="0" applyFont="1" applyFill="1" applyAlignment="1">
      <alignment horizontal="left" vertical="center"/>
    </xf>
    <xf numFmtId="0" fontId="21" fillId="7" borderId="0" xfId="0" applyFont="1" applyFill="1" applyAlignment="1">
      <alignment horizontal="left" vertical="center"/>
    </xf>
    <xf numFmtId="0" fontId="24" fillId="7" borderId="0" xfId="0" applyFont="1" applyFill="1"/>
    <xf numFmtId="0" fontId="0" fillId="7" borderId="0" xfId="0" applyFill="1"/>
    <xf numFmtId="0" fontId="25" fillId="7" borderId="0" xfId="0" applyFont="1" applyFill="1"/>
    <xf numFmtId="0" fontId="17" fillId="7" borderId="0" xfId="0" applyFont="1" applyFill="1"/>
    <xf numFmtId="0" fontId="27"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0" fillId="9" borderId="30" xfId="0" applyFont="1" applyFill="1" applyBorder="1" applyAlignment="1" applyProtection="1">
      <alignment horizontal="center" vertical="center" wrapText="1"/>
      <protection locked="0"/>
    </xf>
    <xf numFmtId="0" fontId="28" fillId="7" borderId="0" xfId="0" applyFont="1" applyFill="1" applyAlignment="1" applyProtection="1">
      <alignment horizontal="center" vertical="top"/>
    </xf>
    <xf numFmtId="0" fontId="29" fillId="7" borderId="0" xfId="0" applyFont="1" applyFill="1" applyAlignment="1" applyProtection="1">
      <alignment horizontal="center" vertical="top"/>
    </xf>
    <xf numFmtId="0" fontId="28" fillId="7" borderId="0" xfId="0" applyFont="1" applyFill="1" applyAlignment="1" applyProtection="1">
      <alignment horizontal="center" vertical="top"/>
      <protection locked="0"/>
    </xf>
    <xf numFmtId="0" fontId="26" fillId="0" borderId="0" xfId="0" applyFont="1" applyFill="1" applyBorder="1" applyAlignment="1">
      <alignment horizontal="center" vertical="center" wrapText="1"/>
    </xf>
    <xf numFmtId="0" fontId="28" fillId="7" borderId="0" xfId="0" applyFont="1" applyFill="1" applyAlignment="1" applyProtection="1">
      <alignment horizontal="left" vertical="top"/>
      <protection locked="0"/>
    </xf>
    <xf numFmtId="0" fontId="0" fillId="0" borderId="0" xfId="0" applyNumberFormat="1" applyFont="1" applyFill="1" applyBorder="1" applyAlignment="1" applyProtection="1">
      <alignment horizontal="center" vertical="center" wrapText="1"/>
    </xf>
    <xf numFmtId="49" fontId="20" fillId="7" borderId="0" xfId="0" applyNumberFormat="1" applyFont="1" applyFill="1" applyAlignment="1">
      <alignment horizontal="left" vertical="center"/>
    </xf>
    <xf numFmtId="0" fontId="15" fillId="7" borderId="0" xfId="0" applyFont="1" applyFill="1" applyAlignment="1">
      <alignment horizontal="center" vertical="center"/>
    </xf>
    <xf numFmtId="0" fontId="18" fillId="7" borderId="0" xfId="0" applyFont="1" applyFill="1" applyAlignment="1">
      <alignment horizontal="center" vertical="center"/>
    </xf>
    <xf numFmtId="0" fontId="0" fillId="7" borderId="21" xfId="0" applyFont="1" applyFill="1" applyBorder="1" applyAlignment="1" applyProtection="1">
      <alignment horizontal="center" vertical="center"/>
    </xf>
    <xf numFmtId="0" fontId="0" fillId="7" borderId="35"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7" borderId="30" xfId="0" applyFont="1" applyFill="1" applyBorder="1" applyAlignment="1" applyProtection="1">
      <alignment horizontal="center" vertical="center"/>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12" fillId="0" borderId="0" xfId="0" applyFont="1" applyAlignment="1">
      <alignment horizontal="center" vertical="center" wrapText="1"/>
    </xf>
    <xf numFmtId="0" fontId="1" fillId="8" borderId="7" xfId="0" applyFont="1" applyFill="1" applyBorder="1" applyAlignment="1" applyProtection="1">
      <alignment horizontal="center" vertical="center"/>
    </xf>
    <xf numFmtId="0" fontId="1" fillId="8" borderId="31" xfId="0" applyFont="1" applyFill="1" applyBorder="1" applyAlignment="1" applyProtection="1">
      <alignment horizontal="center" vertical="center"/>
    </xf>
    <xf numFmtId="0" fontId="0" fillId="0" borderId="0" xfId="0" applyNumberFormat="1" applyFont="1" applyFill="1" applyAlignment="1" applyProtection="1">
      <alignment horizontal="center" vertical="center" wrapText="1"/>
    </xf>
    <xf numFmtId="0" fontId="30" fillId="8" borderId="32" xfId="0" applyFont="1" applyFill="1" applyBorder="1" applyAlignment="1" applyProtection="1">
      <alignment horizontal="center" vertical="top"/>
    </xf>
    <xf numFmtId="0" fontId="28" fillId="7" borderId="33"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8" fillId="7" borderId="33" xfId="0" applyFont="1" applyFill="1" applyBorder="1" applyAlignment="1" applyProtection="1">
      <alignment horizontal="center" vertical="top"/>
    </xf>
    <xf numFmtId="0" fontId="28" fillId="7" borderId="34" xfId="0" applyFont="1" applyFill="1" applyBorder="1" applyAlignment="1" applyProtection="1">
      <alignment horizontal="left" vertical="top"/>
    </xf>
    <xf numFmtId="0" fontId="28" fillId="7" borderId="34" xfId="0" applyFont="1" applyFill="1" applyBorder="1" applyAlignment="1" applyProtection="1">
      <alignment horizontal="center" vertical="top"/>
    </xf>
    <xf numFmtId="14" fontId="28" fillId="7" borderId="0" xfId="0" applyNumberFormat="1" applyFont="1" applyFill="1" applyBorder="1" applyAlignment="1" applyProtection="1">
      <alignment horizontal="center" vertical="top"/>
    </xf>
    <xf numFmtId="0" fontId="29" fillId="7" borderId="34" xfId="0" applyFont="1" applyFill="1" applyBorder="1" applyAlignment="1" applyProtection="1">
      <alignment horizontal="left" vertical="top"/>
    </xf>
    <xf numFmtId="14" fontId="29" fillId="7" borderId="0" xfId="0" applyNumberFormat="1" applyFont="1" applyFill="1" applyAlignment="1" applyProtection="1">
      <alignment horizontal="center" vertical="top"/>
    </xf>
    <xf numFmtId="0" fontId="28" fillId="0" borderId="0" xfId="0" applyFont="1" applyFill="1" applyBorder="1" applyAlignment="1">
      <alignment horizontal="center" vertical="center" wrapText="1"/>
    </xf>
    <xf numFmtId="0" fontId="28" fillId="0" borderId="0" xfId="0" applyFont="1" applyFill="1" applyBorder="1" applyAlignment="1" applyProtection="1">
      <alignment horizontal="center" vertical="center" wrapText="1"/>
    </xf>
    <xf numFmtId="0" fontId="31" fillId="7" borderId="0" xfId="0" applyFont="1" applyFill="1" applyBorder="1" applyAlignment="1" applyProtection="1">
      <alignment horizontal="center" vertical="top"/>
      <protection locked="0"/>
    </xf>
    <xf numFmtId="0" fontId="28" fillId="7" borderId="0" xfId="0" applyFont="1" applyFill="1" applyBorder="1" applyAlignment="1" applyProtection="1">
      <alignment horizontal="center" vertical="top"/>
      <protection locked="0"/>
    </xf>
    <xf numFmtId="0" fontId="28" fillId="0" borderId="0" xfId="0" applyFont="1" applyFill="1" applyBorder="1" applyAlignment="1" applyProtection="1">
      <alignment horizontal="center" vertical="top" wrapText="1"/>
      <protection locked="0"/>
    </xf>
    <xf numFmtId="0" fontId="28" fillId="0" borderId="0" xfId="0" applyFont="1" applyFill="1" applyBorder="1" applyAlignment="1" applyProtection="1">
      <alignment horizontal="left" vertical="top" wrapText="1"/>
      <protection locked="0"/>
    </xf>
    <xf numFmtId="14" fontId="28" fillId="0" borderId="0" xfId="0" applyNumberFormat="1" applyFont="1" applyFill="1" applyBorder="1" applyAlignment="1" applyProtection="1">
      <alignment horizontal="center" vertical="top" wrapText="1"/>
    </xf>
    <xf numFmtId="49" fontId="28" fillId="0" borderId="0" xfId="0" applyNumberFormat="1" applyFont="1" applyFill="1" applyBorder="1" applyAlignment="1" applyProtection="1">
      <alignment horizontal="center" vertical="top" wrapText="1"/>
      <protection locked="0"/>
    </xf>
    <xf numFmtId="0" fontId="28" fillId="0" borderId="0" xfId="0" applyFont="1" applyFill="1" applyBorder="1" applyAlignment="1">
      <alignment horizontal="center" vertical="top" wrapText="1"/>
    </xf>
    <xf numFmtId="0" fontId="28" fillId="0" borderId="0" xfId="0" applyFont="1" applyFill="1" applyBorder="1" applyAlignment="1">
      <alignment horizontal="left" vertical="top" wrapText="1"/>
    </xf>
    <xf numFmtId="49" fontId="28" fillId="0" borderId="0" xfId="0" applyNumberFormat="1" applyFont="1" applyFill="1" applyBorder="1" applyAlignment="1">
      <alignment horizontal="center" vertical="top" wrapText="1"/>
    </xf>
    <xf numFmtId="0" fontId="31" fillId="7" borderId="0" xfId="0" applyFont="1" applyFill="1" applyAlignment="1" applyProtection="1">
      <alignment horizontal="center" vertical="top"/>
      <protection locked="0"/>
    </xf>
    <xf numFmtId="0" fontId="28" fillId="0" borderId="0" xfId="0" applyFont="1" applyFill="1" applyAlignment="1" applyProtection="1">
      <alignment horizontal="center" vertical="top" wrapText="1"/>
      <protection locked="0"/>
    </xf>
    <xf numFmtId="0" fontId="28" fillId="0" borderId="0" xfId="0" applyFont="1" applyFill="1" applyAlignment="1" applyProtection="1">
      <alignment horizontal="left" vertical="top" wrapText="1"/>
      <protection locked="0"/>
    </xf>
    <xf numFmtId="14" fontId="28" fillId="0" borderId="0" xfId="0" applyNumberFormat="1" applyFont="1" applyFill="1" applyAlignment="1" applyProtection="1">
      <alignment horizontal="center" vertical="top" wrapText="1"/>
    </xf>
    <xf numFmtId="49" fontId="28" fillId="0" borderId="0" xfId="0" applyNumberFormat="1" applyFont="1" applyFill="1" applyAlignment="1" applyProtection="1">
      <alignment horizontal="center" vertical="top" wrapText="1"/>
      <protection locked="0"/>
    </xf>
    <xf numFmtId="49" fontId="28" fillId="0" borderId="0" xfId="0" quotePrefix="1" applyNumberFormat="1" applyFont="1" applyFill="1" applyBorder="1" applyAlignment="1" applyProtection="1">
      <alignment horizontal="center" vertical="top" wrapText="1"/>
      <protection locked="0"/>
    </xf>
    <xf numFmtId="14" fontId="28" fillId="7" borderId="0" xfId="0" applyNumberFormat="1" applyFont="1" applyFill="1" applyAlignment="1" applyProtection="1">
      <alignment horizontal="center" vertical="top"/>
      <protection locked="0"/>
    </xf>
    <xf numFmtId="0" fontId="4" fillId="0" borderId="0" xfId="0" applyFont="1" applyFill="1" applyBorder="1" applyAlignment="1">
      <alignment horizontal="center" vertical="center" wrapText="1"/>
    </xf>
    <xf numFmtId="0" fontId="0"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6"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6" fillId="8" borderId="33"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32" fillId="0" borderId="0" xfId="0" applyFont="1" applyFill="1" applyBorder="1" applyAlignment="1">
      <alignment horizontal="center" vertical="center" wrapText="1"/>
    </xf>
    <xf numFmtId="0" fontId="33" fillId="0" borderId="0" xfId="0" applyFont="1" applyFill="1" applyBorder="1" applyAlignment="1">
      <alignment horizontal="center" vertical="center" wrapText="1"/>
    </xf>
    <xf numFmtId="0" fontId="34" fillId="0" borderId="0" xfId="0" applyFont="1" applyAlignment="1">
      <alignment horizontal="center" vertical="center"/>
    </xf>
    <xf numFmtId="0" fontId="28" fillId="0" borderId="0" xfId="0" applyFont="1" applyFill="1" applyBorder="1" applyAlignment="1">
      <alignment horizontal="center" vertical="center"/>
    </xf>
    <xf numFmtId="0" fontId="28" fillId="0" borderId="0" xfId="0" applyFont="1" applyFill="1" applyBorder="1" applyAlignment="1" applyProtection="1">
      <alignment horizontal="center" vertical="center"/>
      <protection locked="0"/>
    </xf>
    <xf numFmtId="0" fontId="28" fillId="0" borderId="0" xfId="0" applyFont="1" applyFill="1" applyAlignment="1" applyProtection="1">
      <alignment horizontal="center" vertical="center"/>
      <protection locked="0"/>
    </xf>
    <xf numFmtId="0" fontId="28" fillId="0" borderId="0" xfId="0" applyFont="1" applyFill="1" applyBorder="1" applyAlignment="1" applyProtection="1">
      <alignment horizontal="left" vertical="top"/>
      <protection locked="0"/>
    </xf>
    <xf numFmtId="0" fontId="33" fillId="0" borderId="0" xfId="0" applyFont="1" applyFill="1" applyBorder="1" applyAlignment="1">
      <alignment horizontal="center" vertical="center"/>
    </xf>
  </cellXfs>
  <cellStyles count="1">
    <cellStyle name="Normal" xfId="0" builtinId="0"/>
  </cellStyles>
  <dxfs count="101">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color rgb="FFD04340"/>
      </font>
    </dxf>
    <dxf>
      <font>
        <b val="0"/>
        <i/>
        <color theme="0" tint="-0.499984740745262"/>
      </font>
    </dxf>
    <dxf>
      <font>
        <color theme="0"/>
      </font>
      <fill>
        <patternFill>
          <bgColor rgb="FFD26865"/>
        </patternFill>
      </fill>
    </dxf>
    <dxf>
      <fill>
        <patternFill>
          <bgColor rgb="FFE4E4E4"/>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72A4EE"/>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0.5"/>
        <color theme="1"/>
        <name val="Arial"/>
        <scheme val="none"/>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5">
      <tableStyleElement type="wholeTable" dxfId="14"/>
      <tableStyleElement type="headerRow" dxfId="13"/>
      <tableStyleElement type="totalRow" dxfId="12"/>
      <tableStyleElement type="firstColumn" dxfId="11"/>
      <tableStyleElement type="firstRowStripe" dxfId="10"/>
    </tableStyle>
    <tableStyle name="TableStyleMedium16 2" pivot="0" count="7">
      <tableStyleElement type="wholeTable" dxfId="93"/>
      <tableStyleElement type="headerRow" dxfId="92"/>
      <tableStyleElement type="totalRow" dxfId="91"/>
      <tableStyleElement type="firstColumn" dxfId="90"/>
      <tableStyleElement type="lastColumn" dxfId="89"/>
      <tableStyleElement type="firstRowStripe" dxfId="88"/>
      <tableStyleElement type="firstColumnStripe" dxfId="87"/>
    </tableStyle>
    <tableStyle name="TableStyleMedium22 2" pivot="0" count="7">
      <tableStyleElement type="wholeTable" dxfId="86"/>
      <tableStyleElement type="headerRow" dxfId="85"/>
      <tableStyleElement type="totalRow" dxfId="84"/>
      <tableStyleElement type="firstColumn" dxfId="83"/>
      <tableStyleElement type="lastColumn" dxfId="82"/>
      <tableStyleElement type="firstRowStripe" dxfId="81"/>
      <tableStyleElement type="firstColumnStripe" dxfId="80"/>
    </tableStyle>
    <tableStyle name="TableStyleMedium23 2" pivot="0" count="8">
      <tableStyleElement type="wholeTable" dxfId="79"/>
      <tableStyleElement type="headerRow" dxfId="78"/>
      <tableStyleElement type="totalRow" dxfId="77"/>
      <tableStyleElement type="firstColumn" dxfId="76"/>
      <tableStyleElement type="lastColumn" dxfId="75"/>
      <tableStyleElement type="firstRowStripe" dxfId="74"/>
      <tableStyleElement type="firstColumnStripe" dxfId="73"/>
      <tableStyleElement type="secondColumnStripe" dxfId="72"/>
    </tableStyle>
  </tableStyles>
  <colors>
    <mruColors>
      <color rgb="FFE4E4E4"/>
      <color rgb="FFDCDCDC"/>
      <color rgb="FF72A4EE"/>
      <color rgb="FF397FE7"/>
      <color rgb="FFD58181"/>
      <color rgb="FFCAE8AA"/>
      <color rgb="FFB8E08C"/>
      <color rgb="FFCCFFCC"/>
      <color rgb="FFAFFF8F"/>
      <color rgb="FFB0FEB9"/>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238125</xdr:rowOff>
        </xdr:from>
        <xdr:to>
          <xdr:col>3</xdr:col>
          <xdr:colOff>2381250</xdr:colOff>
          <xdr:row>1</xdr:row>
          <xdr:rowOff>581025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619125</xdr:rowOff>
        </xdr:from>
        <xdr:to>
          <xdr:col>3</xdr:col>
          <xdr:colOff>2381250</xdr:colOff>
          <xdr:row>2</xdr:row>
          <xdr:rowOff>142875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180975</xdr:rowOff>
        </xdr:from>
        <xdr:to>
          <xdr:col>3</xdr:col>
          <xdr:colOff>2381250</xdr:colOff>
          <xdr:row>2</xdr:row>
          <xdr:rowOff>523875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571500</xdr:rowOff>
        </xdr:from>
        <xdr:to>
          <xdr:col>3</xdr:col>
          <xdr:colOff>2381250</xdr:colOff>
          <xdr:row>3</xdr:row>
          <xdr:rowOff>38100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161925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733425</xdr:rowOff>
        </xdr:from>
        <xdr:to>
          <xdr:col>2</xdr:col>
          <xdr:colOff>1543050</xdr:colOff>
          <xdr:row>3</xdr:row>
          <xdr:rowOff>171450</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266700</xdr:rowOff>
        </xdr:from>
        <xdr:to>
          <xdr:col>2</xdr:col>
          <xdr:colOff>1790700</xdr:colOff>
          <xdr:row>1</xdr:row>
          <xdr:rowOff>657225</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695325</xdr:rowOff>
        </xdr:from>
        <xdr:to>
          <xdr:col>2</xdr:col>
          <xdr:colOff>1790700</xdr:colOff>
          <xdr:row>2</xdr:row>
          <xdr:rowOff>266700</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304800</xdr:rowOff>
        </xdr:from>
        <xdr:to>
          <xdr:col>2</xdr:col>
          <xdr:colOff>1790700</xdr:colOff>
          <xdr:row>2</xdr:row>
          <xdr:rowOff>695325</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476250</xdr:rowOff>
        </xdr:from>
        <xdr:to>
          <xdr:col>1</xdr:col>
          <xdr:colOff>619125</xdr:colOff>
          <xdr:row>2</xdr:row>
          <xdr:rowOff>161925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85725</xdr:rowOff>
        </xdr:from>
        <xdr:to>
          <xdr:col>1</xdr:col>
          <xdr:colOff>619125</xdr:colOff>
          <xdr:row>1</xdr:row>
          <xdr:rowOff>415925</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xdr:row>
          <xdr:rowOff>247649</xdr:rowOff>
        </xdr:from>
        <xdr:to>
          <xdr:col>1</xdr:col>
          <xdr:colOff>676275</xdr:colOff>
          <xdr:row>2</xdr:row>
          <xdr:rowOff>641349</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xdr:row>
          <xdr:rowOff>676274</xdr:rowOff>
        </xdr:from>
        <xdr:to>
          <xdr:col>1</xdr:col>
          <xdr:colOff>676275</xdr:colOff>
          <xdr:row>3</xdr:row>
          <xdr:rowOff>168274</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1</xdr:row>
          <xdr:rowOff>9525</xdr:rowOff>
        </xdr:from>
        <xdr:to>
          <xdr:col>2</xdr:col>
          <xdr:colOff>1543050</xdr:colOff>
          <xdr:row>1</xdr:row>
          <xdr:rowOff>257175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247650</xdr:rowOff>
        </xdr:from>
        <xdr:to>
          <xdr:col>3</xdr:col>
          <xdr:colOff>2743200</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628650</xdr:rowOff>
        </xdr:from>
        <xdr:to>
          <xdr:col>3</xdr:col>
          <xdr:colOff>2743200</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190500</xdr:rowOff>
        </xdr:from>
        <xdr:to>
          <xdr:col>3</xdr:col>
          <xdr:colOff>2743200</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581025</xdr:rowOff>
        </xdr:from>
        <xdr:to>
          <xdr:col>3</xdr:col>
          <xdr:colOff>2743200</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78" tableType="queryTable" totalsRowShown="0" headerRowDxfId="36" dataDxfId="35">
  <sortState ref="A6:AA1478">
    <sortCondition ref="A5:A1478"/>
  </sortState>
  <tableColumns count="27">
    <tableColumn id="17" uniqueName="17" name=" " queryTableFieldId="17" dataDxfId="34">
      <calculatedColumnFormula>IF(priority(Main[[#This Row],[Comments]])&lt;&gt;0, priority(Main[[#This Row],[Comments]]),"")</calculatedColumnFormula>
    </tableColumn>
    <tableColumn id="1" uniqueName="1" name="RTA" queryTableFieldId="1" dataDxfId="3"/>
    <tableColumn id="2" uniqueName="2" name="Customer" queryTableFieldId="2" dataDxfId="1"/>
    <tableColumn id="3" uniqueName="3" name="Description" queryTableFieldId="3" dataDxfId="2"/>
    <tableColumn id="4" uniqueName="4" name="Submitted" queryTableFieldId="4" dataDxfId="0"/>
    <tableColumn id="5" uniqueName="5" name="In Stock Date" queryTableFieldId="5" dataDxfId="33"/>
    <tableColumn id="19" uniqueName="19" name="Standard Production Lead Time" queryTableFieldId="19" dataDxfId="32">
      <calculatedColumnFormula>IF(stdProdLT(Main[[#This Row],[Comments]])=0.1,"N/A",IF(stdProdLT(Main[[#This Row],[Comments]])=0,"",stdProdLT(Main[[#This Row],[Comments]])))</calculatedColumnFormula>
    </tableColumn>
    <tableColumn id="18" uniqueName="18" name="Remaining Production Lead Time" queryTableFieldId="18" dataDxfId="31">
      <calculatedColumnFormula>IF(Main[[#This Row],[In Stock Date]]="N/A", "N/A",IF(AND(Main[[#This Row],[In Stock Date]]&lt;&gt;"",Main[[#This Row],[Revised Due Date]]&lt;&gt;"",Main[[#This Row],[In Stock Date]]&lt;&gt;""),Main[[#This Row],[In Stock Date]]-Main[[#This Row],[Revised Due Date]],""))</calculatedColumnFormula>
    </tableColumn>
    <tableColumn id="6" uniqueName="6" name="Assigned To" queryTableFieldId="6" dataDxfId="30"/>
    <tableColumn id="7" uniqueName="7" name="Current Status" queryTableFieldId="7" dataDxfId="29"/>
    <tableColumn id="12" uniqueName="12" name="Class" queryTableFieldId="12" dataDxfId="28"/>
    <tableColumn id="9" uniqueName="9" name="Tech Start Date" queryTableFieldId="9" dataDxfId="27"/>
    <tableColumn id="22" uniqueName="22" name="Design" queryTableFieldId="23" dataDxfId="26">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5">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24">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23">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22"/>
    <tableColumn id="11" uniqueName="11" name="Revised Due Date" queryTableFieldId="11" dataDxfId="21"/>
    <tableColumn id="13" uniqueName="13" name="Type" queryTableFieldId="13" dataDxfId="5"/>
    <tableColumn id="14" uniqueName="14" name="Comments" queryTableFieldId="14" dataDxfId="6"/>
    <tableColumn id="15" uniqueName="15" name="State" queryTableFieldId="15" dataDxfId="4"/>
    <tableColumn id="8" uniqueName="8" name="Lab Office" queryTableFieldId="8" dataDxfId="20"/>
    <tableColumn id="16" uniqueName="16" name="Code" queryTableFieldId="16" dataDxfId="19"/>
    <tableColumn id="24" uniqueName="24" name="Submitted By" queryTableFieldId="29" dataDxfId="18"/>
    <tableColumn id="25" uniqueName="25" name="Requestor Email" queryTableFieldId="30" dataDxfId="17"/>
    <tableColumn id="27" uniqueName="27" name="Manager/Lead" queryTableFieldId="32" dataDxfId="16"/>
    <tableColumn id="26" uniqueName="26" name="Requestor Name" queryTableFieldId="33" dataDxfId="15"/>
  </tableColumns>
  <tableStyleInfo name="TableStyleLight1 2"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71" dataDxfId="70">
  <tableColumns count="1">
    <tableColumn id="1" uniqueName="1" name="Assigned To" queryTableFieldId="1" headerRowDxfId="69" dataDxfId="37"/>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68" dataDxfId="67">
  <tableColumns count="1">
    <tableColumn id="1" uniqueName="1" name="Assigned To" queryTableFieldId="1" headerRowDxfId="66" dataDxfId="38"/>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65" dataDxfId="64">
  <tableColumns count="1">
    <tableColumn id="1" uniqueName="1" name="Assigned To" queryTableFieldId="1" headerRowDxfId="63" dataDxfId="39"/>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62" dataDxfId="40"/>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61">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60" dataDxfId="59">
  <autoFilter ref="I28:I36"/>
  <sortState ref="I29:I36">
    <sortCondition ref="I2:I10"/>
  </sortState>
  <tableColumns count="1">
    <tableColumn id="1" uniqueName="1" name="State" queryTableFieldId="1" dataDxfId="41"/>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58">
  <autoFilter ref="J28:J35"/>
  <sortState ref="J29:J35">
    <sortCondition ref="J24:J31"/>
  </sortState>
  <tableColumns count="1">
    <tableColumn id="1" uniqueName="1" name="Code" queryTableFieldId="2" dataDxfId="42"/>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57" dataDxfId="56" tableBorderDxfId="55">
  <autoFilter ref="H28:H36"/>
  <tableColumns count="1">
    <tableColumn id="1" uniqueName="1" name="Type" queryTableFieldId="1" dataDxfId="43"/>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54">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53" dataDxfId="52">
  <tableColumns count="8">
    <tableColumn id="1" name="#" dataDxfId="51"/>
    <tableColumn id="2" name="RTA" dataDxfId="50"/>
    <tableColumn id="3" name="Customer" dataDxfId="49"/>
    <tableColumn id="4" name="Description" dataDxfId="48"/>
    <tableColumn id="5" name="Available In Stock" dataDxfId="47"/>
    <tableColumn id="11" name="Assigned To" dataDxfId="46"/>
    <tableColumn id="8" name="Status" dataDxfId="45"/>
    <tableColumn id="9" name="Tech Rev'd Due Date" dataDxfId="4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RowHeight="15.95" customHeight="1"/>
  <cols>
    <col min="1" max="1" width="8.375" style="59" customWidth="1"/>
    <col min="2" max="2" width="8.375" style="60" customWidth="1"/>
    <col min="3" max="9" width="8.375" style="58" customWidth="1"/>
    <col min="10" max="10" width="9.75" style="58" customWidth="1"/>
    <col min="11" max="11" width="8.375" style="46" customWidth="1"/>
    <col min="12" max="16384" width="9" style="46"/>
  </cols>
  <sheetData>
    <row r="1" spans="1:11" ht="14.25">
      <c r="A1" s="46"/>
      <c r="B1" s="46"/>
      <c r="C1" s="46"/>
      <c r="D1" s="46"/>
      <c r="E1" s="46"/>
      <c r="F1" s="46"/>
      <c r="G1" s="46"/>
      <c r="H1" s="46"/>
      <c r="I1" s="46"/>
      <c r="J1" s="46"/>
    </row>
    <row r="2" spans="1:11" ht="14.25">
      <c r="A2" s="46"/>
      <c r="B2" s="71" t="s">
        <v>2064</v>
      </c>
      <c r="C2" s="71"/>
      <c r="D2" s="71"/>
      <c r="E2" s="71"/>
      <c r="F2" s="71"/>
      <c r="G2" s="71"/>
      <c r="H2" s="71"/>
      <c r="I2" s="71"/>
      <c r="J2" s="71"/>
    </row>
    <row r="3" spans="1:11" ht="14.25">
      <c r="A3" s="46"/>
      <c r="B3" s="71"/>
      <c r="C3" s="71"/>
      <c r="D3" s="71"/>
      <c r="E3" s="71"/>
      <c r="F3" s="71"/>
      <c r="G3" s="71"/>
      <c r="H3" s="71"/>
      <c r="I3" s="71"/>
      <c r="J3" s="71"/>
    </row>
    <row r="4" spans="1:11" ht="15" customHeight="1">
      <c r="A4" s="46"/>
      <c r="B4" s="71"/>
      <c r="C4" s="71"/>
      <c r="D4" s="71"/>
      <c r="E4" s="71"/>
      <c r="F4" s="71"/>
      <c r="G4" s="71"/>
      <c r="H4" s="71"/>
      <c r="I4" s="71"/>
      <c r="J4" s="71"/>
    </row>
    <row r="5" spans="1:11" ht="14.25" customHeight="1">
      <c r="A5" s="46"/>
      <c r="B5" s="71"/>
      <c r="C5" s="71"/>
      <c r="D5" s="71"/>
      <c r="E5" s="71"/>
      <c r="F5" s="71"/>
      <c r="G5" s="71"/>
      <c r="H5" s="71"/>
      <c r="I5" s="71"/>
      <c r="J5" s="71"/>
    </row>
    <row r="6" spans="1:11" ht="14.25" customHeight="1">
      <c r="A6" s="46"/>
      <c r="B6" s="71"/>
      <c r="C6" s="71"/>
      <c r="D6" s="71"/>
      <c r="E6" s="71"/>
      <c r="F6" s="71"/>
      <c r="G6" s="71"/>
      <c r="H6" s="71"/>
      <c r="I6" s="71"/>
      <c r="J6" s="71"/>
    </row>
    <row r="7" spans="1:11" ht="80.25" customHeight="1">
      <c r="A7" s="46"/>
      <c r="B7" s="72" t="s">
        <v>2038</v>
      </c>
      <c r="C7" s="72"/>
      <c r="D7" s="72"/>
      <c r="E7" s="72"/>
      <c r="F7" s="72"/>
      <c r="G7" s="72"/>
      <c r="H7" s="72"/>
      <c r="I7" s="72"/>
      <c r="J7" s="49"/>
      <c r="K7" s="49"/>
    </row>
    <row r="8" spans="1:11" ht="20.25" customHeight="1">
      <c r="A8" s="46"/>
      <c r="B8" s="50"/>
      <c r="C8" s="50"/>
      <c r="D8" s="50"/>
      <c r="E8" s="50"/>
      <c r="F8" s="50"/>
      <c r="G8" s="50"/>
      <c r="H8" s="50"/>
      <c r="I8" s="50"/>
      <c r="J8" s="49"/>
      <c r="K8" s="49"/>
    </row>
    <row r="9" spans="1:11" ht="15.95" customHeight="1">
      <c r="K9" s="48"/>
    </row>
    <row r="10" spans="1:11" s="52" customFormat="1" ht="15.95" customHeight="1">
      <c r="A10" s="59"/>
      <c r="B10" s="60"/>
      <c r="C10" s="58"/>
      <c r="D10" s="58"/>
      <c r="E10" s="58"/>
      <c r="F10" s="58"/>
      <c r="G10" s="58"/>
      <c r="H10" s="58"/>
      <c r="I10" s="58"/>
      <c r="J10" s="58"/>
      <c r="K10" s="51"/>
    </row>
    <row r="11" spans="1:11" s="54" customFormat="1" ht="15.95" customHeight="1">
      <c r="A11" s="59"/>
      <c r="B11" s="60"/>
      <c r="C11" s="58"/>
      <c r="D11" s="58"/>
      <c r="E11" s="58"/>
      <c r="F11" s="58"/>
      <c r="G11" s="58"/>
      <c r="H11" s="58"/>
      <c r="I11" s="58"/>
      <c r="J11" s="58"/>
      <c r="K11" s="53"/>
    </row>
    <row r="12" spans="1:11" s="52" customFormat="1" ht="15.95" customHeight="1">
      <c r="A12" s="59"/>
      <c r="B12" s="60"/>
      <c r="C12" s="58"/>
      <c r="D12" s="58"/>
      <c r="E12" s="58"/>
      <c r="F12" s="58"/>
      <c r="G12" s="58"/>
      <c r="H12" s="58"/>
      <c r="I12" s="58"/>
      <c r="J12" s="58"/>
      <c r="K12" s="51"/>
    </row>
    <row r="13" spans="1:11" s="52" customFormat="1" ht="15.95" customHeight="1">
      <c r="A13" s="59"/>
      <c r="B13" s="60"/>
      <c r="C13" s="58"/>
      <c r="D13" s="58"/>
      <c r="E13" s="58"/>
      <c r="F13" s="58"/>
      <c r="G13" s="58"/>
      <c r="H13" s="58"/>
      <c r="I13" s="58"/>
      <c r="J13" s="58"/>
      <c r="K13" s="51"/>
    </row>
    <row r="14" spans="1:11" s="56" customFormat="1" ht="15.95" customHeight="1">
      <c r="A14" s="59"/>
      <c r="B14" s="60"/>
      <c r="C14" s="58"/>
      <c r="D14" s="58"/>
      <c r="E14" s="58"/>
      <c r="F14" s="58"/>
      <c r="G14" s="58"/>
      <c r="H14" s="58"/>
      <c r="I14" s="58"/>
      <c r="J14" s="58"/>
      <c r="K14" s="55"/>
    </row>
    <row r="15" spans="1:11" s="56" customFormat="1" ht="15.95" customHeight="1">
      <c r="A15" s="59"/>
      <c r="B15" s="60"/>
      <c r="C15" s="58"/>
      <c r="D15" s="58"/>
      <c r="E15" s="58"/>
      <c r="F15" s="58"/>
      <c r="G15" s="58"/>
      <c r="H15" s="58"/>
      <c r="I15" s="58"/>
      <c r="J15" s="58"/>
      <c r="K15" s="55"/>
    </row>
    <row r="16" spans="1:11" s="56" customFormat="1" ht="15.95" customHeight="1">
      <c r="A16" s="59"/>
      <c r="B16" s="60"/>
      <c r="C16" s="58"/>
      <c r="D16" s="58"/>
      <c r="E16" s="58"/>
      <c r="F16" s="58"/>
      <c r="G16" s="58"/>
      <c r="H16" s="58"/>
      <c r="I16" s="58"/>
      <c r="J16" s="58"/>
      <c r="K16" s="55"/>
    </row>
    <row r="17" spans="1:27" s="52" customFormat="1" ht="15.95" customHeight="1">
      <c r="A17" s="59"/>
      <c r="B17" s="60"/>
      <c r="C17" s="58"/>
      <c r="D17" s="58"/>
      <c r="E17" s="58"/>
      <c r="F17" s="58"/>
      <c r="G17" s="58"/>
      <c r="H17" s="58"/>
      <c r="I17" s="58"/>
      <c r="J17" s="58"/>
      <c r="K17" s="57"/>
    </row>
    <row r="18" spans="1:27" s="52" customFormat="1" ht="15.95" customHeight="1">
      <c r="A18" s="59"/>
      <c r="B18" s="60"/>
      <c r="C18" s="58"/>
      <c r="D18" s="58"/>
      <c r="E18" s="58"/>
      <c r="F18" s="58"/>
      <c r="G18" s="58"/>
      <c r="H18" s="58"/>
      <c r="I18" s="58"/>
      <c r="J18" s="58"/>
    </row>
    <row r="19" spans="1:27" s="52" customFormat="1" ht="15.95" customHeight="1">
      <c r="A19" s="59"/>
      <c r="B19" s="60"/>
      <c r="C19" s="58"/>
      <c r="D19" s="58"/>
      <c r="E19" s="58"/>
      <c r="F19" s="58"/>
      <c r="G19" s="58"/>
      <c r="H19" s="58"/>
      <c r="I19" s="58"/>
      <c r="J19" s="58"/>
    </row>
    <row r="20" spans="1:27" s="52" customFormat="1" ht="15.95" customHeight="1">
      <c r="A20" s="59"/>
      <c r="B20" s="60"/>
      <c r="C20" s="58"/>
      <c r="D20" s="58"/>
      <c r="E20" s="58"/>
      <c r="F20" s="58"/>
      <c r="G20" s="58"/>
      <c r="H20" s="58"/>
      <c r="I20" s="58"/>
      <c r="J20" s="58"/>
    </row>
    <row r="21" spans="1:27" s="52" customFormat="1" ht="15.95" customHeight="1">
      <c r="A21" s="59"/>
      <c r="B21" s="60"/>
      <c r="C21" s="58"/>
      <c r="D21" s="58"/>
      <c r="E21" s="58"/>
      <c r="F21" s="58"/>
      <c r="G21" s="58"/>
      <c r="H21" s="58"/>
      <c r="I21" s="58"/>
      <c r="J21" s="58"/>
    </row>
    <row r="22" spans="1:27" s="52" customFormat="1" ht="15.95" customHeight="1">
      <c r="A22" s="59"/>
      <c r="B22" s="60"/>
      <c r="C22" s="58"/>
      <c r="D22" s="58"/>
      <c r="E22" s="58"/>
      <c r="F22" s="58"/>
      <c r="G22" s="58"/>
      <c r="H22" s="58"/>
      <c r="I22" s="58"/>
      <c r="J22" s="58"/>
    </row>
    <row r="23" spans="1:27" s="52" customFormat="1" ht="15.95" customHeight="1">
      <c r="A23" s="59"/>
      <c r="B23" s="60"/>
      <c r="C23" s="58"/>
      <c r="D23" s="58"/>
      <c r="E23" s="58"/>
      <c r="F23" s="58"/>
      <c r="G23" s="58"/>
      <c r="H23" s="58"/>
      <c r="I23" s="58"/>
      <c r="J23" s="58"/>
    </row>
    <row r="24" spans="1:27" s="52" customFormat="1" ht="15.95" customHeight="1">
      <c r="A24" s="59"/>
      <c r="B24" s="60"/>
      <c r="C24" s="58"/>
      <c r="D24" s="58"/>
      <c r="E24" s="58"/>
      <c r="F24" s="58"/>
      <c r="G24" s="58"/>
      <c r="H24" s="58"/>
      <c r="I24" s="58"/>
      <c r="J24" s="58"/>
    </row>
    <row r="25" spans="1:27" s="52" customFormat="1" ht="15.95" customHeight="1">
      <c r="A25" s="59"/>
      <c r="B25" s="60"/>
      <c r="C25" s="58"/>
      <c r="D25" s="58"/>
      <c r="E25" s="58"/>
      <c r="F25" s="58"/>
      <c r="G25" s="58"/>
      <c r="H25" s="58"/>
      <c r="I25" s="58"/>
      <c r="J25" s="58"/>
    </row>
    <row r="26" spans="1:27" s="52" customFormat="1" ht="15.95" customHeight="1">
      <c r="A26" s="59"/>
      <c r="B26" s="60"/>
      <c r="C26" s="58"/>
      <c r="D26" s="58"/>
      <c r="E26" s="58"/>
      <c r="F26" s="58"/>
      <c r="G26" s="58"/>
      <c r="H26" s="58"/>
      <c r="I26" s="58"/>
      <c r="J26" s="58"/>
    </row>
    <row r="27" spans="1:27" s="52" customFormat="1" ht="15.95" customHeight="1">
      <c r="A27" s="59"/>
      <c r="B27" s="60"/>
      <c r="C27" s="58"/>
      <c r="D27" s="58"/>
      <c r="E27" s="58"/>
      <c r="F27" s="58"/>
      <c r="G27" s="58"/>
      <c r="H27" s="58"/>
      <c r="I27" s="58"/>
      <c r="J27" s="58"/>
    </row>
    <row r="28" spans="1:27" s="52" customFormat="1" ht="15.95" customHeight="1">
      <c r="A28" s="59"/>
      <c r="B28" s="60"/>
      <c r="C28" s="58"/>
      <c r="D28" s="58"/>
      <c r="E28" s="58"/>
      <c r="F28" s="58"/>
      <c r="G28" s="58"/>
      <c r="H28" s="58"/>
      <c r="I28" s="58"/>
      <c r="J28" s="58"/>
    </row>
    <row r="29" spans="1:27" s="52" customFormat="1" ht="15.95" customHeight="1">
      <c r="A29" s="59"/>
      <c r="B29" s="60"/>
      <c r="C29" s="58"/>
      <c r="D29" s="58"/>
      <c r="E29" s="58"/>
      <c r="F29" s="58"/>
      <c r="G29" s="58"/>
      <c r="H29" s="58"/>
      <c r="I29" s="58"/>
      <c r="J29" s="58"/>
      <c r="R29" s="70"/>
      <c r="S29" s="70"/>
      <c r="T29" s="70"/>
      <c r="U29" s="70"/>
      <c r="V29" s="70"/>
      <c r="W29" s="70"/>
      <c r="X29" s="70"/>
      <c r="Y29" s="70"/>
      <c r="Z29" s="70"/>
      <c r="AA29" s="70"/>
    </row>
    <row r="30" spans="1:27" s="52" customFormat="1" ht="15.95" customHeight="1">
      <c r="A30" s="59"/>
      <c r="B30" s="60"/>
      <c r="C30" s="58"/>
      <c r="D30" s="58"/>
      <c r="E30" s="58"/>
      <c r="F30" s="58"/>
      <c r="G30" s="58"/>
      <c r="H30" s="58"/>
      <c r="I30" s="58"/>
      <c r="J30" s="58"/>
    </row>
    <row r="31" spans="1:27" s="52" customFormat="1" ht="15.95" customHeight="1">
      <c r="A31" s="59"/>
      <c r="B31" s="60"/>
      <c r="C31" s="58"/>
      <c r="D31" s="58"/>
      <c r="E31" s="58"/>
      <c r="F31" s="58"/>
      <c r="G31" s="58"/>
      <c r="H31" s="58"/>
      <c r="I31" s="58"/>
      <c r="J31" s="58"/>
    </row>
    <row r="32" spans="1:27" s="52" customFormat="1" ht="15.95" customHeight="1">
      <c r="A32" s="59"/>
      <c r="B32" s="60"/>
      <c r="C32" s="58"/>
      <c r="D32" s="58"/>
      <c r="E32" s="58"/>
      <c r="F32" s="58"/>
      <c r="G32" s="58"/>
      <c r="H32" s="58"/>
      <c r="I32" s="58"/>
      <c r="J32" s="58"/>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0</xdr:colOff>
                <xdr:row>9</xdr:row>
                <xdr:rowOff>57150</xdr:rowOff>
              </from>
              <to>
                <xdr:col>6</xdr:col>
                <xdr:colOff>9525</xdr:colOff>
                <xdr:row>11</xdr:row>
                <xdr:rowOff>180975</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247650</xdr:colOff>
                <xdr:row>4</xdr:row>
                <xdr:rowOff>133350</xdr:rowOff>
              </from>
              <to>
                <xdr:col>9</xdr:col>
                <xdr:colOff>466725</xdr:colOff>
                <xdr:row>5</xdr:row>
                <xdr:rowOff>161925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AI1478"/>
  <sheetViews>
    <sheetView showGridLines="0" zoomScaleNormal="100" workbookViewId="0">
      <pane xSplit="4" ySplit="5" topLeftCell="E6" activePane="bottomRight" state="frozen"/>
      <selection pane="topRight" activeCell="E1" sqref="E1"/>
      <selection pane="bottomLeft" activeCell="A6" sqref="A6"/>
      <selection pane="bottomRight" activeCell="V6" activeCellId="25" sqref="E6:E1478 I6:I1478 K6:Q1478 S6:W1478 X1:X1048576 Y1:Y1048576 Z1:Z1048576 X1:X1048576 Y1:Y1048576 Z1:Z1048576 S1:W1048576 S1:S1048576 T1:T1048576 U1:U1048576 V1:V1048576 W1:W1048576 T1:T1048576 T1:T1048576 S1:S1048576 S1:S1048576 S1:S1048576 U1:U1048576 V1:V1048576 S1:AA1048576 U1:U1048576 V1:V1048576"/>
    </sheetView>
  </sheetViews>
  <sheetFormatPr defaultColWidth="9" defaultRowHeight="17.25" customHeight="1"/>
  <cols>
    <col min="1" max="1" width="5.875" style="45" customWidth="1"/>
    <col min="2" max="2" width="9.625" style="45" customWidth="1"/>
    <col min="3" max="3" width="24.875" style="66" customWidth="1"/>
    <col min="4" max="4" width="38.5" style="68" customWidth="1"/>
    <col min="5" max="5" width="11.375" style="45" hidden="1" customWidth="1"/>
    <col min="6" max="6" width="9.875" style="45" customWidth="1"/>
    <col min="7" max="8" width="9.125" style="45" customWidth="1"/>
    <col min="9" max="9" width="21.75" style="45" hidden="1" customWidth="1"/>
    <col min="10" max="10" width="19" style="45" customWidth="1"/>
    <col min="11" max="11" width="6.25" style="45" hidden="1" customWidth="1"/>
    <col min="12" max="12" width="10.5" style="134" hidden="1" customWidth="1"/>
    <col min="13" max="16" width="13.5" style="125" hidden="1" customWidth="1"/>
    <col min="17" max="17" width="12.5" style="135" hidden="1" customWidth="1"/>
    <col min="18" max="18" width="12.75" style="134" customWidth="1"/>
    <col min="19" max="19" width="17.375" style="45" hidden="1" customWidth="1"/>
    <col min="20" max="20" width="31" style="66" hidden="1" customWidth="1"/>
    <col min="21" max="21" width="13.375" style="45" hidden="1" customWidth="1"/>
    <col min="22" max="22" width="11.5" style="45" hidden="1" customWidth="1"/>
    <col min="23" max="23" width="6.375" style="45" hidden="1" customWidth="1"/>
    <col min="24" max="24" width="24.875" style="45" hidden="1" customWidth="1"/>
    <col min="25" max="26" width="24.875" style="66" hidden="1" customWidth="1"/>
    <col min="27" max="27" width="24.875" style="45" hidden="1" customWidth="1"/>
    <col min="28" max="28" width="24.875" style="66" customWidth="1"/>
    <col min="29" max="29" width="13.875" style="66" customWidth="1"/>
    <col min="30" max="30" width="5.875" style="66" customWidth="1"/>
    <col min="31" max="31" width="7.75" style="66" customWidth="1"/>
    <col min="32" max="32" width="5.75" style="66" customWidth="1"/>
    <col min="33" max="33" width="22.375" style="66" customWidth="1"/>
    <col min="34" max="36" width="9" style="66" customWidth="1"/>
    <col min="37" max="16384" width="9" style="66"/>
  </cols>
  <sheetData>
    <row r="1" spans="1:35" s="64" customFormat="1" ht="18" customHeight="1">
      <c r="A1" s="96" t="s">
        <v>3171</v>
      </c>
      <c r="B1" s="97"/>
      <c r="C1" s="99" t="s">
        <v>2671</v>
      </c>
      <c r="D1" s="100"/>
      <c r="E1" s="127"/>
      <c r="F1" s="127"/>
      <c r="G1" s="127"/>
      <c r="H1" s="127"/>
      <c r="I1" s="127"/>
      <c r="J1" s="127"/>
      <c r="K1" s="127"/>
      <c r="L1" s="132"/>
      <c r="M1" s="101"/>
      <c r="N1" s="101"/>
      <c r="O1" s="101"/>
      <c r="P1" s="101"/>
      <c r="Q1" s="132"/>
      <c r="R1" s="127"/>
      <c r="S1" s="127"/>
      <c r="U1" s="127"/>
      <c r="V1" s="127"/>
      <c r="W1" s="127"/>
      <c r="X1" s="127"/>
      <c r="AA1" s="127"/>
    </row>
    <row r="2" spans="1:35" s="64" customFormat="1" ht="64.5" customHeight="1">
      <c r="A2" s="73"/>
      <c r="B2" s="74"/>
      <c r="C2" s="102"/>
      <c r="D2" s="103"/>
      <c r="E2" s="127"/>
      <c r="F2" s="127"/>
      <c r="G2" s="127"/>
      <c r="H2" s="127"/>
      <c r="I2" s="127"/>
      <c r="J2" s="127"/>
      <c r="K2" s="127"/>
      <c r="L2" s="132"/>
      <c r="M2" s="101"/>
      <c r="N2" s="101"/>
      <c r="O2" s="101"/>
      <c r="P2" s="101"/>
      <c r="Q2" s="132"/>
      <c r="R2" s="127"/>
      <c r="S2" s="127"/>
      <c r="U2" s="127"/>
      <c r="V2" s="127"/>
      <c r="W2" s="127"/>
      <c r="X2" s="127"/>
      <c r="AA2" s="127"/>
    </row>
    <row r="3" spans="1:35" s="64" customFormat="1" ht="69" customHeight="1">
      <c r="A3" s="75"/>
      <c r="B3" s="76"/>
      <c r="C3" s="104"/>
      <c r="D3" s="103"/>
      <c r="E3" s="127"/>
      <c r="F3" s="127"/>
      <c r="G3" s="127"/>
      <c r="H3" s="127"/>
      <c r="I3" s="136" t="s">
        <v>4001</v>
      </c>
      <c r="J3" s="127"/>
      <c r="K3" s="127"/>
      <c r="L3" s="132"/>
      <c r="M3" s="105"/>
      <c r="N3" s="101"/>
      <c r="O3" s="101"/>
      <c r="P3" s="101"/>
      <c r="Q3" s="132"/>
      <c r="R3" s="127"/>
      <c r="S3" s="127"/>
      <c r="U3" s="127"/>
      <c r="V3" s="127"/>
      <c r="W3" s="127"/>
      <c r="X3" s="127"/>
      <c r="AA3" s="127"/>
    </row>
    <row r="4" spans="1:35" s="65" customFormat="1" ht="18" customHeight="1">
      <c r="A4" s="75"/>
      <c r="B4" s="76"/>
      <c r="C4" s="104"/>
      <c r="D4" s="106"/>
      <c r="E4" s="128"/>
      <c r="F4" s="128"/>
      <c r="G4" s="128"/>
      <c r="H4" s="128"/>
      <c r="I4" s="137"/>
      <c r="J4" s="128"/>
      <c r="K4" s="128"/>
      <c r="L4" s="133"/>
      <c r="M4" s="107"/>
      <c r="N4" s="107"/>
      <c r="O4" s="107"/>
      <c r="P4" s="107"/>
      <c r="Q4" s="133"/>
      <c r="R4" s="128"/>
      <c r="S4" s="128"/>
      <c r="U4" s="128"/>
      <c r="V4" s="128"/>
      <c r="W4" s="128"/>
      <c r="X4" s="128"/>
      <c r="AA4" s="128"/>
    </row>
    <row r="5" spans="1:35" s="111" customFormat="1" ht="43.5" customHeight="1">
      <c r="A5" s="144" t="s">
        <v>86</v>
      </c>
      <c r="B5" s="146" t="s">
        <v>963</v>
      </c>
      <c r="C5" s="151" t="s">
        <v>1002</v>
      </c>
      <c r="D5" s="145" t="s">
        <v>0</v>
      </c>
      <c r="E5" s="12" t="s">
        <v>7</v>
      </c>
      <c r="F5" s="126" t="s">
        <v>1003</v>
      </c>
      <c r="G5" s="67" t="s">
        <v>1961</v>
      </c>
      <c r="H5" s="67" t="s">
        <v>1962</v>
      </c>
      <c r="I5" s="151" t="s">
        <v>1913</v>
      </c>
      <c r="J5" s="151" t="s">
        <v>1004</v>
      </c>
      <c r="K5" s="12" t="s">
        <v>966</v>
      </c>
      <c r="L5" s="12" t="s">
        <v>1005</v>
      </c>
      <c r="M5" s="109" t="s">
        <v>964</v>
      </c>
      <c r="N5" s="109" t="s">
        <v>965</v>
      </c>
      <c r="O5" s="109" t="s">
        <v>977</v>
      </c>
      <c r="P5" s="109" t="s">
        <v>978</v>
      </c>
      <c r="Q5" s="12" t="s">
        <v>1006</v>
      </c>
      <c r="R5" s="12" t="s">
        <v>1912</v>
      </c>
      <c r="S5" s="12" t="s">
        <v>967</v>
      </c>
      <c r="T5" s="108" t="s">
        <v>2</v>
      </c>
      <c r="U5" s="12" t="s">
        <v>3</v>
      </c>
      <c r="V5" s="12" t="s">
        <v>1</v>
      </c>
      <c r="W5" s="12" t="s">
        <v>1007</v>
      </c>
      <c r="X5" s="12" t="s">
        <v>2814</v>
      </c>
      <c r="Y5" s="108" t="s">
        <v>2926</v>
      </c>
      <c r="Z5" s="108" t="s">
        <v>3161</v>
      </c>
      <c r="AA5" s="12" t="s">
        <v>3371</v>
      </c>
      <c r="AB5" s="110"/>
      <c r="AC5" s="110"/>
      <c r="AD5" s="110"/>
      <c r="AE5" s="110"/>
      <c r="AF5" s="110"/>
      <c r="AG5" s="110"/>
      <c r="AH5" s="110"/>
      <c r="AI5" s="110"/>
    </row>
    <row r="6" spans="1:35" ht="17.25" customHeight="1">
      <c r="A6" s="69">
        <f>IF(priority(Main[[#This Row],[Comments]])&lt;&gt;0, priority(Main[[#This Row],[Comments]]),"")</f>
        <v>1</v>
      </c>
      <c r="B6" s="63" t="s">
        <v>1169</v>
      </c>
      <c r="C6" s="148" t="s">
        <v>137</v>
      </c>
      <c r="D6" s="113" t="s">
        <v>224</v>
      </c>
      <c r="E6" s="129"/>
      <c r="F6" s="129">
        <v>40770</v>
      </c>
      <c r="G6" s="69" t="str">
        <f>IF(stdProdLT(Main[[#This Row],[Comments]])=0.1,"N/A",IF(stdProdLT(Main[[#This Row],[Comments]])=0,"",stdProdLT(Main[[#This Row],[Comments]])))</f>
        <v/>
      </c>
      <c r="H6" s="138" t="str">
        <f>IF(Main[[#This Row],[In Stock Date]]="N/A", "N/A",IF(AND(Main[[#This Row],[In Stock Date]]&lt;&gt;"",Main[[#This Row],[Revised Due Date]]&lt;&gt;"",Main[[#This Row],[In Stock Date]]&lt;&gt;""),Main[[#This Row],[In Stock Date]]-Main[[#This Row],[Revised Due Date]],""))</f>
        <v/>
      </c>
      <c r="I6" s="139" t="s">
        <v>4</v>
      </c>
      <c r="J6" s="139" t="s">
        <v>28</v>
      </c>
      <c r="K6" s="140" t="s">
        <v>1926</v>
      </c>
      <c r="L6" s="129"/>
      <c r="M6" s="114" t="str">
        <f>IF(Main[[#This Row],[Tech Start Date]]&lt;1/1/1990,"",IF(Main[[#This Row],[Class]]="C",WORKDAY(Main[[#This Row],[Tech Start Date]],9),IF(Main[[#This Row],[Class]]="B", WORKDAY(Main[[#This Row],[Tech Start Date]],6),IF(Main[[#This Row],[Class]]="A",WORKDAY(Main[[#This Row],[Tech Start Date]],2),""))))</f>
        <v/>
      </c>
      <c r="N6" s="114" t="str">
        <f>IF(Main[[#This Row],[Tech Start Date]]&lt;1/1/1990,"",IF(Main[[#This Row],[Class]]="C",WORKDAY(Main[[#This Row],[Tech Start Date]],19),IF(Main[[#This Row],[Class]]="B", WORKDAY(Main[[#This Row],[Tech Start Date]],12),IF(Main[[#This Row],[Class]]="A",WORKDAY(Main[[#This Row],[Tech Start Date]],4),""))))</f>
        <v/>
      </c>
      <c r="O6" s="114" t="str">
        <f>IF(Main[[#This Row],[Tech Start Date]]&lt;1/1/1990,"",IF(Main[[#This Row],[Class]]="C",WORKDAY(Main[[#This Row],[Tech Start Date]],23),IF(Main[[#This Row],[Class]]="B", WORKDAY(Main[[#This Row],[Tech Start Date]],15),IF(Main[[#This Row],[Class]]="A",WORKDAY(Main[[#This Row],[Tech Start Date]],5),""))))</f>
        <v/>
      </c>
      <c r="P6" s="114" t="str">
        <f>IF(Main[[#This Row],[Tech Start Date]]&lt;1/1/1990,"",IF(Main[[#This Row],[Class]]="C",WORKDAY(Main[[#This Row],[Tech Start Date]],28),IF(Main[[#This Row],[Class]]="B", WORKDAY(Main[[#This Row],[Tech Start Date]],19),IF(Main[[#This Row],[Class]]="A",WORKDAY(Main[[#This Row],[Tech Start Date]],9),""))))</f>
        <v/>
      </c>
      <c r="Q6" s="129">
        <v>40585</v>
      </c>
      <c r="R6" s="129"/>
      <c r="S6" s="139" t="s">
        <v>11</v>
      </c>
      <c r="T6" s="115" t="s">
        <v>225</v>
      </c>
      <c r="U6" s="139" t="s">
        <v>14</v>
      </c>
      <c r="V6" s="139" t="s">
        <v>1915</v>
      </c>
      <c r="W6" s="139" t="s">
        <v>1919</v>
      </c>
      <c r="X6" s="139" t="s">
        <v>2839</v>
      </c>
      <c r="Y6" s="112" t="s">
        <v>3008</v>
      </c>
      <c r="Z6" s="112" t="s">
        <v>129</v>
      </c>
      <c r="AA6" s="139" t="s">
        <v>2839</v>
      </c>
    </row>
    <row r="7" spans="1:35" ht="17.25" customHeight="1">
      <c r="A7" s="69">
        <f>IF(priority(Main[[#This Row],[Comments]])&lt;&gt;0, priority(Main[[#This Row],[Comments]]),"")</f>
        <v>1</v>
      </c>
      <c r="B7" s="63" t="s">
        <v>3215</v>
      </c>
      <c r="C7" s="148" t="s">
        <v>72</v>
      </c>
      <c r="D7" s="113" t="s">
        <v>240</v>
      </c>
      <c r="E7" s="129">
        <v>40461.111585648148</v>
      </c>
      <c r="F7" s="129"/>
      <c r="G7" s="69" t="str">
        <f>IF(stdProdLT(Main[[#This Row],[Comments]])=0.1,"N/A",IF(stdProdLT(Main[[#This Row],[Comments]])=0,"",stdProdLT(Main[[#This Row],[Comments]])))</f>
        <v/>
      </c>
      <c r="H7" s="138" t="str">
        <f>IF(Main[[#This Row],[In Stock Date]]="N/A", "N/A",IF(AND(Main[[#This Row],[In Stock Date]]&lt;&gt;"",Main[[#This Row],[Revised Due Date]]&lt;&gt;"",Main[[#This Row],[In Stock Date]]&lt;&gt;""),Main[[#This Row],[In Stock Date]]-Main[[#This Row],[Revised Due Date]],""))</f>
        <v/>
      </c>
      <c r="I7" s="139" t="s">
        <v>74</v>
      </c>
      <c r="J7" s="139" t="s">
        <v>4</v>
      </c>
      <c r="K7" s="139" t="s">
        <v>1926</v>
      </c>
      <c r="L7" s="129"/>
      <c r="M7" s="114" t="str">
        <f>IF(Main[[#This Row],[Tech Start Date]]&lt;1/1/1990,"",IF(Main[[#This Row],[Class]]="C",WORKDAY(Main[[#This Row],[Tech Start Date]],9),IF(Main[[#This Row],[Class]]="B", WORKDAY(Main[[#This Row],[Tech Start Date]],6),IF(Main[[#This Row],[Class]]="A",WORKDAY(Main[[#This Row],[Tech Start Date]],2),""))))</f>
        <v/>
      </c>
      <c r="N7" s="114" t="str">
        <f>IF(Main[[#This Row],[Tech Start Date]]&lt;1/1/1990,"",IF(Main[[#This Row],[Class]]="C",WORKDAY(Main[[#This Row],[Tech Start Date]],19),IF(Main[[#This Row],[Class]]="B", WORKDAY(Main[[#This Row],[Tech Start Date]],12),IF(Main[[#This Row],[Class]]="A",WORKDAY(Main[[#This Row],[Tech Start Date]],4),""))))</f>
        <v/>
      </c>
      <c r="O7" s="114" t="str">
        <f>IF(Main[[#This Row],[Tech Start Date]]&lt;1/1/1990,"",IF(Main[[#This Row],[Class]]="C",WORKDAY(Main[[#This Row],[Tech Start Date]],23),IF(Main[[#This Row],[Class]]="B", WORKDAY(Main[[#This Row],[Tech Start Date]],15),IF(Main[[#This Row],[Class]]="A",WORKDAY(Main[[#This Row],[Tech Start Date]],5),""))))</f>
        <v/>
      </c>
      <c r="P7" s="114" t="str">
        <f>IF(Main[[#This Row],[Tech Start Date]]&lt;1/1/1990,"",IF(Main[[#This Row],[Class]]="C",WORKDAY(Main[[#This Row],[Tech Start Date]],28),IF(Main[[#This Row],[Class]]="B", WORKDAY(Main[[#This Row],[Tech Start Date]],19),IF(Main[[#This Row],[Class]]="A",WORKDAY(Main[[#This Row],[Tech Start Date]],9),""))))</f>
        <v/>
      </c>
      <c r="Q7" s="129"/>
      <c r="R7" s="129">
        <v>40836</v>
      </c>
      <c r="S7" s="139" t="s">
        <v>17</v>
      </c>
      <c r="T7" s="115" t="s">
        <v>241</v>
      </c>
      <c r="U7" s="139" t="s">
        <v>29</v>
      </c>
      <c r="V7" s="139" t="s">
        <v>1917</v>
      </c>
      <c r="W7" s="139" t="s">
        <v>1922</v>
      </c>
      <c r="X7" s="139" t="s">
        <v>2847</v>
      </c>
      <c r="Y7" s="112" t="s">
        <v>2978</v>
      </c>
      <c r="Z7" s="112" t="s">
        <v>415</v>
      </c>
      <c r="AA7" s="139" t="s">
        <v>2847</v>
      </c>
    </row>
    <row r="8" spans="1:35" ht="17.25" customHeight="1">
      <c r="A8" s="69">
        <f>IF(priority(Main[[#This Row],[Comments]])&lt;&gt;0, priority(Main[[#This Row],[Comments]]),"")</f>
        <v>1</v>
      </c>
      <c r="B8" s="63" t="s">
        <v>1045</v>
      </c>
      <c r="C8" s="148" t="s">
        <v>72</v>
      </c>
      <c r="D8" s="113" t="s">
        <v>73</v>
      </c>
      <c r="E8" s="129">
        <v>40461.12232638889</v>
      </c>
      <c r="F8" s="129"/>
      <c r="G8" s="69" t="str">
        <f>IF(stdProdLT(Main[[#This Row],[Comments]])=0.1,"N/A",IF(stdProdLT(Main[[#This Row],[Comments]])=0,"",stdProdLT(Main[[#This Row],[Comments]])))</f>
        <v/>
      </c>
      <c r="H8" s="138" t="str">
        <f>IF(Main[[#This Row],[In Stock Date]]="N/A", "N/A",IF(AND(Main[[#This Row],[In Stock Date]]&lt;&gt;"",Main[[#This Row],[Revised Due Date]]&lt;&gt;"",Main[[#This Row],[In Stock Date]]&lt;&gt;""),Main[[#This Row],[In Stock Date]]-Main[[#This Row],[Revised Due Date]],""))</f>
        <v/>
      </c>
      <c r="I8" s="139" t="s">
        <v>74</v>
      </c>
      <c r="J8" s="139" t="s">
        <v>75</v>
      </c>
      <c r="K8" s="139" t="s">
        <v>1926</v>
      </c>
      <c r="L8" s="129"/>
      <c r="M8" s="114" t="str">
        <f>IF(Main[[#This Row],[Tech Start Date]]&lt;1/1/1990,"",IF(Main[[#This Row],[Class]]="C",WORKDAY(Main[[#This Row],[Tech Start Date]],9),IF(Main[[#This Row],[Class]]="B", WORKDAY(Main[[#This Row],[Tech Start Date]],6),IF(Main[[#This Row],[Class]]="A",WORKDAY(Main[[#This Row],[Tech Start Date]],2),""))))</f>
        <v/>
      </c>
      <c r="N8" s="114" t="str">
        <f>IF(Main[[#This Row],[Tech Start Date]]&lt;1/1/1990,"",IF(Main[[#This Row],[Class]]="C",WORKDAY(Main[[#This Row],[Tech Start Date]],19),IF(Main[[#This Row],[Class]]="B", WORKDAY(Main[[#This Row],[Tech Start Date]],12),IF(Main[[#This Row],[Class]]="A",WORKDAY(Main[[#This Row],[Tech Start Date]],4),""))))</f>
        <v/>
      </c>
      <c r="O8" s="114" t="str">
        <f>IF(Main[[#This Row],[Tech Start Date]]&lt;1/1/1990,"",IF(Main[[#This Row],[Class]]="C",WORKDAY(Main[[#This Row],[Tech Start Date]],23),IF(Main[[#This Row],[Class]]="B", WORKDAY(Main[[#This Row],[Tech Start Date]],15),IF(Main[[#This Row],[Class]]="A",WORKDAY(Main[[#This Row],[Tech Start Date]],5),""))))</f>
        <v/>
      </c>
      <c r="P8" s="114" t="str">
        <f>IF(Main[[#This Row],[Tech Start Date]]&lt;1/1/1990,"",IF(Main[[#This Row],[Class]]="C",WORKDAY(Main[[#This Row],[Tech Start Date]],28),IF(Main[[#This Row],[Class]]="B", WORKDAY(Main[[#This Row],[Tech Start Date]],19),IF(Main[[#This Row],[Class]]="A",WORKDAY(Main[[#This Row],[Tech Start Date]],9),""))))</f>
        <v/>
      </c>
      <c r="Q8" s="129"/>
      <c r="R8" s="129">
        <v>40849</v>
      </c>
      <c r="S8" s="139" t="s">
        <v>17</v>
      </c>
      <c r="T8" s="115" t="s">
        <v>76</v>
      </c>
      <c r="U8" s="139" t="s">
        <v>29</v>
      </c>
      <c r="V8" s="139" t="s">
        <v>1917</v>
      </c>
      <c r="W8" s="139" t="s">
        <v>1922</v>
      </c>
      <c r="X8" s="139" t="s">
        <v>2847</v>
      </c>
      <c r="Y8" s="112" t="s">
        <v>2978</v>
      </c>
      <c r="Z8" s="112" t="s">
        <v>415</v>
      </c>
      <c r="AA8" s="139" t="s">
        <v>2847</v>
      </c>
    </row>
    <row r="9" spans="1:35" ht="17.25" customHeight="1">
      <c r="A9" s="69">
        <f>IF(priority(Main[[#This Row],[Comments]])&lt;&gt;0, priority(Main[[#This Row],[Comments]]),"")</f>
        <v>1</v>
      </c>
      <c r="B9" s="63" t="s">
        <v>2679</v>
      </c>
      <c r="C9" s="148" t="s">
        <v>19</v>
      </c>
      <c r="D9" s="113" t="s">
        <v>2603</v>
      </c>
      <c r="E9" s="129">
        <v>40487.36078703704</v>
      </c>
      <c r="F9" s="129"/>
      <c r="G9" s="69" t="str">
        <f>IF(stdProdLT(Main[[#This Row],[Comments]])=0.1,"N/A",IF(stdProdLT(Main[[#This Row],[Comments]])=0,"",stdProdLT(Main[[#This Row],[Comments]])))</f>
        <v/>
      </c>
      <c r="H9" s="138" t="str">
        <f>IF(Main[[#This Row],[In Stock Date]]="N/A", "N/A",IF(AND(Main[[#This Row],[In Stock Date]]&lt;&gt;"",Main[[#This Row],[Revised Due Date]]&lt;&gt;"",Main[[#This Row],[In Stock Date]]&lt;&gt;""),Main[[#This Row],[In Stock Date]]-Main[[#This Row],[Revised Due Date]],""))</f>
        <v/>
      </c>
      <c r="I9" s="139" t="s">
        <v>2018</v>
      </c>
      <c r="J9" s="139" t="s">
        <v>28</v>
      </c>
      <c r="K9" s="139" t="s">
        <v>1926</v>
      </c>
      <c r="L9" s="129"/>
      <c r="M9" s="114" t="str">
        <f>IF(Main[[#This Row],[Tech Start Date]]&lt;1/1/1990,"",IF(Main[[#This Row],[Class]]="C",WORKDAY(Main[[#This Row],[Tech Start Date]],9),IF(Main[[#This Row],[Class]]="B", WORKDAY(Main[[#This Row],[Tech Start Date]],6),IF(Main[[#This Row],[Class]]="A",WORKDAY(Main[[#This Row],[Tech Start Date]],2),""))))</f>
        <v/>
      </c>
      <c r="N9" s="114" t="str">
        <f>IF(Main[[#This Row],[Tech Start Date]]&lt;1/1/1990,"",IF(Main[[#This Row],[Class]]="C",WORKDAY(Main[[#This Row],[Tech Start Date]],19),IF(Main[[#This Row],[Class]]="B", WORKDAY(Main[[#This Row],[Tech Start Date]],12),IF(Main[[#This Row],[Class]]="A",WORKDAY(Main[[#This Row],[Tech Start Date]],4),""))))</f>
        <v/>
      </c>
      <c r="O9" s="114" t="str">
        <f>IF(Main[[#This Row],[Tech Start Date]]&lt;1/1/1990,"",IF(Main[[#This Row],[Class]]="C",WORKDAY(Main[[#This Row],[Tech Start Date]],23),IF(Main[[#This Row],[Class]]="B", WORKDAY(Main[[#This Row],[Tech Start Date]],15),IF(Main[[#This Row],[Class]]="A",WORKDAY(Main[[#This Row],[Tech Start Date]],5),""))))</f>
        <v/>
      </c>
      <c r="P9" s="114" t="str">
        <f>IF(Main[[#This Row],[Tech Start Date]]&lt;1/1/1990,"",IF(Main[[#This Row],[Class]]="C",WORKDAY(Main[[#This Row],[Tech Start Date]],28),IF(Main[[#This Row],[Class]]="B", WORKDAY(Main[[#This Row],[Tech Start Date]],19),IF(Main[[#This Row],[Class]]="A",WORKDAY(Main[[#This Row],[Tech Start Date]],9),""))))</f>
        <v/>
      </c>
      <c r="Q9" s="129">
        <v>40862</v>
      </c>
      <c r="R9" s="129">
        <v>40862</v>
      </c>
      <c r="S9" s="139" t="s">
        <v>17</v>
      </c>
      <c r="T9" s="115" t="s">
        <v>3640</v>
      </c>
      <c r="U9" s="139" t="s">
        <v>29</v>
      </c>
      <c r="V9" s="139" t="s">
        <v>1929</v>
      </c>
      <c r="W9" s="139" t="s">
        <v>1922</v>
      </c>
      <c r="X9" s="139" t="s">
        <v>129</v>
      </c>
      <c r="Y9" s="112" t="s">
        <v>2933</v>
      </c>
      <c r="Z9" s="112" t="s">
        <v>2211</v>
      </c>
      <c r="AA9" s="139" t="s">
        <v>129</v>
      </c>
    </row>
    <row r="10" spans="1:35" ht="17.25" customHeight="1">
      <c r="A10" s="69">
        <f>IF(priority(Main[[#This Row],[Comments]])&lt;&gt;0, priority(Main[[#This Row],[Comments]]),"")</f>
        <v>1</v>
      </c>
      <c r="B10" s="63" t="s">
        <v>1881</v>
      </c>
      <c r="C10" s="148" t="s">
        <v>931</v>
      </c>
      <c r="D10" s="113" t="s">
        <v>932</v>
      </c>
      <c r="E10" s="129"/>
      <c r="F10" s="129">
        <v>40787</v>
      </c>
      <c r="G10" s="69" t="str">
        <f>IF(stdProdLT(Main[[#This Row],[Comments]])=0.1,"N/A",IF(stdProdLT(Main[[#This Row],[Comments]])=0,"",stdProdLT(Main[[#This Row],[Comments]])))</f>
        <v/>
      </c>
      <c r="H10" s="138">
        <f>IF(Main[[#This Row],[In Stock Date]]="N/A", "N/A",IF(AND(Main[[#This Row],[In Stock Date]]&lt;&gt;"",Main[[#This Row],[Revised Due Date]]&lt;&gt;"",Main[[#This Row],[In Stock Date]]&lt;&gt;""),Main[[#This Row],[In Stock Date]]-Main[[#This Row],[Revised Due Date]],""))</f>
        <v>91</v>
      </c>
      <c r="I10" s="139" t="s">
        <v>489</v>
      </c>
      <c r="J10" s="139" t="s">
        <v>70</v>
      </c>
      <c r="K10" s="140" t="s">
        <v>1923</v>
      </c>
      <c r="L10" s="129">
        <v>40658</v>
      </c>
      <c r="M10" s="114">
        <f>IF(Main[[#This Row],[Tech Start Date]]&lt;1/1/1990,"",IF(Main[[#This Row],[Class]]="C",WORKDAY(Main[[#This Row],[Tech Start Date]],9),IF(Main[[#This Row],[Class]]="B", WORKDAY(Main[[#This Row],[Tech Start Date]],6),IF(Main[[#This Row],[Class]]="A",WORKDAY(Main[[#This Row],[Tech Start Date]],2),""))))</f>
        <v>40660</v>
      </c>
      <c r="N10" s="114">
        <f>IF(Main[[#This Row],[Tech Start Date]]&lt;1/1/1990,"",IF(Main[[#This Row],[Class]]="C",WORKDAY(Main[[#This Row],[Tech Start Date]],19),IF(Main[[#This Row],[Class]]="B", WORKDAY(Main[[#This Row],[Tech Start Date]],12),IF(Main[[#This Row],[Class]]="A",WORKDAY(Main[[#This Row],[Tech Start Date]],4),""))))</f>
        <v>40662</v>
      </c>
      <c r="O10" s="114">
        <f>IF(Main[[#This Row],[Tech Start Date]]&lt;1/1/1990,"",IF(Main[[#This Row],[Class]]="C",WORKDAY(Main[[#This Row],[Tech Start Date]],23),IF(Main[[#This Row],[Class]]="B", WORKDAY(Main[[#This Row],[Tech Start Date]],15),IF(Main[[#This Row],[Class]]="A",WORKDAY(Main[[#This Row],[Tech Start Date]],5),""))))</f>
        <v>40665</v>
      </c>
      <c r="P10" s="114">
        <f>IF(Main[[#This Row],[Tech Start Date]]&lt;1/1/1990,"",IF(Main[[#This Row],[Class]]="C",WORKDAY(Main[[#This Row],[Tech Start Date]],28),IF(Main[[#This Row],[Class]]="B", WORKDAY(Main[[#This Row],[Tech Start Date]],19),IF(Main[[#This Row],[Class]]="A",WORKDAY(Main[[#This Row],[Tech Start Date]],9),""))))</f>
        <v>40669</v>
      </c>
      <c r="Q10" s="129">
        <v>40696</v>
      </c>
      <c r="R10" s="129">
        <v>40696</v>
      </c>
      <c r="S10" s="139" t="s">
        <v>11</v>
      </c>
      <c r="T10" s="115" t="s">
        <v>933</v>
      </c>
      <c r="U10" s="139" t="s">
        <v>14</v>
      </c>
      <c r="V10" s="139" t="s">
        <v>1917</v>
      </c>
      <c r="W10" s="139" t="s">
        <v>1920</v>
      </c>
      <c r="X10" s="139" t="s">
        <v>2872</v>
      </c>
      <c r="Y10" s="112" t="s">
        <v>2996</v>
      </c>
      <c r="Z10" s="112" t="s">
        <v>2051</v>
      </c>
      <c r="AA10" s="139" t="s">
        <v>2872</v>
      </c>
    </row>
    <row r="11" spans="1:35" ht="17.25" customHeight="1">
      <c r="A11" s="69">
        <f>IF(priority(Main[[#This Row],[Comments]])&lt;&gt;0, priority(Main[[#This Row],[Comments]]),"")</f>
        <v>1</v>
      </c>
      <c r="B11" s="63" t="s">
        <v>2619</v>
      </c>
      <c r="C11" s="148" t="s">
        <v>2620</v>
      </c>
      <c r="D11" s="113" t="s">
        <v>2799</v>
      </c>
      <c r="E11" s="129"/>
      <c r="F11" s="129">
        <v>40855</v>
      </c>
      <c r="G11" s="69" t="str">
        <f>IF(stdProdLT(Main[[#This Row],[Comments]])=0.1,"N/A",IF(stdProdLT(Main[[#This Row],[Comments]])=0,"",stdProdLT(Main[[#This Row],[Comments]])))</f>
        <v>N/A</v>
      </c>
      <c r="H11" s="138">
        <f>IF(Main[[#This Row],[In Stock Date]]="N/A", "N/A",IF(AND(Main[[#This Row],[In Stock Date]]&lt;&gt;"",Main[[#This Row],[Revised Due Date]]&lt;&gt;"",Main[[#This Row],[In Stock Date]]&lt;&gt;""),Main[[#This Row],[In Stock Date]]-Main[[#This Row],[Revised Due Date]],""))</f>
        <v>-84</v>
      </c>
      <c r="I11" s="139" t="s">
        <v>937</v>
      </c>
      <c r="J11" s="139" t="s">
        <v>28</v>
      </c>
      <c r="K11" s="139" t="s">
        <v>1923</v>
      </c>
      <c r="L11" s="129">
        <v>40834</v>
      </c>
      <c r="M11" s="114">
        <f>IF(Main[[#This Row],[Tech Start Date]]&lt;1/1/1990,"",IF(Main[[#This Row],[Class]]="C",WORKDAY(Main[[#This Row],[Tech Start Date]],9),IF(Main[[#This Row],[Class]]="B", WORKDAY(Main[[#This Row],[Tech Start Date]],6),IF(Main[[#This Row],[Class]]="A",WORKDAY(Main[[#This Row],[Tech Start Date]],2),""))))</f>
        <v>40836</v>
      </c>
      <c r="N11" s="114">
        <f>IF(Main[[#This Row],[Tech Start Date]]&lt;1/1/1990,"",IF(Main[[#This Row],[Class]]="C",WORKDAY(Main[[#This Row],[Tech Start Date]],19),IF(Main[[#This Row],[Class]]="B", WORKDAY(Main[[#This Row],[Tech Start Date]],12),IF(Main[[#This Row],[Class]]="A",WORKDAY(Main[[#This Row],[Tech Start Date]],4),""))))</f>
        <v>40840</v>
      </c>
      <c r="O11" s="114">
        <f>IF(Main[[#This Row],[Tech Start Date]]&lt;1/1/1990,"",IF(Main[[#This Row],[Class]]="C",WORKDAY(Main[[#This Row],[Tech Start Date]],23),IF(Main[[#This Row],[Class]]="B", WORKDAY(Main[[#This Row],[Tech Start Date]],15),IF(Main[[#This Row],[Class]]="A",WORKDAY(Main[[#This Row],[Tech Start Date]],5),""))))</f>
        <v>40841</v>
      </c>
      <c r="P11" s="114">
        <f>IF(Main[[#This Row],[Tech Start Date]]&lt;1/1/1990,"",IF(Main[[#This Row],[Class]]="C",WORKDAY(Main[[#This Row],[Tech Start Date]],28),IF(Main[[#This Row],[Class]]="B", WORKDAY(Main[[#This Row],[Tech Start Date]],19),IF(Main[[#This Row],[Class]]="A",WORKDAY(Main[[#This Row],[Tech Start Date]],9),""))))</f>
        <v>40847</v>
      </c>
      <c r="Q11" s="129">
        <v>40855</v>
      </c>
      <c r="R11" s="129">
        <v>40939</v>
      </c>
      <c r="S11" s="139" t="s">
        <v>11</v>
      </c>
      <c r="T11" s="115" t="s">
        <v>2800</v>
      </c>
      <c r="U11" s="139" t="s">
        <v>14</v>
      </c>
      <c r="V11" s="139" t="s">
        <v>1914</v>
      </c>
      <c r="W11" s="139" t="s">
        <v>1916</v>
      </c>
      <c r="X11" s="139" t="s">
        <v>2831</v>
      </c>
      <c r="Y11" s="112" t="s">
        <v>2954</v>
      </c>
      <c r="Z11" s="112" t="s">
        <v>129</v>
      </c>
      <c r="AA11" s="139" t="s">
        <v>2831</v>
      </c>
    </row>
    <row r="12" spans="1:35" ht="17.25" customHeight="1">
      <c r="A12" s="69">
        <f>IF(priority(Main[[#This Row],[Comments]])&lt;&gt;0, priority(Main[[#This Row],[Comments]]),"")</f>
        <v>1</v>
      </c>
      <c r="B12" s="63" t="s">
        <v>2628</v>
      </c>
      <c r="C12" s="148" t="s">
        <v>2629</v>
      </c>
      <c r="D12" s="113" t="s">
        <v>3799</v>
      </c>
      <c r="E12" s="129">
        <v>40835.462650462963</v>
      </c>
      <c r="F12" s="129">
        <v>40928</v>
      </c>
      <c r="G12" s="69" t="str">
        <f>IF(stdProdLT(Main[[#This Row],[Comments]])=0.1,"N/A",IF(stdProdLT(Main[[#This Row],[Comments]])=0,"",stdProdLT(Main[[#This Row],[Comments]])))</f>
        <v>N/A</v>
      </c>
      <c r="H12" s="138">
        <f>IF(Main[[#This Row],[In Stock Date]]="N/A", "N/A",IF(AND(Main[[#This Row],[In Stock Date]]&lt;&gt;"",Main[[#This Row],[Revised Due Date]]&lt;&gt;"",Main[[#This Row],[In Stock Date]]&lt;&gt;""),Main[[#This Row],[In Stock Date]]-Main[[#This Row],[Revised Due Date]],""))</f>
        <v>-40</v>
      </c>
      <c r="I12" s="139" t="s">
        <v>306</v>
      </c>
      <c r="J12" s="139" t="s">
        <v>75</v>
      </c>
      <c r="K12" s="140" t="s">
        <v>1927</v>
      </c>
      <c r="L12" s="129">
        <v>40848</v>
      </c>
      <c r="M12" s="114">
        <f>IF(Main[[#This Row],[Tech Start Date]]&lt;1/1/1990,"",IF(Main[[#This Row],[Class]]="C",WORKDAY(Main[[#This Row],[Tech Start Date]],9),IF(Main[[#This Row],[Class]]="B", WORKDAY(Main[[#This Row],[Tech Start Date]],6),IF(Main[[#This Row],[Class]]="A",WORKDAY(Main[[#This Row],[Tech Start Date]],2),""))))</f>
        <v>40861</v>
      </c>
      <c r="N12" s="114">
        <f>IF(Main[[#This Row],[Tech Start Date]]&lt;1/1/1990,"",IF(Main[[#This Row],[Class]]="C",WORKDAY(Main[[#This Row],[Tech Start Date]],19),IF(Main[[#This Row],[Class]]="B", WORKDAY(Main[[#This Row],[Tech Start Date]],12),IF(Main[[#This Row],[Class]]="A",WORKDAY(Main[[#This Row],[Tech Start Date]],4),""))))</f>
        <v>40875</v>
      </c>
      <c r="O12" s="114">
        <f>IF(Main[[#This Row],[Tech Start Date]]&lt;1/1/1990,"",IF(Main[[#This Row],[Class]]="C",WORKDAY(Main[[#This Row],[Tech Start Date]],23),IF(Main[[#This Row],[Class]]="B", WORKDAY(Main[[#This Row],[Tech Start Date]],15),IF(Main[[#This Row],[Class]]="A",WORKDAY(Main[[#This Row],[Tech Start Date]],5),""))))</f>
        <v>40879</v>
      </c>
      <c r="P12" s="114">
        <f>IF(Main[[#This Row],[Tech Start Date]]&lt;1/1/1990,"",IF(Main[[#This Row],[Class]]="C",WORKDAY(Main[[#This Row],[Tech Start Date]],28),IF(Main[[#This Row],[Class]]="B", WORKDAY(Main[[#This Row],[Tech Start Date]],19),IF(Main[[#This Row],[Class]]="A",WORKDAY(Main[[#This Row],[Tech Start Date]],9),""))))</f>
        <v>40886</v>
      </c>
      <c r="Q12" s="129">
        <v>40857</v>
      </c>
      <c r="R12" s="129">
        <v>40968</v>
      </c>
      <c r="S12" s="139" t="s">
        <v>11</v>
      </c>
      <c r="T12" s="115" t="s">
        <v>3800</v>
      </c>
      <c r="U12" s="139" t="s">
        <v>29</v>
      </c>
      <c r="V12" s="139" t="s">
        <v>1915</v>
      </c>
      <c r="W12" s="139" t="s">
        <v>1916</v>
      </c>
      <c r="X12" s="139" t="s">
        <v>2872</v>
      </c>
      <c r="Y12" s="112" t="s">
        <v>2996</v>
      </c>
      <c r="Z12" s="112" t="s">
        <v>2053</v>
      </c>
      <c r="AA12" s="139" t="s">
        <v>2872</v>
      </c>
    </row>
    <row r="13" spans="1:35" ht="17.25" customHeight="1">
      <c r="A13" s="69">
        <f>IF(priority(Main[[#This Row],[Comments]])&lt;&gt;0, priority(Main[[#This Row],[Comments]]),"")</f>
        <v>1.01</v>
      </c>
      <c r="B13" s="63" t="s">
        <v>1880</v>
      </c>
      <c r="C13" s="148" t="s">
        <v>113</v>
      </c>
      <c r="D13" s="113" t="s">
        <v>3784</v>
      </c>
      <c r="E13" s="129">
        <v>40633.588854166665</v>
      </c>
      <c r="F13" s="129">
        <v>40674</v>
      </c>
      <c r="G13" s="69" t="str">
        <f>IF(stdProdLT(Main[[#This Row],[Comments]])=0.1,"N/A",IF(stdProdLT(Main[[#This Row],[Comments]])=0,"",stdProdLT(Main[[#This Row],[Comments]])))</f>
        <v/>
      </c>
      <c r="H13" s="138">
        <f>IF(Main[[#This Row],[In Stock Date]]="N/A", "N/A",IF(AND(Main[[#This Row],[In Stock Date]]&lt;&gt;"",Main[[#This Row],[Revised Due Date]]&lt;&gt;"",Main[[#This Row],[In Stock Date]]&lt;&gt;""),Main[[#This Row],[In Stock Date]]-Main[[#This Row],[Revised Due Date]],""))</f>
        <v>-355</v>
      </c>
      <c r="I13" s="139" t="s">
        <v>937</v>
      </c>
      <c r="J13" s="139" t="s">
        <v>28</v>
      </c>
      <c r="K13" s="140" t="s">
        <v>1926</v>
      </c>
      <c r="L13" s="129">
        <v>40666</v>
      </c>
      <c r="M13" s="114" t="str">
        <f>IF(Main[[#This Row],[Tech Start Date]]&lt;1/1/1990,"",IF(Main[[#This Row],[Class]]="C",WORKDAY(Main[[#This Row],[Tech Start Date]],9),IF(Main[[#This Row],[Class]]="B", WORKDAY(Main[[#This Row],[Tech Start Date]],6),IF(Main[[#This Row],[Class]]="A",WORKDAY(Main[[#This Row],[Tech Start Date]],2),""))))</f>
        <v/>
      </c>
      <c r="N13" s="114" t="str">
        <f>IF(Main[[#This Row],[Tech Start Date]]&lt;1/1/1990,"",IF(Main[[#This Row],[Class]]="C",WORKDAY(Main[[#This Row],[Tech Start Date]],19),IF(Main[[#This Row],[Class]]="B", WORKDAY(Main[[#This Row],[Tech Start Date]],12),IF(Main[[#This Row],[Class]]="A",WORKDAY(Main[[#This Row],[Tech Start Date]],4),""))))</f>
        <v/>
      </c>
      <c r="O13" s="114" t="str">
        <f>IF(Main[[#This Row],[Tech Start Date]]&lt;1/1/1990,"",IF(Main[[#This Row],[Class]]="C",WORKDAY(Main[[#This Row],[Tech Start Date]],23),IF(Main[[#This Row],[Class]]="B", WORKDAY(Main[[#This Row],[Tech Start Date]],15),IF(Main[[#This Row],[Class]]="A",WORKDAY(Main[[#This Row],[Tech Start Date]],5),""))))</f>
        <v/>
      </c>
      <c r="P13" s="114" t="str">
        <f>IF(Main[[#This Row],[Tech Start Date]]&lt;1/1/1990,"",IF(Main[[#This Row],[Class]]="C",WORKDAY(Main[[#This Row],[Tech Start Date]],28),IF(Main[[#This Row],[Class]]="B", WORKDAY(Main[[#This Row],[Tech Start Date]],19),IF(Main[[#This Row],[Class]]="A",WORKDAY(Main[[#This Row],[Tech Start Date]],9),""))))</f>
        <v/>
      </c>
      <c r="Q13" s="129">
        <v>40939</v>
      </c>
      <c r="R13" s="129">
        <v>41029</v>
      </c>
      <c r="S13" s="139" t="s">
        <v>17</v>
      </c>
      <c r="T13" s="115" t="s">
        <v>2609</v>
      </c>
      <c r="U13" s="139" t="s">
        <v>29</v>
      </c>
      <c r="V13" s="139" t="s">
        <v>1914</v>
      </c>
      <c r="W13" s="139" t="s">
        <v>1925</v>
      </c>
      <c r="X13" s="139" t="s">
        <v>2833</v>
      </c>
      <c r="Y13" s="112" t="s">
        <v>2939</v>
      </c>
      <c r="Z13" s="112" t="s">
        <v>129</v>
      </c>
      <c r="AA13" s="139" t="s">
        <v>2833</v>
      </c>
    </row>
    <row r="14" spans="1:35" ht="17.25" customHeight="1">
      <c r="A14" s="69">
        <f>IF(priority(Main[[#This Row],[Comments]])&lt;&gt;0, priority(Main[[#This Row],[Comments]]),"")</f>
        <v>2</v>
      </c>
      <c r="B14" s="63" t="s">
        <v>1155</v>
      </c>
      <c r="C14" s="148" t="s">
        <v>19</v>
      </c>
      <c r="D14" s="113" t="s">
        <v>2427</v>
      </c>
      <c r="E14" s="129">
        <v>40487.363657407404</v>
      </c>
      <c r="F14" s="129"/>
      <c r="G14" s="69" t="str">
        <f>IF(stdProdLT(Main[[#This Row],[Comments]])=0.1,"N/A",IF(stdProdLT(Main[[#This Row],[Comments]])=0,"",stdProdLT(Main[[#This Row],[Comments]])))</f>
        <v/>
      </c>
      <c r="H14" s="138" t="str">
        <f>IF(Main[[#This Row],[In Stock Date]]="N/A", "N/A",IF(AND(Main[[#This Row],[In Stock Date]]&lt;&gt;"",Main[[#This Row],[Revised Due Date]]&lt;&gt;"",Main[[#This Row],[In Stock Date]]&lt;&gt;""),Main[[#This Row],[In Stock Date]]-Main[[#This Row],[Revised Due Date]],""))</f>
        <v/>
      </c>
      <c r="I14" s="139" t="s">
        <v>2018</v>
      </c>
      <c r="J14" s="139" t="s">
        <v>28</v>
      </c>
      <c r="K14" s="139" t="s">
        <v>4</v>
      </c>
      <c r="L14" s="129"/>
      <c r="M14" s="114" t="str">
        <f>IF(Main[[#This Row],[Tech Start Date]]&lt;1/1/1990,"",IF(Main[[#This Row],[Class]]="C",WORKDAY(Main[[#This Row],[Tech Start Date]],9),IF(Main[[#This Row],[Class]]="B", WORKDAY(Main[[#This Row],[Tech Start Date]],6),IF(Main[[#This Row],[Class]]="A",WORKDAY(Main[[#This Row],[Tech Start Date]],2),""))))</f>
        <v/>
      </c>
      <c r="N14" s="114" t="str">
        <f>IF(Main[[#This Row],[Tech Start Date]]&lt;1/1/1990,"",IF(Main[[#This Row],[Class]]="C",WORKDAY(Main[[#This Row],[Tech Start Date]],19),IF(Main[[#This Row],[Class]]="B", WORKDAY(Main[[#This Row],[Tech Start Date]],12),IF(Main[[#This Row],[Class]]="A",WORKDAY(Main[[#This Row],[Tech Start Date]],4),""))))</f>
        <v/>
      </c>
      <c r="O14" s="114" t="str">
        <f>IF(Main[[#This Row],[Tech Start Date]]&lt;1/1/1990,"",IF(Main[[#This Row],[Class]]="C",WORKDAY(Main[[#This Row],[Tech Start Date]],23),IF(Main[[#This Row],[Class]]="B", WORKDAY(Main[[#This Row],[Tech Start Date]],15),IF(Main[[#This Row],[Class]]="A",WORKDAY(Main[[#This Row],[Tech Start Date]],5),""))))</f>
        <v/>
      </c>
      <c r="P14" s="114" t="str">
        <f>IF(Main[[#This Row],[Tech Start Date]]&lt;1/1/1990,"",IF(Main[[#This Row],[Class]]="C",WORKDAY(Main[[#This Row],[Tech Start Date]],28),IF(Main[[#This Row],[Class]]="B", WORKDAY(Main[[#This Row],[Tech Start Date]],19),IF(Main[[#This Row],[Class]]="A",WORKDAY(Main[[#This Row],[Tech Start Date]],9),""))))</f>
        <v/>
      </c>
      <c r="Q14" s="129">
        <v>40862</v>
      </c>
      <c r="R14" s="129">
        <v>40862</v>
      </c>
      <c r="S14" s="139" t="s">
        <v>17</v>
      </c>
      <c r="T14" s="115" t="s">
        <v>2428</v>
      </c>
      <c r="U14" s="139" t="s">
        <v>29</v>
      </c>
      <c r="V14" s="139" t="s">
        <v>1929</v>
      </c>
      <c r="W14" s="139" t="s">
        <v>1916</v>
      </c>
      <c r="X14" s="139" t="s">
        <v>129</v>
      </c>
      <c r="Y14" s="112" t="s">
        <v>2933</v>
      </c>
      <c r="Z14" s="112" t="s">
        <v>2211</v>
      </c>
      <c r="AA14" s="139" t="s">
        <v>129</v>
      </c>
    </row>
    <row r="15" spans="1:35" ht="17.25" customHeight="1">
      <c r="A15" s="69">
        <f>IF(priority(Main[[#This Row],[Comments]])&lt;&gt;0, priority(Main[[#This Row],[Comments]]),"")</f>
        <v>2</v>
      </c>
      <c r="B15" s="63" t="s">
        <v>2045</v>
      </c>
      <c r="C15" s="148" t="s">
        <v>299</v>
      </c>
      <c r="D15" s="113" t="s">
        <v>2319</v>
      </c>
      <c r="E15" s="129">
        <v>40682.272986111115</v>
      </c>
      <c r="F15" s="129">
        <v>40909</v>
      </c>
      <c r="G15" s="69">
        <f>IF(stdProdLT(Main[[#This Row],[Comments]])=0.1,"N/A",IF(stdProdLT(Main[[#This Row],[Comments]])=0,"",stdProdLT(Main[[#This Row],[Comments]])))</f>
        <v>182</v>
      </c>
      <c r="H15" s="138">
        <f>IF(Main[[#This Row],[In Stock Date]]="N/A", "N/A",IF(AND(Main[[#This Row],[In Stock Date]]&lt;&gt;"",Main[[#This Row],[Revised Due Date]]&lt;&gt;"",Main[[#This Row],[In Stock Date]]&lt;&gt;""),Main[[#This Row],[In Stock Date]]-Main[[#This Row],[Revised Due Date]],""))</f>
        <v>78</v>
      </c>
      <c r="I15" s="139" t="s">
        <v>946</v>
      </c>
      <c r="J15" s="139" t="s">
        <v>28</v>
      </c>
      <c r="K15" s="139" t="s">
        <v>1927</v>
      </c>
      <c r="L15" s="129">
        <v>40725</v>
      </c>
      <c r="M15" s="114">
        <f>IF(Main[[#This Row],[Tech Start Date]]&lt;1/1/1990,"",IF(Main[[#This Row],[Class]]="C",WORKDAY(Main[[#This Row],[Tech Start Date]],9),IF(Main[[#This Row],[Class]]="B", WORKDAY(Main[[#This Row],[Tech Start Date]],6),IF(Main[[#This Row],[Class]]="A",WORKDAY(Main[[#This Row],[Tech Start Date]],2),""))))</f>
        <v>40738</v>
      </c>
      <c r="N15" s="114">
        <f>IF(Main[[#This Row],[Tech Start Date]]&lt;1/1/1990,"",IF(Main[[#This Row],[Class]]="C",WORKDAY(Main[[#This Row],[Tech Start Date]],19),IF(Main[[#This Row],[Class]]="B", WORKDAY(Main[[#This Row],[Tech Start Date]],12),IF(Main[[#This Row],[Class]]="A",WORKDAY(Main[[#This Row],[Tech Start Date]],4),""))))</f>
        <v>40752</v>
      </c>
      <c r="O15" s="114">
        <f>IF(Main[[#This Row],[Tech Start Date]]&lt;1/1/1990,"",IF(Main[[#This Row],[Class]]="C",WORKDAY(Main[[#This Row],[Tech Start Date]],23),IF(Main[[#This Row],[Class]]="B", WORKDAY(Main[[#This Row],[Tech Start Date]],15),IF(Main[[#This Row],[Class]]="A",WORKDAY(Main[[#This Row],[Tech Start Date]],5),""))))</f>
        <v>40758</v>
      </c>
      <c r="P15" s="114">
        <f>IF(Main[[#This Row],[Tech Start Date]]&lt;1/1/1990,"",IF(Main[[#This Row],[Class]]="C",WORKDAY(Main[[#This Row],[Tech Start Date]],28),IF(Main[[#This Row],[Class]]="B", WORKDAY(Main[[#This Row],[Tech Start Date]],19),IF(Main[[#This Row],[Class]]="A",WORKDAY(Main[[#This Row],[Tech Start Date]],9),""))))</f>
        <v>40765</v>
      </c>
      <c r="Q15" s="129">
        <v>40724</v>
      </c>
      <c r="R15" s="129">
        <v>40831</v>
      </c>
      <c r="S15" s="139" t="s">
        <v>17</v>
      </c>
      <c r="T15" s="115" t="s">
        <v>2207</v>
      </c>
      <c r="U15" s="139" t="s">
        <v>29</v>
      </c>
      <c r="V15" s="139" t="s">
        <v>1915</v>
      </c>
      <c r="W15" s="139" t="s">
        <v>1919</v>
      </c>
      <c r="X15" s="139" t="s">
        <v>2835</v>
      </c>
      <c r="Y15" s="112" t="s">
        <v>4</v>
      </c>
      <c r="Z15" s="112" t="s">
        <v>2053</v>
      </c>
      <c r="AA15" s="139" t="s">
        <v>2835</v>
      </c>
    </row>
    <row r="16" spans="1:35" ht="17.25" customHeight="1">
      <c r="A16" s="69">
        <f>IF(priority(Main[[#This Row],[Comments]])&lt;&gt;0, priority(Main[[#This Row],[Comments]]),"")</f>
        <v>2</v>
      </c>
      <c r="B16" s="63" t="s">
        <v>2276</v>
      </c>
      <c r="C16" s="148" t="s">
        <v>518</v>
      </c>
      <c r="D16" s="113" t="s">
        <v>2925</v>
      </c>
      <c r="E16" s="129">
        <v>40812.552488425928</v>
      </c>
      <c r="F16" s="129">
        <v>41030</v>
      </c>
      <c r="G16" s="69">
        <f>IF(stdProdLT(Main[[#This Row],[Comments]])=0.1,"N/A",IF(stdProdLT(Main[[#This Row],[Comments]])=0,"",stdProdLT(Main[[#This Row],[Comments]])))</f>
        <v>84</v>
      </c>
      <c r="H16" s="138">
        <f>IF(Main[[#This Row],[In Stock Date]]="N/A", "N/A",IF(AND(Main[[#This Row],[In Stock Date]]&lt;&gt;"",Main[[#This Row],[Revised Due Date]]&lt;&gt;"",Main[[#This Row],[In Stock Date]]&lt;&gt;""),Main[[#This Row],[In Stock Date]]-Main[[#This Row],[Revised Due Date]],""))</f>
        <v>74</v>
      </c>
      <c r="I16" s="139" t="s">
        <v>2624</v>
      </c>
      <c r="J16" s="139" t="s">
        <v>21</v>
      </c>
      <c r="K16" s="139" t="s">
        <v>1921</v>
      </c>
      <c r="L16" s="129">
        <v>40835</v>
      </c>
      <c r="M16" s="114">
        <f>IF(Main[[#This Row],[Tech Start Date]]&lt;1/1/1990,"",IF(Main[[#This Row],[Class]]="C",WORKDAY(Main[[#This Row],[Tech Start Date]],9),IF(Main[[#This Row],[Class]]="B", WORKDAY(Main[[#This Row],[Tech Start Date]],6),IF(Main[[#This Row],[Class]]="A",WORKDAY(Main[[#This Row],[Tech Start Date]],2),""))))</f>
        <v>40843</v>
      </c>
      <c r="N16" s="114">
        <f>IF(Main[[#This Row],[Tech Start Date]]&lt;1/1/1990,"",IF(Main[[#This Row],[Class]]="C",WORKDAY(Main[[#This Row],[Tech Start Date]],19),IF(Main[[#This Row],[Class]]="B", WORKDAY(Main[[#This Row],[Tech Start Date]],12),IF(Main[[#This Row],[Class]]="A",WORKDAY(Main[[#This Row],[Tech Start Date]],4),""))))</f>
        <v>40851</v>
      </c>
      <c r="O16" s="114">
        <f>IF(Main[[#This Row],[Tech Start Date]]&lt;1/1/1990,"",IF(Main[[#This Row],[Class]]="C",WORKDAY(Main[[#This Row],[Tech Start Date]],23),IF(Main[[#This Row],[Class]]="B", WORKDAY(Main[[#This Row],[Tech Start Date]],15),IF(Main[[#This Row],[Class]]="A",WORKDAY(Main[[#This Row],[Tech Start Date]],5),""))))</f>
        <v>40856</v>
      </c>
      <c r="P16" s="114">
        <f>IF(Main[[#This Row],[Tech Start Date]]&lt;1/1/1990,"",IF(Main[[#This Row],[Class]]="C",WORKDAY(Main[[#This Row],[Tech Start Date]],28),IF(Main[[#This Row],[Class]]="B", WORKDAY(Main[[#This Row],[Tech Start Date]],19),IF(Main[[#This Row],[Class]]="A",WORKDAY(Main[[#This Row],[Tech Start Date]],9),""))))</f>
        <v>40862</v>
      </c>
      <c r="Q16" s="129">
        <v>40816</v>
      </c>
      <c r="R16" s="129">
        <v>40956</v>
      </c>
      <c r="S16" s="139" t="s">
        <v>17</v>
      </c>
      <c r="T16" s="115" t="s">
        <v>2801</v>
      </c>
      <c r="U16" s="139" t="s">
        <v>29</v>
      </c>
      <c r="V16" s="139" t="s">
        <v>1915</v>
      </c>
      <c r="W16" s="139" t="s">
        <v>1922</v>
      </c>
      <c r="X16" s="139" t="s">
        <v>2910</v>
      </c>
      <c r="Y16" s="112" t="s">
        <v>3117</v>
      </c>
      <c r="Z16" s="112" t="s">
        <v>2053</v>
      </c>
      <c r="AA16" s="139" t="s">
        <v>3449</v>
      </c>
    </row>
    <row r="17" spans="1:27" ht="17.25" customHeight="1">
      <c r="A17" s="69">
        <f>IF(priority(Main[[#This Row],[Comments]])&lt;&gt;0, priority(Main[[#This Row],[Comments]]),"")</f>
        <v>2</v>
      </c>
      <c r="B17" s="63" t="s">
        <v>3185</v>
      </c>
      <c r="C17" s="148" t="s">
        <v>3211</v>
      </c>
      <c r="D17" s="113" t="s">
        <v>3826</v>
      </c>
      <c r="E17" s="129">
        <v>40920.17900462963</v>
      </c>
      <c r="F17" s="129">
        <v>41122</v>
      </c>
      <c r="G17" s="69">
        <f>IF(stdProdLT(Main[[#This Row],[Comments]])=0.1,"N/A",IF(stdProdLT(Main[[#This Row],[Comments]])=0,"",stdProdLT(Main[[#This Row],[Comments]])))</f>
        <v>168</v>
      </c>
      <c r="H17" s="138">
        <f>IF(Main[[#This Row],[In Stock Date]]="N/A", "N/A",IF(AND(Main[[#This Row],[In Stock Date]]&lt;&gt;"",Main[[#This Row],[Revised Due Date]]&lt;&gt;"",Main[[#This Row],[In Stock Date]]&lt;&gt;""),Main[[#This Row],[In Stock Date]]-Main[[#This Row],[Revised Due Date]],""))</f>
        <v>160</v>
      </c>
      <c r="I17" s="139" t="s">
        <v>102</v>
      </c>
      <c r="J17" s="139" t="s">
        <v>51</v>
      </c>
      <c r="K17" s="139" t="s">
        <v>1927</v>
      </c>
      <c r="L17" s="129">
        <v>40925</v>
      </c>
      <c r="M17" s="114">
        <f>IF(Main[[#This Row],[Tech Start Date]]&lt;1/1/1990,"",IF(Main[[#This Row],[Class]]="C",WORKDAY(Main[[#This Row],[Tech Start Date]],9),IF(Main[[#This Row],[Class]]="B", WORKDAY(Main[[#This Row],[Tech Start Date]],6),IF(Main[[#This Row],[Class]]="A",WORKDAY(Main[[#This Row],[Tech Start Date]],2),""))))</f>
        <v>40938</v>
      </c>
      <c r="N17" s="114">
        <f>IF(Main[[#This Row],[Tech Start Date]]&lt;1/1/1990,"",IF(Main[[#This Row],[Class]]="C",WORKDAY(Main[[#This Row],[Tech Start Date]],19),IF(Main[[#This Row],[Class]]="B", WORKDAY(Main[[#This Row],[Tech Start Date]],12),IF(Main[[#This Row],[Class]]="A",WORKDAY(Main[[#This Row],[Tech Start Date]],4),""))))</f>
        <v>40952</v>
      </c>
      <c r="O17" s="114">
        <f>IF(Main[[#This Row],[Tech Start Date]]&lt;1/1/1990,"",IF(Main[[#This Row],[Class]]="C",WORKDAY(Main[[#This Row],[Tech Start Date]],23),IF(Main[[#This Row],[Class]]="B", WORKDAY(Main[[#This Row],[Tech Start Date]],15),IF(Main[[#This Row],[Class]]="A",WORKDAY(Main[[#This Row],[Tech Start Date]],5),""))))</f>
        <v>40956</v>
      </c>
      <c r="P17" s="114">
        <f>IF(Main[[#This Row],[Tech Start Date]]&lt;1/1/1990,"",IF(Main[[#This Row],[Class]]="C",WORKDAY(Main[[#This Row],[Tech Start Date]],28),IF(Main[[#This Row],[Class]]="B", WORKDAY(Main[[#This Row],[Tech Start Date]],19),IF(Main[[#This Row],[Class]]="A",WORKDAY(Main[[#This Row],[Tech Start Date]],9),""))))</f>
        <v>40963</v>
      </c>
      <c r="Q17" s="129">
        <v>40953</v>
      </c>
      <c r="R17" s="129">
        <v>40962</v>
      </c>
      <c r="S17" s="139" t="s">
        <v>11</v>
      </c>
      <c r="T17" s="115" t="s">
        <v>3827</v>
      </c>
      <c r="U17" s="139" t="s">
        <v>29</v>
      </c>
      <c r="V17" s="139" t="s">
        <v>1917</v>
      </c>
      <c r="W17" s="139" t="s">
        <v>1920</v>
      </c>
      <c r="X17" s="139" t="s">
        <v>2848</v>
      </c>
      <c r="Y17" s="112" t="s">
        <v>2979</v>
      </c>
      <c r="Z17" s="112" t="s">
        <v>306</v>
      </c>
      <c r="AA17" s="139" t="s">
        <v>2848</v>
      </c>
    </row>
    <row r="18" spans="1:27" ht="17.25" customHeight="1">
      <c r="A18" s="69">
        <f>IF(priority(Main[[#This Row],[Comments]])&lt;&gt;0, priority(Main[[#This Row],[Comments]]),"")</f>
        <v>3</v>
      </c>
      <c r="B18" s="63" t="s">
        <v>1890</v>
      </c>
      <c r="C18" s="148" t="s">
        <v>945</v>
      </c>
      <c r="D18" s="113" t="s">
        <v>2630</v>
      </c>
      <c r="E18" s="129">
        <v>40694.711041666669</v>
      </c>
      <c r="F18" s="129"/>
      <c r="G18" s="69" t="str">
        <f>IF(stdProdLT(Main[[#This Row],[Comments]])=0.1,"N/A",IF(stdProdLT(Main[[#This Row],[Comments]])=0,"",stdProdLT(Main[[#This Row],[Comments]])))</f>
        <v/>
      </c>
      <c r="H18" s="138" t="str">
        <f>IF(Main[[#This Row],[In Stock Date]]="N/A", "N/A",IF(AND(Main[[#This Row],[In Stock Date]]&lt;&gt;"",Main[[#This Row],[Revised Due Date]]&lt;&gt;"",Main[[#This Row],[In Stock Date]]&lt;&gt;""),Main[[#This Row],[In Stock Date]]-Main[[#This Row],[Revised Due Date]],""))</f>
        <v/>
      </c>
      <c r="I18" s="139" t="s">
        <v>946</v>
      </c>
      <c r="J18" s="139" t="s">
        <v>28</v>
      </c>
      <c r="K18" s="139" t="s">
        <v>1926</v>
      </c>
      <c r="L18" s="129">
        <v>40848</v>
      </c>
      <c r="M18" s="114" t="str">
        <f>IF(Main[[#This Row],[Tech Start Date]]&lt;1/1/1990,"",IF(Main[[#This Row],[Class]]="C",WORKDAY(Main[[#This Row],[Tech Start Date]],9),IF(Main[[#This Row],[Class]]="B", WORKDAY(Main[[#This Row],[Tech Start Date]],6),IF(Main[[#This Row],[Class]]="A",WORKDAY(Main[[#This Row],[Tech Start Date]],2),""))))</f>
        <v/>
      </c>
      <c r="N18" s="114" t="str">
        <f>IF(Main[[#This Row],[Tech Start Date]]&lt;1/1/1990,"",IF(Main[[#This Row],[Class]]="C",WORKDAY(Main[[#This Row],[Tech Start Date]],19),IF(Main[[#This Row],[Class]]="B", WORKDAY(Main[[#This Row],[Tech Start Date]],12),IF(Main[[#This Row],[Class]]="A",WORKDAY(Main[[#This Row],[Tech Start Date]],4),""))))</f>
        <v/>
      </c>
      <c r="O18" s="114" t="str">
        <f>IF(Main[[#This Row],[Tech Start Date]]&lt;1/1/1990,"",IF(Main[[#This Row],[Class]]="C",WORKDAY(Main[[#This Row],[Tech Start Date]],23),IF(Main[[#This Row],[Class]]="B", WORKDAY(Main[[#This Row],[Tech Start Date]],15),IF(Main[[#This Row],[Class]]="A",WORKDAY(Main[[#This Row],[Tech Start Date]],5),""))))</f>
        <v/>
      </c>
      <c r="P18" s="114" t="str">
        <f>IF(Main[[#This Row],[Tech Start Date]]&lt;1/1/1990,"",IF(Main[[#This Row],[Class]]="C",WORKDAY(Main[[#This Row],[Tech Start Date]],28),IF(Main[[#This Row],[Class]]="B", WORKDAY(Main[[#This Row],[Tech Start Date]],19),IF(Main[[#This Row],[Class]]="A",WORKDAY(Main[[#This Row],[Tech Start Date]],9),""))))</f>
        <v/>
      </c>
      <c r="Q18" s="129">
        <v>40729</v>
      </c>
      <c r="R18" s="129"/>
      <c r="S18" s="139" t="s">
        <v>17</v>
      </c>
      <c r="T18" s="115" t="s">
        <v>3798</v>
      </c>
      <c r="U18" s="139" t="s">
        <v>29</v>
      </c>
      <c r="V18" s="139" t="s">
        <v>1929</v>
      </c>
      <c r="W18" s="139" t="s">
        <v>1922</v>
      </c>
      <c r="X18" s="139" t="s">
        <v>2862</v>
      </c>
      <c r="Y18" s="112" t="s">
        <v>3006</v>
      </c>
      <c r="Z18" s="112" t="s">
        <v>2211</v>
      </c>
      <c r="AA18" s="139" t="s">
        <v>2862</v>
      </c>
    </row>
    <row r="19" spans="1:27" ht="17.25" customHeight="1">
      <c r="A19" s="69">
        <f>IF(priority(Main[[#This Row],[Comments]])&lt;&gt;0, priority(Main[[#This Row],[Comments]]),"")</f>
        <v>3</v>
      </c>
      <c r="B19" s="63" t="s">
        <v>2730</v>
      </c>
      <c r="C19" s="148" t="s">
        <v>3179</v>
      </c>
      <c r="D19" s="113" t="s">
        <v>3813</v>
      </c>
      <c r="E19" s="129">
        <v>40911.202465277776</v>
      </c>
      <c r="F19" s="129">
        <v>41334</v>
      </c>
      <c r="G19" s="69">
        <f>IF(stdProdLT(Main[[#This Row],[Comments]])=0.1,"N/A",IF(stdProdLT(Main[[#This Row],[Comments]])=0,"",stdProdLT(Main[[#This Row],[Comments]])))</f>
        <v>140</v>
      </c>
      <c r="H19" s="138">
        <f>IF(Main[[#This Row],[In Stock Date]]="N/A", "N/A",IF(AND(Main[[#This Row],[In Stock Date]]&lt;&gt;"",Main[[#This Row],[Revised Due Date]]&lt;&gt;"",Main[[#This Row],[In Stock Date]]&lt;&gt;""),Main[[#This Row],[In Stock Date]]-Main[[#This Row],[Revised Due Date]],""))</f>
        <v>366</v>
      </c>
      <c r="I19" s="139" t="s">
        <v>399</v>
      </c>
      <c r="J19" s="139" t="s">
        <v>51</v>
      </c>
      <c r="K19" s="140" t="s">
        <v>1921</v>
      </c>
      <c r="L19" s="129">
        <v>40913</v>
      </c>
      <c r="M19" s="114">
        <f>IF(Main[[#This Row],[Tech Start Date]]&lt;1/1/1990,"",IF(Main[[#This Row],[Class]]="C",WORKDAY(Main[[#This Row],[Tech Start Date]],9),IF(Main[[#This Row],[Class]]="B", WORKDAY(Main[[#This Row],[Tech Start Date]],6),IF(Main[[#This Row],[Class]]="A",WORKDAY(Main[[#This Row],[Tech Start Date]],2),""))))</f>
        <v>40921</v>
      </c>
      <c r="N19" s="114">
        <f>IF(Main[[#This Row],[Tech Start Date]]&lt;1/1/1990,"",IF(Main[[#This Row],[Class]]="C",WORKDAY(Main[[#This Row],[Tech Start Date]],19),IF(Main[[#This Row],[Class]]="B", WORKDAY(Main[[#This Row],[Tech Start Date]],12),IF(Main[[#This Row],[Class]]="A",WORKDAY(Main[[#This Row],[Tech Start Date]],4),""))))</f>
        <v>40931</v>
      </c>
      <c r="O19" s="114">
        <f>IF(Main[[#This Row],[Tech Start Date]]&lt;1/1/1990,"",IF(Main[[#This Row],[Class]]="C",WORKDAY(Main[[#This Row],[Tech Start Date]],23),IF(Main[[#This Row],[Class]]="B", WORKDAY(Main[[#This Row],[Tech Start Date]],15),IF(Main[[#This Row],[Class]]="A",WORKDAY(Main[[#This Row],[Tech Start Date]],5),""))))</f>
        <v>40934</v>
      </c>
      <c r="P19" s="114">
        <f>IF(Main[[#This Row],[Tech Start Date]]&lt;1/1/1990,"",IF(Main[[#This Row],[Class]]="C",WORKDAY(Main[[#This Row],[Tech Start Date]],28),IF(Main[[#This Row],[Class]]="B", WORKDAY(Main[[#This Row],[Tech Start Date]],19),IF(Main[[#This Row],[Class]]="A",WORKDAY(Main[[#This Row],[Tech Start Date]],9),""))))</f>
        <v>40940</v>
      </c>
      <c r="Q19" s="129">
        <v>40903</v>
      </c>
      <c r="R19" s="129">
        <v>40968</v>
      </c>
      <c r="S19" s="139" t="s">
        <v>11</v>
      </c>
      <c r="T19" s="115" t="s">
        <v>3814</v>
      </c>
      <c r="U19" s="139" t="s">
        <v>29</v>
      </c>
      <c r="V19" s="139" t="s">
        <v>1924</v>
      </c>
      <c r="W19" s="139" t="s">
        <v>1920</v>
      </c>
      <c r="X19" s="139" t="s">
        <v>2846</v>
      </c>
      <c r="Y19" s="112" t="s">
        <v>4</v>
      </c>
      <c r="Z19" s="112" t="s">
        <v>530</v>
      </c>
      <c r="AA19" s="139" t="s">
        <v>2846</v>
      </c>
    </row>
    <row r="20" spans="1:27" ht="17.25" customHeight="1">
      <c r="A20" s="69">
        <f>IF(priority(Main[[#This Row],[Comments]])&lt;&gt;0, priority(Main[[#This Row],[Comments]]),"")</f>
        <v>5</v>
      </c>
      <c r="B20" s="63" t="s">
        <v>2144</v>
      </c>
      <c r="C20" s="148" t="s">
        <v>2024</v>
      </c>
      <c r="D20" s="113" t="s">
        <v>2145</v>
      </c>
      <c r="E20" s="129"/>
      <c r="F20" s="129">
        <v>40771</v>
      </c>
      <c r="G20" s="69">
        <f>IF(stdProdLT(Main[[#This Row],[Comments]])=0.1,"N/A",IF(stdProdLT(Main[[#This Row],[Comments]])=0,"",stdProdLT(Main[[#This Row],[Comments]])))</f>
        <v>154</v>
      </c>
      <c r="H20" s="138">
        <f>IF(Main[[#This Row],[In Stock Date]]="N/A", "N/A",IF(AND(Main[[#This Row],[In Stock Date]]&lt;&gt;"",Main[[#This Row],[Revised Due Date]]&lt;&gt;"",Main[[#This Row],[In Stock Date]]&lt;&gt;""),Main[[#This Row],[In Stock Date]]-Main[[#This Row],[Revised Due Date]],""))</f>
        <v>-44</v>
      </c>
      <c r="I20" s="139" t="s">
        <v>941</v>
      </c>
      <c r="J20" s="139" t="s">
        <v>28</v>
      </c>
      <c r="K20" s="139" t="s">
        <v>1927</v>
      </c>
      <c r="L20" s="129">
        <v>40772</v>
      </c>
      <c r="M20" s="114">
        <f>IF(Main[[#This Row],[Tech Start Date]]&lt;1/1/1990,"",IF(Main[[#This Row],[Class]]="C",WORKDAY(Main[[#This Row],[Tech Start Date]],9),IF(Main[[#This Row],[Class]]="B", WORKDAY(Main[[#This Row],[Tech Start Date]],6),IF(Main[[#This Row],[Class]]="A",WORKDAY(Main[[#This Row],[Tech Start Date]],2),""))))</f>
        <v>40785</v>
      </c>
      <c r="N20" s="114">
        <f>IF(Main[[#This Row],[Tech Start Date]]&lt;1/1/1990,"",IF(Main[[#This Row],[Class]]="C",WORKDAY(Main[[#This Row],[Tech Start Date]],19),IF(Main[[#This Row],[Class]]="B", WORKDAY(Main[[#This Row],[Tech Start Date]],12),IF(Main[[#This Row],[Class]]="A",WORKDAY(Main[[#This Row],[Tech Start Date]],4),""))))</f>
        <v>40799</v>
      </c>
      <c r="O20" s="114">
        <f>IF(Main[[#This Row],[Tech Start Date]]&lt;1/1/1990,"",IF(Main[[#This Row],[Class]]="C",WORKDAY(Main[[#This Row],[Tech Start Date]],23),IF(Main[[#This Row],[Class]]="B", WORKDAY(Main[[#This Row],[Tech Start Date]],15),IF(Main[[#This Row],[Class]]="A",WORKDAY(Main[[#This Row],[Tech Start Date]],5),""))))</f>
        <v>40805</v>
      </c>
      <c r="P20" s="114">
        <f>IF(Main[[#This Row],[Tech Start Date]]&lt;1/1/1990,"",IF(Main[[#This Row],[Class]]="C",WORKDAY(Main[[#This Row],[Tech Start Date]],28),IF(Main[[#This Row],[Class]]="B", WORKDAY(Main[[#This Row],[Tech Start Date]],19),IF(Main[[#This Row],[Class]]="A",WORKDAY(Main[[#This Row],[Tech Start Date]],9),""))))</f>
        <v>40812</v>
      </c>
      <c r="Q20" s="129">
        <v>40771</v>
      </c>
      <c r="R20" s="129">
        <v>40815</v>
      </c>
      <c r="S20" s="139" t="s">
        <v>11</v>
      </c>
      <c r="T20" s="115" t="s">
        <v>2146</v>
      </c>
      <c r="U20" s="139" t="s">
        <v>14</v>
      </c>
      <c r="V20" s="139" t="s">
        <v>1915</v>
      </c>
      <c r="W20" s="139" t="s">
        <v>1922</v>
      </c>
      <c r="X20" s="139" t="s">
        <v>2816</v>
      </c>
      <c r="Y20" s="112" t="s">
        <v>4</v>
      </c>
      <c r="Z20" s="112" t="s">
        <v>2053</v>
      </c>
      <c r="AA20" s="139" t="s">
        <v>2816</v>
      </c>
    </row>
    <row r="21" spans="1:27" ht="17.25" customHeight="1">
      <c r="A21" s="12">
        <f>IF(priority(Main[[#This Row],[Comments]])&lt;&gt;0, priority(Main[[#This Row],[Comments]]),"")</f>
        <v>5</v>
      </c>
      <c r="B21" s="63" t="s">
        <v>3250</v>
      </c>
      <c r="C21" s="147" t="s">
        <v>577</v>
      </c>
      <c r="D21" s="117" t="s">
        <v>3836</v>
      </c>
      <c r="E21" s="130">
        <v>40933.480763888889</v>
      </c>
      <c r="F21" s="130">
        <v>40969</v>
      </c>
      <c r="G21" s="12" t="str">
        <f>IF(stdProdLT(Main[[#This Row],[Comments]])=0.1,"N/A",IF(stdProdLT(Main[[#This Row],[Comments]])=0,"",stdProdLT(Main[[#This Row],[Comments]])))</f>
        <v>N/A</v>
      </c>
      <c r="H21" s="141">
        <f>IF(Main[[#This Row],[In Stock Date]]="N/A", "N/A",IF(AND(Main[[#This Row],[In Stock Date]]&lt;&gt;"",Main[[#This Row],[Revised Due Date]]&lt;&gt;"",Main[[#This Row],[In Stock Date]]&lt;&gt;""),Main[[#This Row],[In Stock Date]]-Main[[#This Row],[Revised Due Date]],""))</f>
        <v>-4</v>
      </c>
      <c r="I21" s="12" t="s">
        <v>940</v>
      </c>
      <c r="J21" s="12" t="s">
        <v>28</v>
      </c>
      <c r="K21" s="12" t="s">
        <v>1927</v>
      </c>
      <c r="L21" s="130">
        <v>40938</v>
      </c>
      <c r="M21" s="114">
        <f>IF(Main[[#This Row],[Tech Start Date]]&lt;1/1/1990,"",IF(Main[[#This Row],[Class]]="C",WORKDAY(Main[[#This Row],[Tech Start Date]],9),IF(Main[[#This Row],[Class]]="B", WORKDAY(Main[[#This Row],[Tech Start Date]],6),IF(Main[[#This Row],[Class]]="A",WORKDAY(Main[[#This Row],[Tech Start Date]],2),""))))</f>
        <v>40949</v>
      </c>
      <c r="N21" s="114">
        <f>IF(Main[[#This Row],[Tech Start Date]]&lt;1/1/1990,"",IF(Main[[#This Row],[Class]]="C",WORKDAY(Main[[#This Row],[Tech Start Date]],19),IF(Main[[#This Row],[Class]]="B", WORKDAY(Main[[#This Row],[Tech Start Date]],12),IF(Main[[#This Row],[Class]]="A",WORKDAY(Main[[#This Row],[Tech Start Date]],4),""))))</f>
        <v>40963</v>
      </c>
      <c r="O21" s="114">
        <f>IF(Main[[#This Row],[Tech Start Date]]&lt;1/1/1990,"",IF(Main[[#This Row],[Class]]="C",WORKDAY(Main[[#This Row],[Tech Start Date]],23),IF(Main[[#This Row],[Class]]="B", WORKDAY(Main[[#This Row],[Tech Start Date]],15),IF(Main[[#This Row],[Class]]="A",WORKDAY(Main[[#This Row],[Tech Start Date]],5),""))))</f>
        <v>40969</v>
      </c>
      <c r="P21" s="114">
        <f>IF(Main[[#This Row],[Tech Start Date]]&lt;1/1/1990,"",IF(Main[[#This Row],[Class]]="C",WORKDAY(Main[[#This Row],[Tech Start Date]],28),IF(Main[[#This Row],[Class]]="B", WORKDAY(Main[[#This Row],[Tech Start Date]],19),IF(Main[[#This Row],[Class]]="A",WORKDAY(Main[[#This Row],[Tech Start Date]],9),""))))</f>
        <v>40976</v>
      </c>
      <c r="Q21" s="130">
        <v>40940</v>
      </c>
      <c r="R21" s="130">
        <v>40973</v>
      </c>
      <c r="S21" s="12" t="s">
        <v>11</v>
      </c>
      <c r="T21" s="118" t="s">
        <v>3837</v>
      </c>
      <c r="U21" s="12" t="s">
        <v>29</v>
      </c>
      <c r="V21" s="12" t="s">
        <v>1915</v>
      </c>
      <c r="W21" s="12" t="s">
        <v>1916</v>
      </c>
      <c r="X21" s="12" t="s">
        <v>2816</v>
      </c>
      <c r="Y21" s="116" t="s">
        <v>4</v>
      </c>
      <c r="Z21" s="116" t="s">
        <v>2053</v>
      </c>
      <c r="AA21" s="139" t="s">
        <v>2816</v>
      </c>
    </row>
    <row r="22" spans="1:27" ht="17.25" customHeight="1">
      <c r="A22" s="69">
        <f>IF(priority(Main[[#This Row],[Comments]])&lt;&gt;0, priority(Main[[#This Row],[Comments]]),"")</f>
        <v>6</v>
      </c>
      <c r="B22" s="63" t="s">
        <v>2397</v>
      </c>
      <c r="C22" s="148" t="s">
        <v>2398</v>
      </c>
      <c r="D22" s="113" t="s">
        <v>3807</v>
      </c>
      <c r="E22" s="129">
        <v>40864.56318287037</v>
      </c>
      <c r="F22" s="129"/>
      <c r="G22" s="69" t="str">
        <f>IF(stdProdLT(Main[[#This Row],[Comments]])=0.1,"N/A",IF(stdProdLT(Main[[#This Row],[Comments]])=0,"",stdProdLT(Main[[#This Row],[Comments]])))</f>
        <v>N/A</v>
      </c>
      <c r="H22" s="138" t="str">
        <f>IF(Main[[#This Row],[In Stock Date]]="N/A", "N/A",IF(AND(Main[[#This Row],[In Stock Date]]&lt;&gt;"",Main[[#This Row],[Revised Due Date]]&lt;&gt;"",Main[[#This Row],[In Stock Date]]&lt;&gt;""),Main[[#This Row],[In Stock Date]]-Main[[#This Row],[Revised Due Date]],""))</f>
        <v/>
      </c>
      <c r="I22" s="139" t="s">
        <v>2249</v>
      </c>
      <c r="J22" s="139" t="s">
        <v>28</v>
      </c>
      <c r="K22" s="139" t="s">
        <v>1921</v>
      </c>
      <c r="L22" s="129">
        <v>40878</v>
      </c>
      <c r="M22" s="114">
        <f>IF(Main[[#This Row],[Tech Start Date]]&lt;1/1/1990,"",IF(Main[[#This Row],[Class]]="C",WORKDAY(Main[[#This Row],[Tech Start Date]],9),IF(Main[[#This Row],[Class]]="B", WORKDAY(Main[[#This Row],[Tech Start Date]],6),IF(Main[[#This Row],[Class]]="A",WORKDAY(Main[[#This Row],[Tech Start Date]],2),""))))</f>
        <v>40886</v>
      </c>
      <c r="N22" s="114">
        <f>IF(Main[[#This Row],[Tech Start Date]]&lt;1/1/1990,"",IF(Main[[#This Row],[Class]]="C",WORKDAY(Main[[#This Row],[Tech Start Date]],19),IF(Main[[#This Row],[Class]]="B", WORKDAY(Main[[#This Row],[Tech Start Date]],12),IF(Main[[#This Row],[Class]]="A",WORKDAY(Main[[#This Row],[Tech Start Date]],4),""))))</f>
        <v>40896</v>
      </c>
      <c r="O22" s="114">
        <f>IF(Main[[#This Row],[Tech Start Date]]&lt;1/1/1990,"",IF(Main[[#This Row],[Class]]="C",WORKDAY(Main[[#This Row],[Tech Start Date]],23),IF(Main[[#This Row],[Class]]="B", WORKDAY(Main[[#This Row],[Tech Start Date]],15),IF(Main[[#This Row],[Class]]="A",WORKDAY(Main[[#This Row],[Tech Start Date]],5),""))))</f>
        <v>40899</v>
      </c>
      <c r="P22" s="114">
        <f>IF(Main[[#This Row],[Tech Start Date]]&lt;1/1/1990,"",IF(Main[[#This Row],[Class]]="C",WORKDAY(Main[[#This Row],[Tech Start Date]],28),IF(Main[[#This Row],[Class]]="B", WORKDAY(Main[[#This Row],[Tech Start Date]],19),IF(Main[[#This Row],[Class]]="A",WORKDAY(Main[[#This Row],[Tech Start Date]],9),""))))</f>
        <v>40905</v>
      </c>
      <c r="Q22" s="129"/>
      <c r="R22" s="129">
        <v>40982</v>
      </c>
      <c r="S22" s="139" t="s">
        <v>11</v>
      </c>
      <c r="T22" s="115" t="s">
        <v>3808</v>
      </c>
      <c r="U22" s="139" t="s">
        <v>29</v>
      </c>
      <c r="V22" s="139" t="s">
        <v>1915</v>
      </c>
      <c r="W22" s="139" t="s">
        <v>1916</v>
      </c>
      <c r="X22" s="139" t="s">
        <v>2816</v>
      </c>
      <c r="Y22" s="112" t="s">
        <v>2993</v>
      </c>
      <c r="Z22" s="112" t="s">
        <v>2053</v>
      </c>
      <c r="AA22" s="139" t="s">
        <v>2816</v>
      </c>
    </row>
    <row r="23" spans="1:27" ht="17.25" customHeight="1">
      <c r="A23" s="69">
        <f>IF(priority(Main[[#This Row],[Comments]])&lt;&gt;0, priority(Main[[#This Row],[Comments]]),"")</f>
        <v>6</v>
      </c>
      <c r="B23" s="63" t="s">
        <v>3225</v>
      </c>
      <c r="C23" s="148" t="s">
        <v>3207</v>
      </c>
      <c r="D23" s="113" t="s">
        <v>3966</v>
      </c>
      <c r="E23" s="129">
        <v>40925.100439814814</v>
      </c>
      <c r="F23" s="129">
        <v>41153</v>
      </c>
      <c r="G23" s="69">
        <f>IF(stdProdLT(Main[[#This Row],[Comments]])=0.1,"N/A",IF(stdProdLT(Main[[#This Row],[Comments]])=0,"",stdProdLT(Main[[#This Row],[Comments]])))</f>
        <v>140</v>
      </c>
      <c r="H23" s="138">
        <f>IF(Main[[#This Row],[In Stock Date]]="N/A", "N/A",IF(AND(Main[[#This Row],[In Stock Date]]&lt;&gt;"",Main[[#This Row],[Revised Due Date]]&lt;&gt;"",Main[[#This Row],[In Stock Date]]&lt;&gt;""),Main[[#This Row],[In Stock Date]]-Main[[#This Row],[Revised Due Date]],""))</f>
        <v>190</v>
      </c>
      <c r="I23" s="139" t="s">
        <v>399</v>
      </c>
      <c r="J23" s="139" t="s">
        <v>51</v>
      </c>
      <c r="K23" s="139" t="s">
        <v>1921</v>
      </c>
      <c r="L23" s="129">
        <v>40925</v>
      </c>
      <c r="M23" s="114">
        <f>IF(Main[[#This Row],[Tech Start Date]]&lt;1/1/1990,"",IF(Main[[#This Row],[Class]]="C",WORKDAY(Main[[#This Row],[Tech Start Date]],9),IF(Main[[#This Row],[Class]]="B", WORKDAY(Main[[#This Row],[Tech Start Date]],6),IF(Main[[#This Row],[Class]]="A",WORKDAY(Main[[#This Row],[Tech Start Date]],2),""))))</f>
        <v>40933</v>
      </c>
      <c r="N23" s="114">
        <f>IF(Main[[#This Row],[Tech Start Date]]&lt;1/1/1990,"",IF(Main[[#This Row],[Class]]="C",WORKDAY(Main[[#This Row],[Tech Start Date]],19),IF(Main[[#This Row],[Class]]="B", WORKDAY(Main[[#This Row],[Tech Start Date]],12),IF(Main[[#This Row],[Class]]="A",WORKDAY(Main[[#This Row],[Tech Start Date]],4),""))))</f>
        <v>40941</v>
      </c>
      <c r="O23" s="114">
        <f>IF(Main[[#This Row],[Tech Start Date]]&lt;1/1/1990,"",IF(Main[[#This Row],[Class]]="C",WORKDAY(Main[[#This Row],[Tech Start Date]],23),IF(Main[[#This Row],[Class]]="B", WORKDAY(Main[[#This Row],[Tech Start Date]],15),IF(Main[[#This Row],[Class]]="A",WORKDAY(Main[[#This Row],[Tech Start Date]],5),""))))</f>
        <v>40946</v>
      </c>
      <c r="P23" s="114">
        <f>IF(Main[[#This Row],[Tech Start Date]]&lt;1/1/1990,"",IF(Main[[#This Row],[Class]]="C",WORKDAY(Main[[#This Row],[Tech Start Date]],28),IF(Main[[#This Row],[Class]]="B", WORKDAY(Main[[#This Row],[Tech Start Date]],19),IF(Main[[#This Row],[Class]]="A",WORKDAY(Main[[#This Row],[Tech Start Date]],9),""))))</f>
        <v>40952</v>
      </c>
      <c r="Q23" s="129">
        <v>41011</v>
      </c>
      <c r="R23" s="129">
        <v>40963</v>
      </c>
      <c r="S23" s="139" t="s">
        <v>11</v>
      </c>
      <c r="T23" s="115" t="s">
        <v>3830</v>
      </c>
      <c r="U23" s="139" t="s">
        <v>534</v>
      </c>
      <c r="V23" s="139" t="s">
        <v>1924</v>
      </c>
      <c r="W23" s="139" t="s">
        <v>1920</v>
      </c>
      <c r="X23" s="139" t="s">
        <v>2848</v>
      </c>
      <c r="Y23" s="112" t="s">
        <v>2979</v>
      </c>
      <c r="Z23" s="112" t="s">
        <v>530</v>
      </c>
      <c r="AA23" s="139" t="s">
        <v>2848</v>
      </c>
    </row>
    <row r="24" spans="1:27" ht="17.25" customHeight="1">
      <c r="A24" s="69">
        <f>IF(priority(Main[[#This Row],[Comments]])&lt;&gt;0, priority(Main[[#This Row],[Comments]]),"")</f>
        <v>7</v>
      </c>
      <c r="B24" s="63" t="s">
        <v>3172</v>
      </c>
      <c r="C24" s="148" t="s">
        <v>3999</v>
      </c>
      <c r="D24" s="62" t="s">
        <v>4000</v>
      </c>
      <c r="E24" s="129">
        <v>40919.073576388888</v>
      </c>
      <c r="F24" s="129">
        <v>41153</v>
      </c>
      <c r="G24" s="69">
        <f>IF(stdProdLT(Main[[#This Row],[Comments]])=0.1,"N/A",IF(stdProdLT(Main[[#This Row],[Comments]])=0,"",stdProdLT(Main[[#This Row],[Comments]])))</f>
        <v>126</v>
      </c>
      <c r="H24" s="138">
        <f>IF(Main[[#This Row],[In Stock Date]]="N/A", "N/A",IF(AND(Main[[#This Row],[In Stock Date]]&lt;&gt;"",Main[[#This Row],[Revised Due Date]]&lt;&gt;"",Main[[#This Row],[In Stock Date]]&lt;&gt;""),Main[[#This Row],[In Stock Date]]-Main[[#This Row],[Revised Due Date]],""))</f>
        <v>180</v>
      </c>
      <c r="I24" s="139" t="s">
        <v>912</v>
      </c>
      <c r="J24" s="139" t="s">
        <v>52</v>
      </c>
      <c r="K24" s="139" t="s">
        <v>1921</v>
      </c>
      <c r="L24" s="129">
        <v>40920</v>
      </c>
      <c r="M24" s="114">
        <f>IF(Main[[#This Row],[Tech Start Date]]&lt;1/1/1990,"",IF(Main[[#This Row],[Class]]="C",WORKDAY(Main[[#This Row],[Tech Start Date]],9),IF(Main[[#This Row],[Class]]="B", WORKDAY(Main[[#This Row],[Tech Start Date]],6),IF(Main[[#This Row],[Class]]="A",WORKDAY(Main[[#This Row],[Tech Start Date]],2),""))))</f>
        <v>40928</v>
      </c>
      <c r="N24" s="114">
        <f>IF(Main[[#This Row],[Tech Start Date]]&lt;1/1/1990,"",IF(Main[[#This Row],[Class]]="C",WORKDAY(Main[[#This Row],[Tech Start Date]],19),IF(Main[[#This Row],[Class]]="B", WORKDAY(Main[[#This Row],[Tech Start Date]],12),IF(Main[[#This Row],[Class]]="A",WORKDAY(Main[[#This Row],[Tech Start Date]],4),""))))</f>
        <v>40938</v>
      </c>
      <c r="O24" s="114">
        <f>IF(Main[[#This Row],[Tech Start Date]]&lt;1/1/1990,"",IF(Main[[#This Row],[Class]]="C",WORKDAY(Main[[#This Row],[Tech Start Date]],23),IF(Main[[#This Row],[Class]]="B", WORKDAY(Main[[#This Row],[Tech Start Date]],15),IF(Main[[#This Row],[Class]]="A",WORKDAY(Main[[#This Row],[Tech Start Date]],5),""))))</f>
        <v>40941</v>
      </c>
      <c r="P24" s="114">
        <f>IF(Main[[#This Row],[Tech Start Date]]&lt;1/1/1990,"",IF(Main[[#This Row],[Class]]="C",WORKDAY(Main[[#This Row],[Tech Start Date]],28),IF(Main[[#This Row],[Class]]="B", WORKDAY(Main[[#This Row],[Tech Start Date]],19),IF(Main[[#This Row],[Class]]="A",WORKDAY(Main[[#This Row],[Tech Start Date]],9),""))))</f>
        <v>40947</v>
      </c>
      <c r="Q24" s="129">
        <v>40926</v>
      </c>
      <c r="R24" s="129">
        <v>40973</v>
      </c>
      <c r="S24" s="139" t="s">
        <v>11</v>
      </c>
      <c r="T24" s="115" t="s">
        <v>3819</v>
      </c>
      <c r="U24" s="139" t="s">
        <v>29</v>
      </c>
      <c r="V24" s="139" t="s">
        <v>1914</v>
      </c>
      <c r="W24" s="139" t="s">
        <v>1925</v>
      </c>
      <c r="X24" s="139" t="s">
        <v>2846</v>
      </c>
      <c r="Y24" s="112" t="s">
        <v>4</v>
      </c>
      <c r="Z24" s="112" t="s">
        <v>129</v>
      </c>
      <c r="AA24" s="139" t="s">
        <v>2846</v>
      </c>
    </row>
    <row r="25" spans="1:27" ht="17.25" customHeight="1">
      <c r="A25" s="69">
        <f>IF(priority(Main[[#This Row],[Comments]])&lt;&gt;0, priority(Main[[#This Row],[Comments]]),"")</f>
        <v>7</v>
      </c>
      <c r="B25" s="63" t="s">
        <v>3488</v>
      </c>
      <c r="C25" s="148" t="s">
        <v>3489</v>
      </c>
      <c r="D25" s="113" t="s">
        <v>3838</v>
      </c>
      <c r="E25" s="129">
        <v>40941.352685185186</v>
      </c>
      <c r="F25" s="129">
        <v>40962</v>
      </c>
      <c r="G25" s="69" t="str">
        <f>IF(stdProdLT(Main[[#This Row],[Comments]])=0.1,"N/A",IF(stdProdLT(Main[[#This Row],[Comments]])=0,"",stdProdLT(Main[[#This Row],[Comments]])))</f>
        <v>N/A</v>
      </c>
      <c r="H25" s="138">
        <f>IF(Main[[#This Row],[In Stock Date]]="N/A", "N/A",IF(AND(Main[[#This Row],[In Stock Date]]&lt;&gt;"",Main[[#This Row],[Revised Due Date]]&lt;&gt;"",Main[[#This Row],[In Stock Date]]&lt;&gt;""),Main[[#This Row],[In Stock Date]]-Main[[#This Row],[Revised Due Date]],""))</f>
        <v>-13</v>
      </c>
      <c r="I25" s="139" t="s">
        <v>2249</v>
      </c>
      <c r="J25" s="139" t="s">
        <v>28</v>
      </c>
      <c r="K25" s="139" t="s">
        <v>1927</v>
      </c>
      <c r="L25" s="129">
        <v>40942</v>
      </c>
      <c r="M25" s="114">
        <f>IF(Main[[#This Row],[Tech Start Date]]&lt;1/1/1990,"",IF(Main[[#This Row],[Class]]="C",WORKDAY(Main[[#This Row],[Tech Start Date]],9),IF(Main[[#This Row],[Class]]="B", WORKDAY(Main[[#This Row],[Tech Start Date]],6),IF(Main[[#This Row],[Class]]="A",WORKDAY(Main[[#This Row],[Tech Start Date]],2),""))))</f>
        <v>40955</v>
      </c>
      <c r="N25" s="114">
        <f>IF(Main[[#This Row],[Tech Start Date]]&lt;1/1/1990,"",IF(Main[[#This Row],[Class]]="C",WORKDAY(Main[[#This Row],[Tech Start Date]],19),IF(Main[[#This Row],[Class]]="B", WORKDAY(Main[[#This Row],[Tech Start Date]],12),IF(Main[[#This Row],[Class]]="A",WORKDAY(Main[[#This Row],[Tech Start Date]],4),""))))</f>
        <v>40969</v>
      </c>
      <c r="O25" s="114">
        <f>IF(Main[[#This Row],[Tech Start Date]]&lt;1/1/1990,"",IF(Main[[#This Row],[Class]]="C",WORKDAY(Main[[#This Row],[Tech Start Date]],23),IF(Main[[#This Row],[Class]]="B", WORKDAY(Main[[#This Row],[Tech Start Date]],15),IF(Main[[#This Row],[Class]]="A",WORKDAY(Main[[#This Row],[Tech Start Date]],5),""))))</f>
        <v>40975</v>
      </c>
      <c r="P25" s="114">
        <f>IF(Main[[#This Row],[Tech Start Date]]&lt;1/1/1990,"",IF(Main[[#This Row],[Class]]="C",WORKDAY(Main[[#This Row],[Tech Start Date]],28),IF(Main[[#This Row],[Class]]="B", WORKDAY(Main[[#This Row],[Tech Start Date]],19),IF(Main[[#This Row],[Class]]="A",WORKDAY(Main[[#This Row],[Tech Start Date]],9),""))))</f>
        <v>40982</v>
      </c>
      <c r="Q25" s="129">
        <v>40948</v>
      </c>
      <c r="R25" s="129">
        <v>40975</v>
      </c>
      <c r="S25" s="139" t="s">
        <v>11</v>
      </c>
      <c r="T25" s="115" t="s">
        <v>3839</v>
      </c>
      <c r="U25" s="139" t="s">
        <v>29</v>
      </c>
      <c r="V25" s="139" t="s">
        <v>1915</v>
      </c>
      <c r="W25" s="139" t="s">
        <v>1916</v>
      </c>
      <c r="X25" s="139" t="s">
        <v>2816</v>
      </c>
      <c r="Y25" s="112" t="s">
        <v>4</v>
      </c>
      <c r="Z25" s="112" t="s">
        <v>2053</v>
      </c>
      <c r="AA25" s="139" t="s">
        <v>2816</v>
      </c>
    </row>
    <row r="26" spans="1:27" ht="17.25" customHeight="1">
      <c r="A26" s="69">
        <f>IF(priority(Main[[#This Row],[Comments]])&lt;&gt;0, priority(Main[[#This Row],[Comments]]),"")</f>
        <v>8</v>
      </c>
      <c r="B26" s="63" t="s">
        <v>3232</v>
      </c>
      <c r="C26" s="148" t="s">
        <v>33</v>
      </c>
      <c r="D26" s="113" t="s">
        <v>3364</v>
      </c>
      <c r="E26" s="129"/>
      <c r="F26" s="129">
        <v>41047</v>
      </c>
      <c r="G26" s="69">
        <f>IF(stdProdLT(Main[[#This Row],[Comments]])=0.1,"N/A",IF(stdProdLT(Main[[#This Row],[Comments]])=0,"",stdProdLT(Main[[#This Row],[Comments]])))</f>
        <v>126</v>
      </c>
      <c r="H26" s="138" t="str">
        <f>IF(Main[[#This Row],[In Stock Date]]="N/A", "N/A",IF(AND(Main[[#This Row],[In Stock Date]]&lt;&gt;"",Main[[#This Row],[Revised Due Date]]&lt;&gt;"",Main[[#This Row],[In Stock Date]]&lt;&gt;""),Main[[#This Row],[In Stock Date]]-Main[[#This Row],[Revised Due Date]],""))</f>
        <v/>
      </c>
      <c r="I26" s="139" t="s">
        <v>4</v>
      </c>
      <c r="J26" s="139" t="s">
        <v>4</v>
      </c>
      <c r="K26" s="139" t="s">
        <v>4</v>
      </c>
      <c r="L26" s="129"/>
      <c r="M26" s="114" t="str">
        <f>IF(Main[[#This Row],[Tech Start Date]]&lt;1/1/1990,"",IF(Main[[#This Row],[Class]]="C",WORKDAY(Main[[#This Row],[Tech Start Date]],9),IF(Main[[#This Row],[Class]]="B", WORKDAY(Main[[#This Row],[Tech Start Date]],6),IF(Main[[#This Row],[Class]]="A",WORKDAY(Main[[#This Row],[Tech Start Date]],2),""))))</f>
        <v/>
      </c>
      <c r="N26" s="114" t="str">
        <f>IF(Main[[#This Row],[Tech Start Date]]&lt;1/1/1990,"",IF(Main[[#This Row],[Class]]="C",WORKDAY(Main[[#This Row],[Tech Start Date]],19),IF(Main[[#This Row],[Class]]="B", WORKDAY(Main[[#This Row],[Tech Start Date]],12),IF(Main[[#This Row],[Class]]="A",WORKDAY(Main[[#This Row],[Tech Start Date]],4),""))))</f>
        <v/>
      </c>
      <c r="O26" s="114" t="str">
        <f>IF(Main[[#This Row],[Tech Start Date]]&lt;1/1/1990,"",IF(Main[[#This Row],[Class]]="C",WORKDAY(Main[[#This Row],[Tech Start Date]],23),IF(Main[[#This Row],[Class]]="B", WORKDAY(Main[[#This Row],[Tech Start Date]],15),IF(Main[[#This Row],[Class]]="A",WORKDAY(Main[[#This Row],[Tech Start Date]],5),""))))</f>
        <v/>
      </c>
      <c r="P26" s="114" t="str">
        <f>IF(Main[[#This Row],[Tech Start Date]]&lt;1/1/1990,"",IF(Main[[#This Row],[Class]]="C",WORKDAY(Main[[#This Row],[Tech Start Date]],28),IF(Main[[#This Row],[Class]]="B", WORKDAY(Main[[#This Row],[Tech Start Date]],19),IF(Main[[#This Row],[Class]]="A",WORKDAY(Main[[#This Row],[Tech Start Date]],9),""))))</f>
        <v/>
      </c>
      <c r="Q26" s="129"/>
      <c r="R26" s="129"/>
      <c r="S26" s="139" t="s">
        <v>11</v>
      </c>
      <c r="T26" s="115" t="s">
        <v>3505</v>
      </c>
      <c r="U26" s="139" t="s">
        <v>14</v>
      </c>
      <c r="V26" s="139" t="s">
        <v>1915</v>
      </c>
      <c r="W26" s="139" t="s">
        <v>1919</v>
      </c>
      <c r="X26" s="139" t="s">
        <v>2875</v>
      </c>
      <c r="Y26" s="112" t="s">
        <v>3021</v>
      </c>
      <c r="Z26" s="112" t="s">
        <v>4</v>
      </c>
      <c r="AA26" s="139" t="s">
        <v>2875</v>
      </c>
    </row>
    <row r="27" spans="1:27" ht="17.25" customHeight="1">
      <c r="A27" s="69">
        <f>IF(priority(Main[[#This Row],[Comments]])&lt;&gt;0, priority(Main[[#This Row],[Comments]]),"")</f>
        <v>8</v>
      </c>
      <c r="B27" s="63" t="s">
        <v>3722</v>
      </c>
      <c r="C27" s="148" t="s">
        <v>95</v>
      </c>
      <c r="D27" s="62" t="s">
        <v>3723</v>
      </c>
      <c r="E27" s="129">
        <v>40959.551469907405</v>
      </c>
      <c r="F27" s="129">
        <v>40967</v>
      </c>
      <c r="G27" s="69" t="str">
        <f>IF(stdProdLT(Main[[#This Row],[Comments]])=0.1,"N/A",IF(stdProdLT(Main[[#This Row],[Comments]])=0,"",stdProdLT(Main[[#This Row],[Comments]])))</f>
        <v>N/A</v>
      </c>
      <c r="H27" s="138">
        <f>IF(Main[[#This Row],[In Stock Date]]="N/A", "N/A",IF(AND(Main[[#This Row],[In Stock Date]]&lt;&gt;"",Main[[#This Row],[Revised Due Date]]&lt;&gt;"",Main[[#This Row],[In Stock Date]]&lt;&gt;""),Main[[#This Row],[In Stock Date]]-Main[[#This Row],[Revised Due Date]],""))</f>
        <v>0</v>
      </c>
      <c r="I27" s="139" t="s">
        <v>306</v>
      </c>
      <c r="J27" s="139" t="s">
        <v>75</v>
      </c>
      <c r="K27" s="139" t="s">
        <v>1923</v>
      </c>
      <c r="L27" s="129"/>
      <c r="M27" s="114" t="str">
        <f>IF(Main[[#This Row],[Tech Start Date]]&lt;1/1/1990,"",IF(Main[[#This Row],[Class]]="C",WORKDAY(Main[[#This Row],[Tech Start Date]],9),IF(Main[[#This Row],[Class]]="B", WORKDAY(Main[[#This Row],[Tech Start Date]],6),IF(Main[[#This Row],[Class]]="A",WORKDAY(Main[[#This Row],[Tech Start Date]],2),""))))</f>
        <v/>
      </c>
      <c r="N27" s="114" t="str">
        <f>IF(Main[[#This Row],[Tech Start Date]]&lt;1/1/1990,"",IF(Main[[#This Row],[Class]]="C",WORKDAY(Main[[#This Row],[Tech Start Date]],19),IF(Main[[#This Row],[Class]]="B", WORKDAY(Main[[#This Row],[Tech Start Date]],12),IF(Main[[#This Row],[Class]]="A",WORKDAY(Main[[#This Row],[Tech Start Date]],4),""))))</f>
        <v/>
      </c>
      <c r="O27" s="114" t="str">
        <f>IF(Main[[#This Row],[Tech Start Date]]&lt;1/1/1990,"",IF(Main[[#This Row],[Class]]="C",WORKDAY(Main[[#This Row],[Tech Start Date]],23),IF(Main[[#This Row],[Class]]="B", WORKDAY(Main[[#This Row],[Tech Start Date]],15),IF(Main[[#This Row],[Class]]="A",WORKDAY(Main[[#This Row],[Tech Start Date]],5),""))))</f>
        <v/>
      </c>
      <c r="P27" s="114" t="str">
        <f>IF(Main[[#This Row],[Tech Start Date]]&lt;1/1/1990,"",IF(Main[[#This Row],[Class]]="C",WORKDAY(Main[[#This Row],[Tech Start Date]],28),IF(Main[[#This Row],[Class]]="B", WORKDAY(Main[[#This Row],[Tech Start Date]],19),IF(Main[[#This Row],[Class]]="A",WORKDAY(Main[[#This Row],[Tech Start Date]],9),""))))</f>
        <v/>
      </c>
      <c r="Q27" s="129">
        <v>40976</v>
      </c>
      <c r="R27" s="129">
        <v>40967</v>
      </c>
      <c r="S27" s="139" t="s">
        <v>11</v>
      </c>
      <c r="T27" s="115" t="s">
        <v>3676</v>
      </c>
      <c r="U27" s="139" t="s">
        <v>29</v>
      </c>
      <c r="V27" s="139" t="s">
        <v>1914</v>
      </c>
      <c r="W27" s="139" t="s">
        <v>1916</v>
      </c>
      <c r="X27" s="139" t="s">
        <v>2852</v>
      </c>
      <c r="Y27" s="112" t="s">
        <v>2990</v>
      </c>
      <c r="Z27" s="112" t="s">
        <v>129</v>
      </c>
      <c r="AA27" s="139" t="s">
        <v>2852</v>
      </c>
    </row>
    <row r="28" spans="1:27" ht="17.25" customHeight="1">
      <c r="A28" s="69">
        <f>IF(priority(Main[[#This Row],[Comments]])&lt;&gt;0, priority(Main[[#This Row],[Comments]]),"")</f>
        <v>8</v>
      </c>
      <c r="B28" s="63" t="s">
        <v>3315</v>
      </c>
      <c r="C28" s="148" t="s">
        <v>72</v>
      </c>
      <c r="D28" s="113" t="s">
        <v>3833</v>
      </c>
      <c r="E28" s="129">
        <v>40931.826180555552</v>
      </c>
      <c r="F28" s="129">
        <v>41090</v>
      </c>
      <c r="G28" s="69">
        <f>IF(stdProdLT(Main[[#This Row],[Comments]])=0.1,"N/A",IF(stdProdLT(Main[[#This Row],[Comments]])=0,"",stdProdLT(Main[[#This Row],[Comments]])))</f>
        <v>126</v>
      </c>
      <c r="H28" s="138">
        <f>IF(Main[[#This Row],[In Stock Date]]="N/A", "N/A",IF(AND(Main[[#This Row],[In Stock Date]]&lt;&gt;"",Main[[#This Row],[Revised Due Date]]&lt;&gt;"",Main[[#This Row],[In Stock Date]]&lt;&gt;""),Main[[#This Row],[In Stock Date]]-Main[[#This Row],[Revised Due Date]],""))</f>
        <v>115</v>
      </c>
      <c r="I28" s="139" t="s">
        <v>2624</v>
      </c>
      <c r="J28" s="139" t="s">
        <v>28</v>
      </c>
      <c r="K28" s="139" t="s">
        <v>1927</v>
      </c>
      <c r="L28" s="129">
        <v>40932</v>
      </c>
      <c r="M28" s="114">
        <f>IF(Main[[#This Row],[Tech Start Date]]&lt;1/1/1990,"",IF(Main[[#This Row],[Class]]="C",WORKDAY(Main[[#This Row],[Tech Start Date]],9),IF(Main[[#This Row],[Class]]="B", WORKDAY(Main[[#This Row],[Tech Start Date]],6),IF(Main[[#This Row],[Class]]="A",WORKDAY(Main[[#This Row],[Tech Start Date]],2),""))))</f>
        <v>40945</v>
      </c>
      <c r="N28" s="114">
        <f>IF(Main[[#This Row],[Tech Start Date]]&lt;1/1/1990,"",IF(Main[[#This Row],[Class]]="C",WORKDAY(Main[[#This Row],[Tech Start Date]],19),IF(Main[[#This Row],[Class]]="B", WORKDAY(Main[[#This Row],[Tech Start Date]],12),IF(Main[[#This Row],[Class]]="A",WORKDAY(Main[[#This Row],[Tech Start Date]],4),""))))</f>
        <v>40959</v>
      </c>
      <c r="O28" s="114">
        <f>IF(Main[[#This Row],[Tech Start Date]]&lt;1/1/1990,"",IF(Main[[#This Row],[Class]]="C",WORKDAY(Main[[#This Row],[Tech Start Date]],23),IF(Main[[#This Row],[Class]]="B", WORKDAY(Main[[#This Row],[Tech Start Date]],15),IF(Main[[#This Row],[Class]]="A",WORKDAY(Main[[#This Row],[Tech Start Date]],5),""))))</f>
        <v>40963</v>
      </c>
      <c r="P28" s="114">
        <f>IF(Main[[#This Row],[Tech Start Date]]&lt;1/1/1990,"",IF(Main[[#This Row],[Class]]="C",WORKDAY(Main[[#This Row],[Tech Start Date]],28),IF(Main[[#This Row],[Class]]="B", WORKDAY(Main[[#This Row],[Tech Start Date]],19),IF(Main[[#This Row],[Class]]="A",WORKDAY(Main[[#This Row],[Tech Start Date]],9),""))))</f>
        <v>40970</v>
      </c>
      <c r="Q28" s="129">
        <v>40950</v>
      </c>
      <c r="R28" s="129">
        <v>40975</v>
      </c>
      <c r="S28" s="139" t="s">
        <v>11</v>
      </c>
      <c r="T28" s="115" t="s">
        <v>3834</v>
      </c>
      <c r="U28" s="139" t="s">
        <v>29</v>
      </c>
      <c r="V28" s="139" t="s">
        <v>1915</v>
      </c>
      <c r="W28" s="139" t="s">
        <v>1922</v>
      </c>
      <c r="X28" s="139" t="s">
        <v>2847</v>
      </c>
      <c r="Y28" s="112" t="s">
        <v>4</v>
      </c>
      <c r="Z28" s="112" t="s">
        <v>2053</v>
      </c>
      <c r="AA28" s="139" t="s">
        <v>2847</v>
      </c>
    </row>
    <row r="29" spans="1:27" ht="17.25" customHeight="1">
      <c r="A29" s="69">
        <f>IF(priority(Main[[#This Row],[Comments]])&lt;&gt;0, priority(Main[[#This Row],[Comments]]),"")</f>
        <v>9</v>
      </c>
      <c r="B29" s="63" t="s">
        <v>2100</v>
      </c>
      <c r="C29" s="148" t="s">
        <v>53</v>
      </c>
      <c r="D29" s="113" t="s">
        <v>2101</v>
      </c>
      <c r="E29" s="129"/>
      <c r="F29" s="129">
        <v>40789</v>
      </c>
      <c r="G29" s="69">
        <f>IF(stdProdLT(Main[[#This Row],[Comments]])=0.1,"N/A",IF(stdProdLT(Main[[#This Row],[Comments]])=0,"",stdProdLT(Main[[#This Row],[Comments]])))</f>
        <v>42</v>
      </c>
      <c r="H29" s="138">
        <f>IF(Main[[#This Row],[In Stock Date]]="N/A", "N/A",IF(AND(Main[[#This Row],[In Stock Date]]&lt;&gt;"",Main[[#This Row],[Revised Due Date]]&lt;&gt;"",Main[[#This Row],[In Stock Date]]&lt;&gt;""),Main[[#This Row],[In Stock Date]]-Main[[#This Row],[Revised Due Date]],""))</f>
        <v>1</v>
      </c>
      <c r="I29" s="139" t="s">
        <v>941</v>
      </c>
      <c r="J29" s="139" t="s">
        <v>28</v>
      </c>
      <c r="K29" s="139" t="s">
        <v>4</v>
      </c>
      <c r="L29" s="129"/>
      <c r="M29" s="114" t="str">
        <f>IF(Main[[#This Row],[Tech Start Date]]&lt;1/1/1990,"",IF(Main[[#This Row],[Class]]="C",WORKDAY(Main[[#This Row],[Tech Start Date]],9),IF(Main[[#This Row],[Class]]="B", WORKDAY(Main[[#This Row],[Tech Start Date]],6),IF(Main[[#This Row],[Class]]="A",WORKDAY(Main[[#This Row],[Tech Start Date]],2),""))))</f>
        <v/>
      </c>
      <c r="N29" s="114" t="str">
        <f>IF(Main[[#This Row],[Tech Start Date]]&lt;1/1/1990,"",IF(Main[[#This Row],[Class]]="C",WORKDAY(Main[[#This Row],[Tech Start Date]],19),IF(Main[[#This Row],[Class]]="B", WORKDAY(Main[[#This Row],[Tech Start Date]],12),IF(Main[[#This Row],[Class]]="A",WORKDAY(Main[[#This Row],[Tech Start Date]],4),""))))</f>
        <v/>
      </c>
      <c r="O29" s="114" t="str">
        <f>IF(Main[[#This Row],[Tech Start Date]]&lt;1/1/1990,"",IF(Main[[#This Row],[Class]]="C",WORKDAY(Main[[#This Row],[Tech Start Date]],23),IF(Main[[#This Row],[Class]]="B", WORKDAY(Main[[#This Row],[Tech Start Date]],15),IF(Main[[#This Row],[Class]]="A",WORKDAY(Main[[#This Row],[Tech Start Date]],5),""))))</f>
        <v/>
      </c>
      <c r="P29" s="114" t="str">
        <f>IF(Main[[#This Row],[Tech Start Date]]&lt;1/1/1990,"",IF(Main[[#This Row],[Class]]="C",WORKDAY(Main[[#This Row],[Tech Start Date]],28),IF(Main[[#This Row],[Class]]="B", WORKDAY(Main[[#This Row],[Tech Start Date]],19),IF(Main[[#This Row],[Class]]="A",WORKDAY(Main[[#This Row],[Tech Start Date]],9),""))))</f>
        <v/>
      </c>
      <c r="Q29" s="129"/>
      <c r="R29" s="129">
        <v>40788</v>
      </c>
      <c r="S29" s="139" t="s">
        <v>11</v>
      </c>
      <c r="T29" s="115" t="s">
        <v>2102</v>
      </c>
      <c r="U29" s="139" t="s">
        <v>14</v>
      </c>
      <c r="V29" s="139" t="s">
        <v>1915</v>
      </c>
      <c r="W29" s="139" t="s">
        <v>1916</v>
      </c>
      <c r="X29" s="139" t="s">
        <v>2816</v>
      </c>
      <c r="Y29" s="112" t="s">
        <v>2993</v>
      </c>
      <c r="Z29" s="112" t="s">
        <v>2053</v>
      </c>
      <c r="AA29" s="139" t="s">
        <v>3429</v>
      </c>
    </row>
    <row r="30" spans="1:27" ht="17.25" customHeight="1">
      <c r="A30" s="69">
        <f>IF(priority(Main[[#This Row],[Comments]])&lt;&gt;0, priority(Main[[#This Row],[Comments]]),"")</f>
        <v>9</v>
      </c>
      <c r="B30" s="63" t="s">
        <v>3748</v>
      </c>
      <c r="C30" s="148" t="s">
        <v>95</v>
      </c>
      <c r="D30" s="62" t="s">
        <v>3749</v>
      </c>
      <c r="E30" s="129">
        <v>40959.560983796298</v>
      </c>
      <c r="F30" s="129">
        <v>40967</v>
      </c>
      <c r="G30" s="69" t="str">
        <f>IF(stdProdLT(Main[[#This Row],[Comments]])=0.1,"N/A",IF(stdProdLT(Main[[#This Row],[Comments]])=0,"",stdProdLT(Main[[#This Row],[Comments]])))</f>
        <v>N/A</v>
      </c>
      <c r="H30" s="138">
        <f>IF(Main[[#This Row],[In Stock Date]]="N/A", "N/A",IF(AND(Main[[#This Row],[In Stock Date]]&lt;&gt;"",Main[[#This Row],[Revised Due Date]]&lt;&gt;"",Main[[#This Row],[In Stock Date]]&lt;&gt;""),Main[[#This Row],[In Stock Date]]-Main[[#This Row],[Revised Due Date]],""))</f>
        <v>0</v>
      </c>
      <c r="I30" s="139" t="s">
        <v>937</v>
      </c>
      <c r="J30" s="139" t="s">
        <v>28</v>
      </c>
      <c r="K30" s="139" t="s">
        <v>1923</v>
      </c>
      <c r="L30" s="129"/>
      <c r="M30" s="114" t="str">
        <f>IF(Main[[#This Row],[Tech Start Date]]&lt;1/1/1990,"",IF(Main[[#This Row],[Class]]="C",WORKDAY(Main[[#This Row],[Tech Start Date]],9),IF(Main[[#This Row],[Class]]="B", WORKDAY(Main[[#This Row],[Tech Start Date]],6),IF(Main[[#This Row],[Class]]="A",WORKDAY(Main[[#This Row],[Tech Start Date]],2),""))))</f>
        <v/>
      </c>
      <c r="N30" s="114" t="str">
        <f>IF(Main[[#This Row],[Tech Start Date]]&lt;1/1/1990,"",IF(Main[[#This Row],[Class]]="C",WORKDAY(Main[[#This Row],[Tech Start Date]],19),IF(Main[[#This Row],[Class]]="B", WORKDAY(Main[[#This Row],[Tech Start Date]],12),IF(Main[[#This Row],[Class]]="A",WORKDAY(Main[[#This Row],[Tech Start Date]],4),""))))</f>
        <v/>
      </c>
      <c r="O30" s="114" t="str">
        <f>IF(Main[[#This Row],[Tech Start Date]]&lt;1/1/1990,"",IF(Main[[#This Row],[Class]]="C",WORKDAY(Main[[#This Row],[Tech Start Date]],23),IF(Main[[#This Row],[Class]]="B", WORKDAY(Main[[#This Row],[Tech Start Date]],15),IF(Main[[#This Row],[Class]]="A",WORKDAY(Main[[#This Row],[Tech Start Date]],5),""))))</f>
        <v/>
      </c>
      <c r="P30" s="114" t="str">
        <f>IF(Main[[#This Row],[Tech Start Date]]&lt;1/1/1990,"",IF(Main[[#This Row],[Class]]="C",WORKDAY(Main[[#This Row],[Tech Start Date]],28),IF(Main[[#This Row],[Class]]="B", WORKDAY(Main[[#This Row],[Tech Start Date]],19),IF(Main[[#This Row],[Class]]="A",WORKDAY(Main[[#This Row],[Tech Start Date]],9),""))))</f>
        <v/>
      </c>
      <c r="Q30" s="129">
        <v>40976</v>
      </c>
      <c r="R30" s="129">
        <v>40967</v>
      </c>
      <c r="S30" s="139" t="s">
        <v>11</v>
      </c>
      <c r="T30" s="115" t="s">
        <v>3750</v>
      </c>
      <c r="U30" s="139" t="s">
        <v>29</v>
      </c>
      <c r="V30" s="139" t="s">
        <v>1914</v>
      </c>
      <c r="W30" s="139" t="s">
        <v>1916</v>
      </c>
      <c r="X30" s="139" t="s">
        <v>2852</v>
      </c>
      <c r="Y30" s="112" t="s">
        <v>2990</v>
      </c>
      <c r="Z30" s="112" t="s">
        <v>129</v>
      </c>
      <c r="AA30" s="139" t="s">
        <v>2852</v>
      </c>
    </row>
    <row r="31" spans="1:27" ht="17.25" customHeight="1">
      <c r="A31" s="69">
        <f>IF(priority(Main[[#This Row],[Comments]])&lt;&gt;0, priority(Main[[#This Row],[Comments]]),"")</f>
        <v>9.1</v>
      </c>
      <c r="B31" s="63" t="s">
        <v>1987</v>
      </c>
      <c r="C31" s="148" t="s">
        <v>1988</v>
      </c>
      <c r="D31" s="113" t="s">
        <v>1989</v>
      </c>
      <c r="E31" s="129"/>
      <c r="F31" s="129"/>
      <c r="G31" s="69" t="str">
        <f>IF(stdProdLT(Main[[#This Row],[Comments]])=0.1,"N/A",IF(stdProdLT(Main[[#This Row],[Comments]])=0,"",stdProdLT(Main[[#This Row],[Comments]])))</f>
        <v/>
      </c>
      <c r="H31" s="138" t="str">
        <f>IF(Main[[#This Row],[In Stock Date]]="N/A", "N/A",IF(AND(Main[[#This Row],[In Stock Date]]&lt;&gt;"",Main[[#This Row],[Revised Due Date]]&lt;&gt;"",Main[[#This Row],[In Stock Date]]&lt;&gt;""),Main[[#This Row],[In Stock Date]]-Main[[#This Row],[Revised Due Date]],""))</f>
        <v/>
      </c>
      <c r="I31" s="139" t="s">
        <v>941</v>
      </c>
      <c r="J31" s="139" t="s">
        <v>28</v>
      </c>
      <c r="K31" s="139" t="s">
        <v>4</v>
      </c>
      <c r="L31" s="129">
        <v>40745</v>
      </c>
      <c r="M31" s="114" t="str">
        <f>IF(Main[[#This Row],[Tech Start Date]]&lt;1/1/1990,"",IF(Main[[#This Row],[Class]]="C",WORKDAY(Main[[#This Row],[Tech Start Date]],9),IF(Main[[#This Row],[Class]]="B", WORKDAY(Main[[#This Row],[Tech Start Date]],6),IF(Main[[#This Row],[Class]]="A",WORKDAY(Main[[#This Row],[Tech Start Date]],2),""))))</f>
        <v/>
      </c>
      <c r="N31" s="114" t="str">
        <f>IF(Main[[#This Row],[Tech Start Date]]&lt;1/1/1990,"",IF(Main[[#This Row],[Class]]="C",WORKDAY(Main[[#This Row],[Tech Start Date]],19),IF(Main[[#This Row],[Class]]="B", WORKDAY(Main[[#This Row],[Tech Start Date]],12),IF(Main[[#This Row],[Class]]="A",WORKDAY(Main[[#This Row],[Tech Start Date]],4),""))))</f>
        <v/>
      </c>
      <c r="O31" s="114" t="str">
        <f>IF(Main[[#This Row],[Tech Start Date]]&lt;1/1/1990,"",IF(Main[[#This Row],[Class]]="C",WORKDAY(Main[[#This Row],[Tech Start Date]],23),IF(Main[[#This Row],[Class]]="B", WORKDAY(Main[[#This Row],[Tech Start Date]],15),IF(Main[[#This Row],[Class]]="A",WORKDAY(Main[[#This Row],[Tech Start Date]],5),""))))</f>
        <v/>
      </c>
      <c r="P31" s="114" t="str">
        <f>IF(Main[[#This Row],[Tech Start Date]]&lt;1/1/1990,"",IF(Main[[#This Row],[Class]]="C",WORKDAY(Main[[#This Row],[Tech Start Date]],28),IF(Main[[#This Row],[Class]]="B", WORKDAY(Main[[#This Row],[Tech Start Date]],19),IF(Main[[#This Row],[Class]]="A",WORKDAY(Main[[#This Row],[Tech Start Date]],9),""))))</f>
        <v/>
      </c>
      <c r="Q31" s="129"/>
      <c r="R31" s="129"/>
      <c r="S31" s="139" t="s">
        <v>11</v>
      </c>
      <c r="T31" s="115" t="s">
        <v>1990</v>
      </c>
      <c r="U31" s="139" t="s">
        <v>14</v>
      </c>
      <c r="V31" s="139" t="s">
        <v>1915</v>
      </c>
      <c r="W31" s="139" t="s">
        <v>1916</v>
      </c>
      <c r="X31" s="139" t="s">
        <v>2816</v>
      </c>
      <c r="Y31" s="112" t="s">
        <v>2993</v>
      </c>
      <c r="Z31" s="112" t="s">
        <v>3159</v>
      </c>
      <c r="AA31" s="139" t="s">
        <v>3473</v>
      </c>
    </row>
    <row r="32" spans="1:27" ht="17.25" customHeight="1">
      <c r="A32" s="69">
        <f>IF(priority(Main[[#This Row],[Comments]])&lt;&gt;0, priority(Main[[#This Row],[Comments]]),"")</f>
        <v>10</v>
      </c>
      <c r="B32" s="63" t="s">
        <v>3547</v>
      </c>
      <c r="C32" s="148" t="s">
        <v>347</v>
      </c>
      <c r="D32" s="62" t="s">
        <v>3986</v>
      </c>
      <c r="E32" s="129">
        <v>40961.409259259257</v>
      </c>
      <c r="F32" s="129">
        <v>41030</v>
      </c>
      <c r="G32" s="69">
        <f>IF(stdProdLT(Main[[#This Row],[Comments]])=0.1,"N/A",IF(stdProdLT(Main[[#This Row],[Comments]])=0,"",stdProdLT(Main[[#This Row],[Comments]])))</f>
        <v>126</v>
      </c>
      <c r="H32" s="138">
        <f>IF(Main[[#This Row],[In Stock Date]]="N/A", "N/A",IF(AND(Main[[#This Row],[In Stock Date]]&lt;&gt;"",Main[[#This Row],[Revised Due Date]]&lt;&gt;"",Main[[#This Row],[In Stock Date]]&lt;&gt;""),Main[[#This Row],[In Stock Date]]-Main[[#This Row],[Revised Due Date]],""))</f>
        <v>49</v>
      </c>
      <c r="I32" s="139" t="s">
        <v>912</v>
      </c>
      <c r="J32" s="139" t="s">
        <v>52</v>
      </c>
      <c r="K32" s="140" t="s">
        <v>1921</v>
      </c>
      <c r="L32" s="129"/>
      <c r="M32" s="114" t="str">
        <f>IF(Main[[#This Row],[Tech Start Date]]&lt;1/1/1990,"",IF(Main[[#This Row],[Class]]="C",WORKDAY(Main[[#This Row],[Tech Start Date]],9),IF(Main[[#This Row],[Class]]="B", WORKDAY(Main[[#This Row],[Tech Start Date]],6),IF(Main[[#This Row],[Class]]="A",WORKDAY(Main[[#This Row],[Tech Start Date]],2),""))))</f>
        <v/>
      </c>
      <c r="N32" s="114" t="str">
        <f>IF(Main[[#This Row],[Tech Start Date]]&lt;1/1/1990,"",IF(Main[[#This Row],[Class]]="C",WORKDAY(Main[[#This Row],[Tech Start Date]],19),IF(Main[[#This Row],[Class]]="B", WORKDAY(Main[[#This Row],[Tech Start Date]],12),IF(Main[[#This Row],[Class]]="A",WORKDAY(Main[[#This Row],[Tech Start Date]],4),""))))</f>
        <v/>
      </c>
      <c r="O32" s="114" t="str">
        <f>IF(Main[[#This Row],[Tech Start Date]]&lt;1/1/1990,"",IF(Main[[#This Row],[Class]]="C",WORKDAY(Main[[#This Row],[Tech Start Date]],23),IF(Main[[#This Row],[Class]]="B", WORKDAY(Main[[#This Row],[Tech Start Date]],15),IF(Main[[#This Row],[Class]]="A",WORKDAY(Main[[#This Row],[Tech Start Date]],5),""))))</f>
        <v/>
      </c>
      <c r="P32" s="114" t="str">
        <f>IF(Main[[#This Row],[Tech Start Date]]&lt;1/1/1990,"",IF(Main[[#This Row],[Class]]="C",WORKDAY(Main[[#This Row],[Tech Start Date]],28),IF(Main[[#This Row],[Class]]="B", WORKDAY(Main[[#This Row],[Tech Start Date]],19),IF(Main[[#This Row],[Class]]="A",WORKDAY(Main[[#This Row],[Tech Start Date]],9),""))))</f>
        <v/>
      </c>
      <c r="Q32" s="129">
        <v>40990</v>
      </c>
      <c r="R32" s="129">
        <v>40981</v>
      </c>
      <c r="S32" s="139" t="s">
        <v>11</v>
      </c>
      <c r="T32" s="115" t="s">
        <v>3668</v>
      </c>
      <c r="U32" s="139" t="s">
        <v>29</v>
      </c>
      <c r="V32" s="139" t="s">
        <v>1914</v>
      </c>
      <c r="W32" s="139" t="s">
        <v>1922</v>
      </c>
      <c r="X32" s="139" t="s">
        <v>2911</v>
      </c>
      <c r="Y32" s="112" t="s">
        <v>4</v>
      </c>
      <c r="Z32" s="112" t="s">
        <v>129</v>
      </c>
      <c r="AA32" s="139" t="s">
        <v>3406</v>
      </c>
    </row>
    <row r="33" spans="1:32" ht="17.25" customHeight="1">
      <c r="A33" s="69">
        <f>IF(priority(Main[[#This Row],[Comments]])&lt;&gt;0, priority(Main[[#This Row],[Comments]]),"")</f>
        <v>10</v>
      </c>
      <c r="B33" s="63" t="s">
        <v>3601</v>
      </c>
      <c r="C33" s="148" t="s">
        <v>95</v>
      </c>
      <c r="D33" s="62" t="s">
        <v>3602</v>
      </c>
      <c r="E33" s="129">
        <v>40959.548576388886</v>
      </c>
      <c r="F33" s="129">
        <v>40967</v>
      </c>
      <c r="G33" s="69" t="str">
        <f>IF(stdProdLT(Main[[#This Row],[Comments]])=0.1,"N/A",IF(stdProdLT(Main[[#This Row],[Comments]])=0,"",stdProdLT(Main[[#This Row],[Comments]])))</f>
        <v>N/A</v>
      </c>
      <c r="H33" s="138">
        <f>IF(Main[[#This Row],[In Stock Date]]="N/A", "N/A",IF(AND(Main[[#This Row],[In Stock Date]]&lt;&gt;"",Main[[#This Row],[Revised Due Date]]&lt;&gt;"",Main[[#This Row],[In Stock Date]]&lt;&gt;""),Main[[#This Row],[In Stock Date]]-Main[[#This Row],[Revised Due Date]],""))</f>
        <v>0</v>
      </c>
      <c r="I33" s="139" t="s">
        <v>306</v>
      </c>
      <c r="J33" s="139" t="s">
        <v>75</v>
      </c>
      <c r="K33" s="139" t="s">
        <v>1923</v>
      </c>
      <c r="L33" s="129"/>
      <c r="M33" s="114" t="str">
        <f>IF(Main[[#This Row],[Tech Start Date]]&lt;1/1/1990,"",IF(Main[[#This Row],[Class]]="C",WORKDAY(Main[[#This Row],[Tech Start Date]],9),IF(Main[[#This Row],[Class]]="B", WORKDAY(Main[[#This Row],[Tech Start Date]],6),IF(Main[[#This Row],[Class]]="A",WORKDAY(Main[[#This Row],[Tech Start Date]],2),""))))</f>
        <v/>
      </c>
      <c r="N33" s="114" t="str">
        <f>IF(Main[[#This Row],[Tech Start Date]]&lt;1/1/1990,"",IF(Main[[#This Row],[Class]]="C",WORKDAY(Main[[#This Row],[Tech Start Date]],19),IF(Main[[#This Row],[Class]]="B", WORKDAY(Main[[#This Row],[Tech Start Date]],12),IF(Main[[#This Row],[Class]]="A",WORKDAY(Main[[#This Row],[Tech Start Date]],4),""))))</f>
        <v/>
      </c>
      <c r="O33" s="114" t="str">
        <f>IF(Main[[#This Row],[Tech Start Date]]&lt;1/1/1990,"",IF(Main[[#This Row],[Class]]="C",WORKDAY(Main[[#This Row],[Tech Start Date]],23),IF(Main[[#This Row],[Class]]="B", WORKDAY(Main[[#This Row],[Tech Start Date]],15),IF(Main[[#This Row],[Class]]="A",WORKDAY(Main[[#This Row],[Tech Start Date]],5),""))))</f>
        <v/>
      </c>
      <c r="P33" s="114" t="str">
        <f>IF(Main[[#This Row],[Tech Start Date]]&lt;1/1/1990,"",IF(Main[[#This Row],[Class]]="C",WORKDAY(Main[[#This Row],[Tech Start Date]],28),IF(Main[[#This Row],[Class]]="B", WORKDAY(Main[[#This Row],[Tech Start Date]],19),IF(Main[[#This Row],[Class]]="A",WORKDAY(Main[[#This Row],[Tech Start Date]],9),""))))</f>
        <v/>
      </c>
      <c r="Q33" s="129">
        <v>40976</v>
      </c>
      <c r="R33" s="129">
        <v>40967</v>
      </c>
      <c r="S33" s="139" t="s">
        <v>11</v>
      </c>
      <c r="T33" s="115" t="s">
        <v>3603</v>
      </c>
      <c r="U33" s="139" t="s">
        <v>29</v>
      </c>
      <c r="V33" s="139" t="s">
        <v>1914</v>
      </c>
      <c r="W33" s="139" t="s">
        <v>1916</v>
      </c>
      <c r="X33" s="139" t="s">
        <v>2852</v>
      </c>
      <c r="Y33" s="112" t="s">
        <v>2990</v>
      </c>
      <c r="Z33" s="112" t="s">
        <v>129</v>
      </c>
      <c r="AA33" s="139" t="s">
        <v>2852</v>
      </c>
    </row>
    <row r="34" spans="1:32" ht="17.25" customHeight="1">
      <c r="A34" s="69">
        <f>IF(priority(Main[[#This Row],[Comments]])&lt;&gt;0, priority(Main[[#This Row],[Comments]]),"")</f>
        <v>10</v>
      </c>
      <c r="B34" s="63" t="s">
        <v>3876</v>
      </c>
      <c r="C34" s="148" t="s">
        <v>2354</v>
      </c>
      <c r="D34" s="113" t="s">
        <v>3877</v>
      </c>
      <c r="E34" s="129">
        <v>40953.07539351852</v>
      </c>
      <c r="F34" s="129">
        <v>41105</v>
      </c>
      <c r="G34" s="69">
        <f>IF(stdProdLT(Main[[#This Row],[Comments]])=0.1,"N/A",IF(stdProdLT(Main[[#This Row],[Comments]])=0,"",stdProdLT(Main[[#This Row],[Comments]])))</f>
        <v>126</v>
      </c>
      <c r="H34" s="138">
        <f>IF(Main[[#This Row],[In Stock Date]]="N/A", "N/A",IF(AND(Main[[#This Row],[In Stock Date]]&lt;&gt;"",Main[[#This Row],[Revised Due Date]]&lt;&gt;"",Main[[#This Row],[In Stock Date]]&lt;&gt;""),Main[[#This Row],[In Stock Date]]-Main[[#This Row],[Revised Due Date]],""))</f>
        <v>104</v>
      </c>
      <c r="I34" s="139" t="s">
        <v>2624</v>
      </c>
      <c r="J34" s="139" t="s">
        <v>28</v>
      </c>
      <c r="K34" s="139" t="s">
        <v>1927</v>
      </c>
      <c r="L34" s="129">
        <v>40959</v>
      </c>
      <c r="M34" s="114">
        <f>IF(Main[[#This Row],[Tech Start Date]]&lt;1/1/1990,"",IF(Main[[#This Row],[Class]]="C",WORKDAY(Main[[#This Row],[Tech Start Date]],9),IF(Main[[#This Row],[Class]]="B", WORKDAY(Main[[#This Row],[Tech Start Date]],6),IF(Main[[#This Row],[Class]]="A",WORKDAY(Main[[#This Row],[Tech Start Date]],2),""))))</f>
        <v>40970</v>
      </c>
      <c r="N34" s="114">
        <f>IF(Main[[#This Row],[Tech Start Date]]&lt;1/1/1990,"",IF(Main[[#This Row],[Class]]="C",WORKDAY(Main[[#This Row],[Tech Start Date]],19),IF(Main[[#This Row],[Class]]="B", WORKDAY(Main[[#This Row],[Tech Start Date]],12),IF(Main[[#This Row],[Class]]="A",WORKDAY(Main[[#This Row],[Tech Start Date]],4),""))))</f>
        <v>40984</v>
      </c>
      <c r="O34" s="114">
        <f>IF(Main[[#This Row],[Tech Start Date]]&lt;1/1/1990,"",IF(Main[[#This Row],[Class]]="C",WORKDAY(Main[[#This Row],[Tech Start Date]],23),IF(Main[[#This Row],[Class]]="B", WORKDAY(Main[[#This Row],[Tech Start Date]],15),IF(Main[[#This Row],[Class]]="A",WORKDAY(Main[[#This Row],[Tech Start Date]],5),""))))</f>
        <v>40990</v>
      </c>
      <c r="P34" s="114">
        <f>IF(Main[[#This Row],[Tech Start Date]]&lt;1/1/1990,"",IF(Main[[#This Row],[Class]]="C",WORKDAY(Main[[#This Row],[Tech Start Date]],28),IF(Main[[#This Row],[Class]]="B", WORKDAY(Main[[#This Row],[Tech Start Date]],19),IF(Main[[#This Row],[Class]]="A",WORKDAY(Main[[#This Row],[Tech Start Date]],9),""))))</f>
        <v>40997</v>
      </c>
      <c r="Q34" s="129">
        <v>40965</v>
      </c>
      <c r="R34" s="129">
        <v>41001</v>
      </c>
      <c r="S34" s="139" t="s">
        <v>11</v>
      </c>
      <c r="T34" s="115" t="s">
        <v>3878</v>
      </c>
      <c r="U34" s="139" t="s">
        <v>7</v>
      </c>
      <c r="V34" s="139" t="s">
        <v>1915</v>
      </c>
      <c r="W34" s="139" t="s">
        <v>1922</v>
      </c>
      <c r="X34" s="139" t="s">
        <v>2843</v>
      </c>
      <c r="Y34" s="112" t="s">
        <v>4</v>
      </c>
      <c r="Z34" s="112" t="s">
        <v>2053</v>
      </c>
      <c r="AA34" s="139" t="s">
        <v>2843</v>
      </c>
      <c r="AF34" s="119"/>
    </row>
    <row r="35" spans="1:32" ht="17.25" customHeight="1">
      <c r="A35" s="69">
        <f>IF(priority(Main[[#This Row],[Comments]])&lt;&gt;0, priority(Main[[#This Row],[Comments]]),"")</f>
        <v>11</v>
      </c>
      <c r="B35" s="63" t="s">
        <v>2639</v>
      </c>
      <c r="C35" s="148" t="s">
        <v>72</v>
      </c>
      <c r="D35" s="113" t="s">
        <v>3804</v>
      </c>
      <c r="E35" s="129">
        <v>40843.078125</v>
      </c>
      <c r="F35" s="129">
        <v>41122</v>
      </c>
      <c r="G35" s="69">
        <f>IF(stdProdLT(Main[[#This Row],[Comments]])=0.1,"N/A",IF(stdProdLT(Main[[#This Row],[Comments]])=0,"",stdProdLT(Main[[#This Row],[Comments]])))</f>
        <v>196</v>
      </c>
      <c r="H35" s="138">
        <f>IF(Main[[#This Row],[In Stock Date]]="N/A", "N/A",IF(AND(Main[[#This Row],[In Stock Date]]&lt;&gt;"",Main[[#This Row],[Revised Due Date]]&lt;&gt;"",Main[[#This Row],[In Stock Date]]&lt;&gt;""),Main[[#This Row],[In Stock Date]]-Main[[#This Row],[Revised Due Date]],""))</f>
        <v>138</v>
      </c>
      <c r="I35" s="139" t="s">
        <v>2624</v>
      </c>
      <c r="J35" s="139" t="s">
        <v>28</v>
      </c>
      <c r="K35" s="139" t="s">
        <v>1927</v>
      </c>
      <c r="L35" s="129">
        <v>40849</v>
      </c>
      <c r="M35" s="114">
        <f>IF(Main[[#This Row],[Tech Start Date]]&lt;1/1/1990,"",IF(Main[[#This Row],[Class]]="C",WORKDAY(Main[[#This Row],[Tech Start Date]],9),IF(Main[[#This Row],[Class]]="B", WORKDAY(Main[[#This Row],[Tech Start Date]],6),IF(Main[[#This Row],[Class]]="A",WORKDAY(Main[[#This Row],[Tech Start Date]],2),""))))</f>
        <v>40862</v>
      </c>
      <c r="N35" s="114">
        <f>IF(Main[[#This Row],[Tech Start Date]]&lt;1/1/1990,"",IF(Main[[#This Row],[Class]]="C",WORKDAY(Main[[#This Row],[Tech Start Date]],19),IF(Main[[#This Row],[Class]]="B", WORKDAY(Main[[#This Row],[Tech Start Date]],12),IF(Main[[#This Row],[Class]]="A",WORKDAY(Main[[#This Row],[Tech Start Date]],4),""))))</f>
        <v>40876</v>
      </c>
      <c r="O35" s="114">
        <f>IF(Main[[#This Row],[Tech Start Date]]&lt;1/1/1990,"",IF(Main[[#This Row],[Class]]="C",WORKDAY(Main[[#This Row],[Tech Start Date]],23),IF(Main[[#This Row],[Class]]="B", WORKDAY(Main[[#This Row],[Tech Start Date]],15),IF(Main[[#This Row],[Class]]="A",WORKDAY(Main[[#This Row],[Tech Start Date]],5),""))))</f>
        <v>40882</v>
      </c>
      <c r="P35" s="114">
        <f>IF(Main[[#This Row],[Tech Start Date]]&lt;1/1/1990,"",IF(Main[[#This Row],[Class]]="C",WORKDAY(Main[[#This Row],[Tech Start Date]],28),IF(Main[[#This Row],[Class]]="B", WORKDAY(Main[[#This Row],[Tech Start Date]],19),IF(Main[[#This Row],[Class]]="A",WORKDAY(Main[[#This Row],[Tech Start Date]],9),""))))</f>
        <v>40889</v>
      </c>
      <c r="Q35" s="129">
        <v>41122</v>
      </c>
      <c r="R35" s="129">
        <v>40984</v>
      </c>
      <c r="S35" s="139" t="s">
        <v>11</v>
      </c>
      <c r="T35" s="115" t="s">
        <v>3805</v>
      </c>
      <c r="U35" s="139" t="s">
        <v>29</v>
      </c>
      <c r="V35" s="139" t="s">
        <v>1915</v>
      </c>
      <c r="W35" s="139" t="s">
        <v>1922</v>
      </c>
      <c r="X35" s="139" t="s">
        <v>2847</v>
      </c>
      <c r="Y35" s="112" t="s">
        <v>2978</v>
      </c>
      <c r="Z35" s="112" t="s">
        <v>2053</v>
      </c>
      <c r="AA35" s="139" t="s">
        <v>2847</v>
      </c>
    </row>
    <row r="36" spans="1:32" ht="17.25" customHeight="1">
      <c r="A36" s="69">
        <f>IF(priority(Main[[#This Row],[Comments]])&lt;&gt;0, priority(Main[[#This Row],[Comments]]),"")</f>
        <v>11</v>
      </c>
      <c r="B36" s="63" t="s">
        <v>3265</v>
      </c>
      <c r="C36" s="148" t="s">
        <v>3266</v>
      </c>
      <c r="D36" s="62" t="s">
        <v>3560</v>
      </c>
      <c r="E36" s="129">
        <v>40934.412314814814</v>
      </c>
      <c r="F36" s="129">
        <v>41091</v>
      </c>
      <c r="G36" s="69">
        <f>IF(stdProdLT(Main[[#This Row],[Comments]])=0.1,"N/A",IF(stdProdLT(Main[[#This Row],[Comments]])=0,"",stdProdLT(Main[[#This Row],[Comments]])))</f>
        <v>126</v>
      </c>
      <c r="H36" s="138">
        <f>IF(Main[[#This Row],[In Stock Date]]="N/A", "N/A",IF(AND(Main[[#This Row],[In Stock Date]]&lt;&gt;"",Main[[#This Row],[Revised Due Date]]&lt;&gt;"",Main[[#This Row],[In Stock Date]]&lt;&gt;""),Main[[#This Row],[In Stock Date]]-Main[[#This Row],[Revised Due Date]],""))</f>
        <v>116</v>
      </c>
      <c r="I36" s="139" t="s">
        <v>912</v>
      </c>
      <c r="J36" s="139" t="s">
        <v>52</v>
      </c>
      <c r="K36" s="139" t="s">
        <v>1921</v>
      </c>
      <c r="L36" s="129">
        <v>40934</v>
      </c>
      <c r="M36" s="114">
        <f>IF(Main[[#This Row],[Tech Start Date]]&lt;1/1/1990,"",IF(Main[[#This Row],[Class]]="C",WORKDAY(Main[[#This Row],[Tech Start Date]],9),IF(Main[[#This Row],[Class]]="B", WORKDAY(Main[[#This Row],[Tech Start Date]],6),IF(Main[[#This Row],[Class]]="A",WORKDAY(Main[[#This Row],[Tech Start Date]],2),""))))</f>
        <v>40942</v>
      </c>
      <c r="N36" s="114">
        <f>IF(Main[[#This Row],[Tech Start Date]]&lt;1/1/1990,"",IF(Main[[#This Row],[Class]]="C",WORKDAY(Main[[#This Row],[Tech Start Date]],19),IF(Main[[#This Row],[Class]]="B", WORKDAY(Main[[#This Row],[Tech Start Date]],12),IF(Main[[#This Row],[Class]]="A",WORKDAY(Main[[#This Row],[Tech Start Date]],4),""))))</f>
        <v>40952</v>
      </c>
      <c r="O36" s="114">
        <f>IF(Main[[#This Row],[Tech Start Date]]&lt;1/1/1990,"",IF(Main[[#This Row],[Class]]="C",WORKDAY(Main[[#This Row],[Tech Start Date]],23),IF(Main[[#This Row],[Class]]="B", WORKDAY(Main[[#This Row],[Tech Start Date]],15),IF(Main[[#This Row],[Class]]="A",WORKDAY(Main[[#This Row],[Tech Start Date]],5),""))))</f>
        <v>40955</v>
      </c>
      <c r="P36" s="114">
        <f>IF(Main[[#This Row],[Tech Start Date]]&lt;1/1/1990,"",IF(Main[[#This Row],[Class]]="C",WORKDAY(Main[[#This Row],[Tech Start Date]],28),IF(Main[[#This Row],[Class]]="B", WORKDAY(Main[[#This Row],[Tech Start Date]],19),IF(Main[[#This Row],[Class]]="A",WORKDAY(Main[[#This Row],[Tech Start Date]],9),""))))</f>
        <v>40961</v>
      </c>
      <c r="Q36" s="129"/>
      <c r="R36" s="129">
        <v>40975</v>
      </c>
      <c r="S36" s="139" t="s">
        <v>11</v>
      </c>
      <c r="T36" s="115" t="s">
        <v>3835</v>
      </c>
      <c r="U36" s="139" t="s">
        <v>29</v>
      </c>
      <c r="V36" s="139" t="s">
        <v>1914</v>
      </c>
      <c r="W36" s="139" t="s">
        <v>1922</v>
      </c>
      <c r="X36" s="139" t="s">
        <v>50</v>
      </c>
      <c r="Y36" s="112" t="s">
        <v>3158</v>
      </c>
      <c r="Z36" s="112" t="s">
        <v>129</v>
      </c>
      <c r="AA36" s="139" t="s">
        <v>3463</v>
      </c>
    </row>
    <row r="37" spans="1:32" ht="17.25" customHeight="1">
      <c r="A37" s="69">
        <f>IF(priority(Main[[#This Row],[Comments]])&lt;&gt;0, priority(Main[[#This Row],[Comments]]),"")</f>
        <v>11</v>
      </c>
      <c r="B37" s="63" t="s">
        <v>3563</v>
      </c>
      <c r="C37" s="148" t="s">
        <v>2210</v>
      </c>
      <c r="D37" s="113" t="s">
        <v>3844</v>
      </c>
      <c r="E37" s="129">
        <v>40946.395277777781</v>
      </c>
      <c r="F37" s="129">
        <v>40984</v>
      </c>
      <c r="G37" s="69" t="str">
        <f>IF(stdProdLT(Main[[#This Row],[Comments]])=0.1,"N/A",IF(stdProdLT(Main[[#This Row],[Comments]])=0,"",stdProdLT(Main[[#This Row],[Comments]])))</f>
        <v/>
      </c>
      <c r="H37" s="138">
        <f>IF(Main[[#This Row],[In Stock Date]]="N/A", "N/A",IF(AND(Main[[#This Row],[In Stock Date]]&lt;&gt;"",Main[[#This Row],[Revised Due Date]]&lt;&gt;"",Main[[#This Row],[In Stock Date]]&lt;&gt;""),Main[[#This Row],[In Stock Date]]-Main[[#This Row],[Revised Due Date]],""))</f>
        <v>11</v>
      </c>
      <c r="I37" s="139" t="s">
        <v>2249</v>
      </c>
      <c r="J37" s="139" t="s">
        <v>28</v>
      </c>
      <c r="K37" s="139" t="s">
        <v>1923</v>
      </c>
      <c r="L37" s="129">
        <v>40946</v>
      </c>
      <c r="M37" s="114">
        <f>IF(Main[[#This Row],[Tech Start Date]]&lt;1/1/1990,"",IF(Main[[#This Row],[Class]]="C",WORKDAY(Main[[#This Row],[Tech Start Date]],9),IF(Main[[#This Row],[Class]]="B", WORKDAY(Main[[#This Row],[Tech Start Date]],6),IF(Main[[#This Row],[Class]]="A",WORKDAY(Main[[#This Row],[Tech Start Date]],2),""))))</f>
        <v>40948</v>
      </c>
      <c r="N37" s="114">
        <f>IF(Main[[#This Row],[Tech Start Date]]&lt;1/1/1990,"",IF(Main[[#This Row],[Class]]="C",WORKDAY(Main[[#This Row],[Tech Start Date]],19),IF(Main[[#This Row],[Class]]="B", WORKDAY(Main[[#This Row],[Tech Start Date]],12),IF(Main[[#This Row],[Class]]="A",WORKDAY(Main[[#This Row],[Tech Start Date]],4),""))))</f>
        <v>40952</v>
      </c>
      <c r="O37" s="114">
        <f>IF(Main[[#This Row],[Tech Start Date]]&lt;1/1/1990,"",IF(Main[[#This Row],[Class]]="C",WORKDAY(Main[[#This Row],[Tech Start Date]],23),IF(Main[[#This Row],[Class]]="B", WORKDAY(Main[[#This Row],[Tech Start Date]],15),IF(Main[[#This Row],[Class]]="A",WORKDAY(Main[[#This Row],[Tech Start Date]],5),""))))</f>
        <v>40953</v>
      </c>
      <c r="P37" s="114">
        <f>IF(Main[[#This Row],[Tech Start Date]]&lt;1/1/1990,"",IF(Main[[#This Row],[Class]]="C",WORKDAY(Main[[#This Row],[Tech Start Date]],28),IF(Main[[#This Row],[Class]]="B", WORKDAY(Main[[#This Row],[Tech Start Date]],19),IF(Main[[#This Row],[Class]]="A",WORKDAY(Main[[#This Row],[Tech Start Date]],9),""))))</f>
        <v>40959</v>
      </c>
      <c r="Q37" s="129">
        <v>40984</v>
      </c>
      <c r="R37" s="129">
        <v>40973</v>
      </c>
      <c r="S37" s="139" t="s">
        <v>11</v>
      </c>
      <c r="T37" s="115" t="s">
        <v>3845</v>
      </c>
      <c r="U37" s="139" t="s">
        <v>29</v>
      </c>
      <c r="V37" s="139" t="s">
        <v>1915</v>
      </c>
      <c r="W37" s="139" t="s">
        <v>1919</v>
      </c>
      <c r="X37" s="139" t="s">
        <v>2816</v>
      </c>
      <c r="Y37" s="112" t="s">
        <v>4</v>
      </c>
      <c r="Z37" s="112" t="s">
        <v>2053</v>
      </c>
      <c r="AA37" s="139" t="s">
        <v>2816</v>
      </c>
    </row>
    <row r="38" spans="1:32" ht="17.25" customHeight="1">
      <c r="A38" s="69">
        <f>IF(priority(Main[[#This Row],[Comments]])&lt;&gt;0, priority(Main[[#This Row],[Comments]]),"")</f>
        <v>12</v>
      </c>
      <c r="B38" s="63" t="s">
        <v>2775</v>
      </c>
      <c r="C38" s="148" t="s">
        <v>2776</v>
      </c>
      <c r="D38" s="113" t="s">
        <v>3288</v>
      </c>
      <c r="E38" s="129"/>
      <c r="F38" s="129"/>
      <c r="G38" s="69" t="str">
        <f>IF(stdProdLT(Main[[#This Row],[Comments]])=0.1,"N/A",IF(stdProdLT(Main[[#This Row],[Comments]])=0,"",stdProdLT(Main[[#This Row],[Comments]])))</f>
        <v>N/A</v>
      </c>
      <c r="H38" s="138" t="str">
        <f>IF(Main[[#This Row],[In Stock Date]]="N/A", "N/A",IF(AND(Main[[#This Row],[In Stock Date]]&lt;&gt;"",Main[[#This Row],[Revised Due Date]]&lt;&gt;"",Main[[#This Row],[In Stock Date]]&lt;&gt;""),Main[[#This Row],[In Stock Date]]-Main[[#This Row],[Revised Due Date]],""))</f>
        <v/>
      </c>
      <c r="I38" s="139" t="s">
        <v>4</v>
      </c>
      <c r="J38" s="139" t="s">
        <v>4</v>
      </c>
      <c r="K38" s="139" t="s">
        <v>4</v>
      </c>
      <c r="L38" s="129"/>
      <c r="M38" s="114" t="str">
        <f>IF(Main[[#This Row],[Tech Start Date]]&lt;1/1/1990,"",IF(Main[[#This Row],[Class]]="C",WORKDAY(Main[[#This Row],[Tech Start Date]],9),IF(Main[[#This Row],[Class]]="B", WORKDAY(Main[[#This Row],[Tech Start Date]],6),IF(Main[[#This Row],[Class]]="A",WORKDAY(Main[[#This Row],[Tech Start Date]],2),""))))</f>
        <v/>
      </c>
      <c r="N38" s="114" t="str">
        <f>IF(Main[[#This Row],[Tech Start Date]]&lt;1/1/1990,"",IF(Main[[#This Row],[Class]]="C",WORKDAY(Main[[#This Row],[Tech Start Date]],19),IF(Main[[#This Row],[Class]]="B", WORKDAY(Main[[#This Row],[Tech Start Date]],12),IF(Main[[#This Row],[Class]]="A",WORKDAY(Main[[#This Row],[Tech Start Date]],4),""))))</f>
        <v/>
      </c>
      <c r="O38" s="114" t="str">
        <f>IF(Main[[#This Row],[Tech Start Date]]&lt;1/1/1990,"",IF(Main[[#This Row],[Class]]="C",WORKDAY(Main[[#This Row],[Tech Start Date]],23),IF(Main[[#This Row],[Class]]="B", WORKDAY(Main[[#This Row],[Tech Start Date]],15),IF(Main[[#This Row],[Class]]="A",WORKDAY(Main[[#This Row],[Tech Start Date]],5),""))))</f>
        <v/>
      </c>
      <c r="P38" s="114" t="str">
        <f>IF(Main[[#This Row],[Tech Start Date]]&lt;1/1/1990,"",IF(Main[[#This Row],[Class]]="C",WORKDAY(Main[[#This Row],[Tech Start Date]],28),IF(Main[[#This Row],[Class]]="B", WORKDAY(Main[[#This Row],[Tech Start Date]],19),IF(Main[[#This Row],[Class]]="A",WORKDAY(Main[[#This Row],[Tech Start Date]],9),""))))</f>
        <v/>
      </c>
      <c r="Q38" s="129">
        <v>40903</v>
      </c>
      <c r="R38" s="129"/>
      <c r="S38" s="139" t="s">
        <v>11</v>
      </c>
      <c r="T38" s="115" t="s">
        <v>3289</v>
      </c>
      <c r="U38" s="139" t="s">
        <v>14</v>
      </c>
      <c r="V38" s="139" t="s">
        <v>1915</v>
      </c>
      <c r="W38" s="139" t="s">
        <v>1916</v>
      </c>
      <c r="X38" s="139" t="s">
        <v>2816</v>
      </c>
      <c r="Y38" s="112" t="s">
        <v>4</v>
      </c>
      <c r="Z38" s="112" t="s">
        <v>4</v>
      </c>
      <c r="AA38" s="139" t="s">
        <v>2816</v>
      </c>
    </row>
    <row r="39" spans="1:32" ht="17.25" customHeight="1">
      <c r="A39" s="69">
        <f>IF(priority(Main[[#This Row],[Comments]])&lt;&gt;0, priority(Main[[#This Row],[Comments]]),"")</f>
        <v>12</v>
      </c>
      <c r="B39" s="63" t="s">
        <v>3193</v>
      </c>
      <c r="C39" s="148" t="s">
        <v>3194</v>
      </c>
      <c r="D39" s="62" t="s">
        <v>3369</v>
      </c>
      <c r="E39" s="129">
        <v>40920.45616898148</v>
      </c>
      <c r="F39" s="129">
        <v>41105</v>
      </c>
      <c r="G39" s="69">
        <f>IF(stdProdLT(Main[[#This Row],[Comments]])=0.1,"N/A",IF(stdProdLT(Main[[#This Row],[Comments]])=0,"",stdProdLT(Main[[#This Row],[Comments]])))</f>
        <v>126</v>
      </c>
      <c r="H39" s="138">
        <f>IF(Main[[#This Row],[In Stock Date]]="N/A", "N/A",IF(AND(Main[[#This Row],[In Stock Date]]&lt;&gt;"",Main[[#This Row],[Revised Due Date]]&lt;&gt;"",Main[[#This Row],[In Stock Date]]&lt;&gt;""),Main[[#This Row],[In Stock Date]]-Main[[#This Row],[Revised Due Date]],""))</f>
        <v>130</v>
      </c>
      <c r="I39" s="139" t="s">
        <v>912</v>
      </c>
      <c r="J39" s="139" t="s">
        <v>52</v>
      </c>
      <c r="K39" s="139" t="s">
        <v>1921</v>
      </c>
      <c r="L39" s="129">
        <v>40924</v>
      </c>
      <c r="M39" s="114">
        <f>IF(Main[[#This Row],[Tech Start Date]]&lt;1/1/1990,"",IF(Main[[#This Row],[Class]]="C",WORKDAY(Main[[#This Row],[Tech Start Date]],9),IF(Main[[#This Row],[Class]]="B", WORKDAY(Main[[#This Row],[Tech Start Date]],6),IF(Main[[#This Row],[Class]]="A",WORKDAY(Main[[#This Row],[Tech Start Date]],2),""))))</f>
        <v>40932</v>
      </c>
      <c r="N39" s="114">
        <f>IF(Main[[#This Row],[Tech Start Date]]&lt;1/1/1990,"",IF(Main[[#This Row],[Class]]="C",WORKDAY(Main[[#This Row],[Tech Start Date]],19),IF(Main[[#This Row],[Class]]="B", WORKDAY(Main[[#This Row],[Tech Start Date]],12),IF(Main[[#This Row],[Class]]="A",WORKDAY(Main[[#This Row],[Tech Start Date]],4),""))))</f>
        <v>40940</v>
      </c>
      <c r="O39" s="114">
        <f>IF(Main[[#This Row],[Tech Start Date]]&lt;1/1/1990,"",IF(Main[[#This Row],[Class]]="C",WORKDAY(Main[[#This Row],[Tech Start Date]],23),IF(Main[[#This Row],[Class]]="B", WORKDAY(Main[[#This Row],[Tech Start Date]],15),IF(Main[[#This Row],[Class]]="A",WORKDAY(Main[[#This Row],[Tech Start Date]],5),""))))</f>
        <v>40945</v>
      </c>
      <c r="P39" s="114">
        <f>IF(Main[[#This Row],[Tech Start Date]]&lt;1/1/1990,"",IF(Main[[#This Row],[Class]]="C",WORKDAY(Main[[#This Row],[Tech Start Date]],28),IF(Main[[#This Row],[Class]]="B", WORKDAY(Main[[#This Row],[Tech Start Date]],19),IF(Main[[#This Row],[Class]]="A",WORKDAY(Main[[#This Row],[Tech Start Date]],9),""))))</f>
        <v>40949</v>
      </c>
      <c r="Q39" s="129">
        <v>41105</v>
      </c>
      <c r="R39" s="129">
        <v>40975</v>
      </c>
      <c r="S39" s="139" t="s">
        <v>11</v>
      </c>
      <c r="T39" s="115" t="s">
        <v>3823</v>
      </c>
      <c r="U39" s="139" t="s">
        <v>29</v>
      </c>
      <c r="V39" s="139" t="s">
        <v>1914</v>
      </c>
      <c r="W39" s="139" t="s">
        <v>1920</v>
      </c>
      <c r="X39" s="139" t="s">
        <v>2852</v>
      </c>
      <c r="Y39" s="112" t="s">
        <v>2990</v>
      </c>
      <c r="Z39" s="112" t="s">
        <v>129</v>
      </c>
      <c r="AA39" s="139" t="s">
        <v>2852</v>
      </c>
    </row>
    <row r="40" spans="1:32" ht="17.25" customHeight="1">
      <c r="A40" s="69">
        <f>IF(priority(Main[[#This Row],[Comments]])&lt;&gt;0, priority(Main[[#This Row],[Comments]]),"")</f>
        <v>12</v>
      </c>
      <c r="B40" s="63" t="s">
        <v>3203</v>
      </c>
      <c r="C40" s="148" t="s">
        <v>3211</v>
      </c>
      <c r="D40" s="113" t="s">
        <v>3821</v>
      </c>
      <c r="E40" s="129">
        <v>40921.041666666664</v>
      </c>
      <c r="F40" s="129">
        <v>41122</v>
      </c>
      <c r="G40" s="69">
        <f>IF(stdProdLT(Main[[#This Row],[Comments]])=0.1,"N/A",IF(stdProdLT(Main[[#This Row],[Comments]])=0,"",stdProdLT(Main[[#This Row],[Comments]])))</f>
        <v>168</v>
      </c>
      <c r="H40" s="138">
        <f>IF(Main[[#This Row],[In Stock Date]]="N/A", "N/A",IF(AND(Main[[#This Row],[In Stock Date]]&lt;&gt;"",Main[[#This Row],[Revised Due Date]]&lt;&gt;"",Main[[#This Row],[In Stock Date]]&lt;&gt;""),Main[[#This Row],[In Stock Date]]-Main[[#This Row],[Revised Due Date]],""))</f>
        <v>159</v>
      </c>
      <c r="I40" s="139" t="s">
        <v>102</v>
      </c>
      <c r="J40" s="139" t="s">
        <v>51</v>
      </c>
      <c r="K40" s="139" t="s">
        <v>1927</v>
      </c>
      <c r="L40" s="129">
        <v>40924</v>
      </c>
      <c r="M40" s="114">
        <f>IF(Main[[#This Row],[Tech Start Date]]&lt;1/1/1990,"",IF(Main[[#This Row],[Class]]="C",WORKDAY(Main[[#This Row],[Tech Start Date]],9),IF(Main[[#This Row],[Class]]="B", WORKDAY(Main[[#This Row],[Tech Start Date]],6),IF(Main[[#This Row],[Class]]="A",WORKDAY(Main[[#This Row],[Tech Start Date]],2),""))))</f>
        <v>40935</v>
      </c>
      <c r="N40" s="114">
        <f>IF(Main[[#This Row],[Tech Start Date]]&lt;1/1/1990,"",IF(Main[[#This Row],[Class]]="C",WORKDAY(Main[[#This Row],[Tech Start Date]],19),IF(Main[[#This Row],[Class]]="B", WORKDAY(Main[[#This Row],[Tech Start Date]],12),IF(Main[[#This Row],[Class]]="A",WORKDAY(Main[[#This Row],[Tech Start Date]],4),""))))</f>
        <v>40949</v>
      </c>
      <c r="O40" s="114">
        <f>IF(Main[[#This Row],[Tech Start Date]]&lt;1/1/1990,"",IF(Main[[#This Row],[Class]]="C",WORKDAY(Main[[#This Row],[Tech Start Date]],23),IF(Main[[#This Row],[Class]]="B", WORKDAY(Main[[#This Row],[Tech Start Date]],15),IF(Main[[#This Row],[Class]]="A",WORKDAY(Main[[#This Row],[Tech Start Date]],5),""))))</f>
        <v>40955</v>
      </c>
      <c r="P40" s="114">
        <f>IF(Main[[#This Row],[Tech Start Date]]&lt;1/1/1990,"",IF(Main[[#This Row],[Class]]="C",WORKDAY(Main[[#This Row],[Tech Start Date]],28),IF(Main[[#This Row],[Class]]="B", WORKDAY(Main[[#This Row],[Tech Start Date]],19),IF(Main[[#This Row],[Class]]="A",WORKDAY(Main[[#This Row],[Tech Start Date]],9),""))))</f>
        <v>40962</v>
      </c>
      <c r="Q40" s="129">
        <v>40953</v>
      </c>
      <c r="R40" s="129">
        <v>40963</v>
      </c>
      <c r="S40" s="139" t="s">
        <v>11</v>
      </c>
      <c r="T40" s="115" t="s">
        <v>3822</v>
      </c>
      <c r="U40" s="139" t="s">
        <v>29</v>
      </c>
      <c r="V40" s="139" t="s">
        <v>1917</v>
      </c>
      <c r="W40" s="139" t="s">
        <v>1920</v>
      </c>
      <c r="X40" s="139" t="s">
        <v>2848</v>
      </c>
      <c r="Y40" s="112" t="s">
        <v>2979</v>
      </c>
      <c r="Z40" s="112" t="s">
        <v>306</v>
      </c>
      <c r="AA40" s="139" t="s">
        <v>2848</v>
      </c>
    </row>
    <row r="41" spans="1:32" ht="17.25" customHeight="1">
      <c r="A41" s="69">
        <f>IF(priority(Main[[#This Row],[Comments]])&lt;&gt;0, priority(Main[[#This Row],[Comments]]),"")</f>
        <v>12.1</v>
      </c>
      <c r="B41" s="63" t="s">
        <v>3290</v>
      </c>
      <c r="C41" s="148" t="s">
        <v>3260</v>
      </c>
      <c r="D41" s="113" t="s">
        <v>3291</v>
      </c>
      <c r="E41" s="129"/>
      <c r="F41" s="129">
        <v>41091</v>
      </c>
      <c r="G41" s="69" t="str">
        <f>IF(stdProdLT(Main[[#This Row],[Comments]])=0.1,"N/A",IF(stdProdLT(Main[[#This Row],[Comments]])=0,"",stdProdLT(Main[[#This Row],[Comments]])))</f>
        <v>N/A</v>
      </c>
      <c r="H41" s="138" t="str">
        <f>IF(Main[[#This Row],[In Stock Date]]="N/A", "N/A",IF(AND(Main[[#This Row],[In Stock Date]]&lt;&gt;"",Main[[#This Row],[Revised Due Date]]&lt;&gt;"",Main[[#This Row],[In Stock Date]]&lt;&gt;""),Main[[#This Row],[In Stock Date]]-Main[[#This Row],[Revised Due Date]],""))</f>
        <v/>
      </c>
      <c r="I41" s="139" t="s">
        <v>4</v>
      </c>
      <c r="J41" s="139" t="s">
        <v>4</v>
      </c>
      <c r="K41" s="139" t="s">
        <v>4</v>
      </c>
      <c r="L41" s="129"/>
      <c r="M41" s="114" t="str">
        <f>IF(Main[[#This Row],[Tech Start Date]]&lt;1/1/1990,"",IF(Main[[#This Row],[Class]]="C",WORKDAY(Main[[#This Row],[Tech Start Date]],9),IF(Main[[#This Row],[Class]]="B", WORKDAY(Main[[#This Row],[Tech Start Date]],6),IF(Main[[#This Row],[Class]]="A",WORKDAY(Main[[#This Row],[Tech Start Date]],2),""))))</f>
        <v/>
      </c>
      <c r="N41" s="114" t="str">
        <f>IF(Main[[#This Row],[Tech Start Date]]&lt;1/1/1990,"",IF(Main[[#This Row],[Class]]="C",WORKDAY(Main[[#This Row],[Tech Start Date]],19),IF(Main[[#This Row],[Class]]="B", WORKDAY(Main[[#This Row],[Tech Start Date]],12),IF(Main[[#This Row],[Class]]="A",WORKDAY(Main[[#This Row],[Tech Start Date]],4),""))))</f>
        <v/>
      </c>
      <c r="O41" s="114" t="str">
        <f>IF(Main[[#This Row],[Tech Start Date]]&lt;1/1/1990,"",IF(Main[[#This Row],[Class]]="C",WORKDAY(Main[[#This Row],[Tech Start Date]],23),IF(Main[[#This Row],[Class]]="B", WORKDAY(Main[[#This Row],[Tech Start Date]],15),IF(Main[[#This Row],[Class]]="A",WORKDAY(Main[[#This Row],[Tech Start Date]],5),""))))</f>
        <v/>
      </c>
      <c r="P41" s="114" t="str">
        <f>IF(Main[[#This Row],[Tech Start Date]]&lt;1/1/1990,"",IF(Main[[#This Row],[Class]]="C",WORKDAY(Main[[#This Row],[Tech Start Date]],28),IF(Main[[#This Row],[Class]]="B", WORKDAY(Main[[#This Row],[Tech Start Date]],19),IF(Main[[#This Row],[Class]]="A",WORKDAY(Main[[#This Row],[Tech Start Date]],9),""))))</f>
        <v/>
      </c>
      <c r="Q41" s="129">
        <v>40945</v>
      </c>
      <c r="R41" s="129"/>
      <c r="S41" s="139" t="s">
        <v>11</v>
      </c>
      <c r="T41" s="115" t="s">
        <v>3292</v>
      </c>
      <c r="U41" s="139" t="s">
        <v>14</v>
      </c>
      <c r="V41" s="139" t="s">
        <v>1924</v>
      </c>
      <c r="W41" s="139" t="s">
        <v>1922</v>
      </c>
      <c r="X41" s="139" t="s">
        <v>2829</v>
      </c>
      <c r="Y41" s="112" t="s">
        <v>2951</v>
      </c>
      <c r="Z41" s="112" t="s">
        <v>4</v>
      </c>
      <c r="AA41" s="139" t="s">
        <v>2829</v>
      </c>
    </row>
    <row r="42" spans="1:32" ht="17.25" customHeight="1">
      <c r="A42" s="69">
        <f>IF(priority(Main[[#This Row],[Comments]])&lt;&gt;0, priority(Main[[#This Row],[Comments]]),"")</f>
        <v>12.5</v>
      </c>
      <c r="B42" s="63" t="s">
        <v>3924</v>
      </c>
      <c r="C42" s="148" t="s">
        <v>72</v>
      </c>
      <c r="D42" s="113" t="s">
        <v>3925</v>
      </c>
      <c r="E42" s="129">
        <v>40961.058425925927</v>
      </c>
      <c r="F42" s="129">
        <v>40996</v>
      </c>
      <c r="G42" s="69" t="str">
        <f>IF(stdProdLT(Main[[#This Row],[Comments]])=0.1,"N/A",IF(stdProdLT(Main[[#This Row],[Comments]])=0,"",stdProdLT(Main[[#This Row],[Comments]])))</f>
        <v>N/A</v>
      </c>
      <c r="H42" s="138">
        <f>IF(Main[[#This Row],[In Stock Date]]="N/A", "N/A",IF(AND(Main[[#This Row],[In Stock Date]]&lt;&gt;"",Main[[#This Row],[Revised Due Date]]&lt;&gt;"",Main[[#This Row],[In Stock Date]]&lt;&gt;""),Main[[#This Row],[In Stock Date]]-Main[[#This Row],[Revised Due Date]],""))</f>
        <v>14</v>
      </c>
      <c r="I42" s="139" t="s">
        <v>530</v>
      </c>
      <c r="J42" s="139" t="s">
        <v>21</v>
      </c>
      <c r="K42" s="139" t="s">
        <v>1923</v>
      </c>
      <c r="L42" s="129">
        <v>40967</v>
      </c>
      <c r="M42" s="114">
        <f>IF(Main[[#This Row],[Tech Start Date]]&lt;1/1/1990,"",IF(Main[[#This Row],[Class]]="C",WORKDAY(Main[[#This Row],[Tech Start Date]],9),IF(Main[[#This Row],[Class]]="B", WORKDAY(Main[[#This Row],[Tech Start Date]],6),IF(Main[[#This Row],[Class]]="A",WORKDAY(Main[[#This Row],[Tech Start Date]],2),""))))</f>
        <v>40969</v>
      </c>
      <c r="N42" s="114">
        <f>IF(Main[[#This Row],[Tech Start Date]]&lt;1/1/1990,"",IF(Main[[#This Row],[Class]]="C",WORKDAY(Main[[#This Row],[Tech Start Date]],19),IF(Main[[#This Row],[Class]]="B", WORKDAY(Main[[#This Row],[Tech Start Date]],12),IF(Main[[#This Row],[Class]]="A",WORKDAY(Main[[#This Row],[Tech Start Date]],4),""))))</f>
        <v>40973</v>
      </c>
      <c r="O42" s="114">
        <f>IF(Main[[#This Row],[Tech Start Date]]&lt;1/1/1990,"",IF(Main[[#This Row],[Class]]="C",WORKDAY(Main[[#This Row],[Tech Start Date]],23),IF(Main[[#This Row],[Class]]="B", WORKDAY(Main[[#This Row],[Tech Start Date]],15),IF(Main[[#This Row],[Class]]="A",WORKDAY(Main[[#This Row],[Tech Start Date]],5),""))))</f>
        <v>40974</v>
      </c>
      <c r="P42" s="114">
        <f>IF(Main[[#This Row],[Tech Start Date]]&lt;1/1/1990,"",IF(Main[[#This Row],[Class]]="C",WORKDAY(Main[[#This Row],[Tech Start Date]],28),IF(Main[[#This Row],[Class]]="B", WORKDAY(Main[[#This Row],[Tech Start Date]],19),IF(Main[[#This Row],[Class]]="A",WORKDAY(Main[[#This Row],[Tech Start Date]],9),""))))</f>
        <v>40980</v>
      </c>
      <c r="Q42" s="129">
        <v>40814</v>
      </c>
      <c r="R42" s="129">
        <v>40982</v>
      </c>
      <c r="S42" s="139" t="s">
        <v>11</v>
      </c>
      <c r="T42" s="115" t="s">
        <v>3969</v>
      </c>
      <c r="U42" s="139" t="s">
        <v>29</v>
      </c>
      <c r="V42" s="139" t="s">
        <v>1917</v>
      </c>
      <c r="W42" s="139" t="s">
        <v>1922</v>
      </c>
      <c r="X42" s="139" t="s">
        <v>2864</v>
      </c>
      <c r="Y42" s="112" t="s">
        <v>4</v>
      </c>
      <c r="Z42" s="112" t="s">
        <v>530</v>
      </c>
      <c r="AA42" s="139" t="s">
        <v>2864</v>
      </c>
    </row>
    <row r="43" spans="1:32" ht="17.25" customHeight="1">
      <c r="A43" s="69">
        <f>IF(priority(Main[[#This Row],[Comments]])&lt;&gt;0, priority(Main[[#This Row],[Comments]]),"")</f>
        <v>12.6</v>
      </c>
      <c r="B43" s="63" t="s">
        <v>3218</v>
      </c>
      <c r="C43" s="148" t="s">
        <v>137</v>
      </c>
      <c r="D43" s="113" t="s">
        <v>3994</v>
      </c>
      <c r="E43" s="129">
        <v>40967.513715277775</v>
      </c>
      <c r="F43" s="129">
        <v>41008</v>
      </c>
      <c r="G43" s="69">
        <f>IF(stdProdLT(Main[[#This Row],[Comments]])=0.1,"N/A",IF(stdProdLT(Main[[#This Row],[Comments]])=0,"",stdProdLT(Main[[#This Row],[Comments]])))</f>
        <v>84</v>
      </c>
      <c r="H43" s="138">
        <f>IF(Main[[#This Row],[In Stock Date]]="N/A", "N/A",IF(AND(Main[[#This Row],[In Stock Date]]&lt;&gt;"",Main[[#This Row],[Revised Due Date]]&lt;&gt;"",Main[[#This Row],[In Stock Date]]&lt;&gt;""),Main[[#This Row],[In Stock Date]]-Main[[#This Row],[Revised Due Date]],""))</f>
        <v>34</v>
      </c>
      <c r="I43" s="139" t="s">
        <v>69</v>
      </c>
      <c r="J43" s="139" t="s">
        <v>70</v>
      </c>
      <c r="K43" s="139" t="s">
        <v>1923</v>
      </c>
      <c r="L43" s="129">
        <v>40967</v>
      </c>
      <c r="M43" s="114">
        <f>IF(Main[[#This Row],[Tech Start Date]]&lt;1/1/1990,"",IF(Main[[#This Row],[Class]]="C",WORKDAY(Main[[#This Row],[Tech Start Date]],9),IF(Main[[#This Row],[Class]]="B", WORKDAY(Main[[#This Row],[Tech Start Date]],6),IF(Main[[#This Row],[Class]]="A",WORKDAY(Main[[#This Row],[Tech Start Date]],2),""))))</f>
        <v>40969</v>
      </c>
      <c r="N43" s="114">
        <f>IF(Main[[#This Row],[Tech Start Date]]&lt;1/1/1990,"",IF(Main[[#This Row],[Class]]="C",WORKDAY(Main[[#This Row],[Tech Start Date]],19),IF(Main[[#This Row],[Class]]="B", WORKDAY(Main[[#This Row],[Tech Start Date]],12),IF(Main[[#This Row],[Class]]="A",WORKDAY(Main[[#This Row],[Tech Start Date]],4),""))))</f>
        <v>40973</v>
      </c>
      <c r="O43" s="114">
        <f>IF(Main[[#This Row],[Tech Start Date]]&lt;1/1/1990,"",IF(Main[[#This Row],[Class]]="C",WORKDAY(Main[[#This Row],[Tech Start Date]],23),IF(Main[[#This Row],[Class]]="B", WORKDAY(Main[[#This Row],[Tech Start Date]],15),IF(Main[[#This Row],[Class]]="A",WORKDAY(Main[[#This Row],[Tech Start Date]],5),""))))</f>
        <v>40974</v>
      </c>
      <c r="P43" s="114">
        <f>IF(Main[[#This Row],[Tech Start Date]]&lt;1/1/1990,"",IF(Main[[#This Row],[Class]]="C",WORKDAY(Main[[#This Row],[Tech Start Date]],28),IF(Main[[#This Row],[Class]]="B", WORKDAY(Main[[#This Row],[Tech Start Date]],19),IF(Main[[#This Row],[Class]]="A",WORKDAY(Main[[#This Row],[Tech Start Date]],9),""))))</f>
        <v>40980</v>
      </c>
      <c r="Q43" s="129">
        <v>40945</v>
      </c>
      <c r="R43" s="129">
        <v>40974</v>
      </c>
      <c r="S43" s="139" t="s">
        <v>11</v>
      </c>
      <c r="T43" s="115" t="s">
        <v>3970</v>
      </c>
      <c r="U43" s="139" t="s">
        <v>29</v>
      </c>
      <c r="V43" s="139" t="s">
        <v>1924</v>
      </c>
      <c r="W43" s="139" t="s">
        <v>1922</v>
      </c>
      <c r="X43" s="139" t="s">
        <v>2906</v>
      </c>
      <c r="Y43" s="112" t="s">
        <v>3096</v>
      </c>
      <c r="Z43" s="112" t="s">
        <v>530</v>
      </c>
      <c r="AA43" s="139" t="s">
        <v>2906</v>
      </c>
    </row>
    <row r="44" spans="1:32" ht="17.25" customHeight="1">
      <c r="A44" s="69">
        <f>IF(priority(Main[[#This Row],[Comments]])&lt;&gt;0, priority(Main[[#This Row],[Comments]]),"")</f>
        <v>12.7</v>
      </c>
      <c r="B44" s="63" t="s">
        <v>3216</v>
      </c>
      <c r="C44" s="148" t="s">
        <v>137</v>
      </c>
      <c r="D44" s="113" t="s">
        <v>3995</v>
      </c>
      <c r="E44" s="129">
        <v>40960.923657407409</v>
      </c>
      <c r="F44" s="129">
        <v>41008</v>
      </c>
      <c r="G44" s="69">
        <f>IF(stdProdLT(Main[[#This Row],[Comments]])=0.1,"N/A",IF(stdProdLT(Main[[#This Row],[Comments]])=0,"",stdProdLT(Main[[#This Row],[Comments]])))</f>
        <v>84</v>
      </c>
      <c r="H44" s="138">
        <f>IF(Main[[#This Row],[In Stock Date]]="N/A", "N/A",IF(AND(Main[[#This Row],[In Stock Date]]&lt;&gt;"",Main[[#This Row],[Revised Due Date]]&lt;&gt;"",Main[[#This Row],[In Stock Date]]&lt;&gt;""),Main[[#This Row],[In Stock Date]]-Main[[#This Row],[Revised Due Date]],""))</f>
        <v>34</v>
      </c>
      <c r="I44" s="139" t="s">
        <v>69</v>
      </c>
      <c r="J44" s="139" t="s">
        <v>70</v>
      </c>
      <c r="K44" s="139" t="s">
        <v>1923</v>
      </c>
      <c r="L44" s="129">
        <v>40967</v>
      </c>
      <c r="M44" s="114">
        <f>IF(Main[[#This Row],[Tech Start Date]]&lt;1/1/1990,"",IF(Main[[#This Row],[Class]]="C",WORKDAY(Main[[#This Row],[Tech Start Date]],9),IF(Main[[#This Row],[Class]]="B", WORKDAY(Main[[#This Row],[Tech Start Date]],6),IF(Main[[#This Row],[Class]]="A",WORKDAY(Main[[#This Row],[Tech Start Date]],2),""))))</f>
        <v>40969</v>
      </c>
      <c r="N44" s="114">
        <f>IF(Main[[#This Row],[Tech Start Date]]&lt;1/1/1990,"",IF(Main[[#This Row],[Class]]="C",WORKDAY(Main[[#This Row],[Tech Start Date]],19),IF(Main[[#This Row],[Class]]="B", WORKDAY(Main[[#This Row],[Tech Start Date]],12),IF(Main[[#This Row],[Class]]="A",WORKDAY(Main[[#This Row],[Tech Start Date]],4),""))))</f>
        <v>40973</v>
      </c>
      <c r="O44" s="114">
        <f>IF(Main[[#This Row],[Tech Start Date]]&lt;1/1/1990,"",IF(Main[[#This Row],[Class]]="C",WORKDAY(Main[[#This Row],[Tech Start Date]],23),IF(Main[[#This Row],[Class]]="B", WORKDAY(Main[[#This Row],[Tech Start Date]],15),IF(Main[[#This Row],[Class]]="A",WORKDAY(Main[[#This Row],[Tech Start Date]],5),""))))</f>
        <v>40974</v>
      </c>
      <c r="P44" s="114">
        <f>IF(Main[[#This Row],[Tech Start Date]]&lt;1/1/1990,"",IF(Main[[#This Row],[Class]]="C",WORKDAY(Main[[#This Row],[Tech Start Date]],28),IF(Main[[#This Row],[Class]]="B", WORKDAY(Main[[#This Row],[Tech Start Date]],19),IF(Main[[#This Row],[Class]]="A",WORKDAY(Main[[#This Row],[Tech Start Date]],9),""))))</f>
        <v>40980</v>
      </c>
      <c r="Q44" s="129">
        <v>40935</v>
      </c>
      <c r="R44" s="129">
        <v>40974</v>
      </c>
      <c r="S44" s="139" t="s">
        <v>11</v>
      </c>
      <c r="T44" s="115" t="s">
        <v>3971</v>
      </c>
      <c r="U44" s="139" t="s">
        <v>29</v>
      </c>
      <c r="V44" s="139" t="s">
        <v>1924</v>
      </c>
      <c r="W44" s="139" t="s">
        <v>1922</v>
      </c>
      <c r="X44" s="139" t="s">
        <v>2906</v>
      </c>
      <c r="Y44" s="112" t="s">
        <v>3096</v>
      </c>
      <c r="Z44" s="112" t="s">
        <v>530</v>
      </c>
      <c r="AA44" s="139" t="s">
        <v>2906</v>
      </c>
    </row>
    <row r="45" spans="1:32" ht="17.25" customHeight="1">
      <c r="A45" s="69">
        <f>IF(priority(Main[[#This Row],[Comments]])&lt;&gt;0, priority(Main[[#This Row],[Comments]]),"")</f>
        <v>12.8</v>
      </c>
      <c r="B45" s="63" t="s">
        <v>3516</v>
      </c>
      <c r="C45" s="148" t="s">
        <v>3517</v>
      </c>
      <c r="D45" s="113" t="s">
        <v>3903</v>
      </c>
      <c r="E45" s="129">
        <v>40948.638680555552</v>
      </c>
      <c r="F45" s="129">
        <v>41029</v>
      </c>
      <c r="G45" s="69" t="str">
        <f>IF(stdProdLT(Main[[#This Row],[Comments]])=0.1,"N/A",IF(stdProdLT(Main[[#This Row],[Comments]])=0,"",stdProdLT(Main[[#This Row],[Comments]])))</f>
        <v>N/A</v>
      </c>
      <c r="H45" s="138">
        <f>IF(Main[[#This Row],[In Stock Date]]="N/A", "N/A",IF(AND(Main[[#This Row],[In Stock Date]]&lt;&gt;"",Main[[#This Row],[Revised Due Date]]&lt;&gt;"",Main[[#This Row],[In Stock Date]]&lt;&gt;""),Main[[#This Row],[In Stock Date]]-Main[[#This Row],[Revised Due Date]],""))</f>
        <v>55</v>
      </c>
      <c r="I45" s="139" t="s">
        <v>2044</v>
      </c>
      <c r="J45" s="139" t="s">
        <v>28</v>
      </c>
      <c r="K45" s="139" t="s">
        <v>1923</v>
      </c>
      <c r="L45" s="129">
        <v>40960</v>
      </c>
      <c r="M45" s="114">
        <f>IF(Main[[#This Row],[Tech Start Date]]&lt;1/1/1990,"",IF(Main[[#This Row],[Class]]="C",WORKDAY(Main[[#This Row],[Tech Start Date]],9),IF(Main[[#This Row],[Class]]="B", WORKDAY(Main[[#This Row],[Tech Start Date]],6),IF(Main[[#This Row],[Class]]="A",WORKDAY(Main[[#This Row],[Tech Start Date]],2),""))))</f>
        <v>40962</v>
      </c>
      <c r="N45" s="114">
        <f>IF(Main[[#This Row],[Tech Start Date]]&lt;1/1/1990,"",IF(Main[[#This Row],[Class]]="C",WORKDAY(Main[[#This Row],[Tech Start Date]],19),IF(Main[[#This Row],[Class]]="B", WORKDAY(Main[[#This Row],[Tech Start Date]],12),IF(Main[[#This Row],[Class]]="A",WORKDAY(Main[[#This Row],[Tech Start Date]],4),""))))</f>
        <v>40966</v>
      </c>
      <c r="O45" s="114">
        <f>IF(Main[[#This Row],[Tech Start Date]]&lt;1/1/1990,"",IF(Main[[#This Row],[Class]]="C",WORKDAY(Main[[#This Row],[Tech Start Date]],23),IF(Main[[#This Row],[Class]]="B", WORKDAY(Main[[#This Row],[Tech Start Date]],15),IF(Main[[#This Row],[Class]]="A",WORKDAY(Main[[#This Row],[Tech Start Date]],5),""))))</f>
        <v>40967</v>
      </c>
      <c r="P45" s="114">
        <f>IF(Main[[#This Row],[Tech Start Date]]&lt;1/1/1990,"",IF(Main[[#This Row],[Class]]="C",WORKDAY(Main[[#This Row],[Tech Start Date]],28),IF(Main[[#This Row],[Class]]="B", WORKDAY(Main[[#This Row],[Tech Start Date]],19),IF(Main[[#This Row],[Class]]="A",WORKDAY(Main[[#This Row],[Tech Start Date]],9),""))))</f>
        <v>40973</v>
      </c>
      <c r="Q45" s="129">
        <v>40956</v>
      </c>
      <c r="R45" s="129">
        <v>40974</v>
      </c>
      <c r="S45" s="139" t="s">
        <v>11</v>
      </c>
      <c r="T45" s="115" t="s">
        <v>3968</v>
      </c>
      <c r="U45" s="139" t="s">
        <v>29</v>
      </c>
      <c r="V45" s="139" t="s">
        <v>1924</v>
      </c>
      <c r="W45" s="139" t="s">
        <v>1922</v>
      </c>
      <c r="X45" s="139" t="s">
        <v>2910</v>
      </c>
      <c r="Y45" s="112" t="s">
        <v>3518</v>
      </c>
      <c r="Z45" s="112" t="s">
        <v>530</v>
      </c>
      <c r="AA45" s="139" t="s">
        <v>2910</v>
      </c>
    </row>
    <row r="46" spans="1:32" ht="17.25" customHeight="1">
      <c r="A46" s="69">
        <f>IF(priority(Main[[#This Row],[Comments]])&lt;&gt;0, priority(Main[[#This Row],[Comments]]),"")</f>
        <v>12.9</v>
      </c>
      <c r="B46" s="63" t="s">
        <v>3608</v>
      </c>
      <c r="C46" s="148" t="s">
        <v>2749</v>
      </c>
      <c r="D46" s="113" t="s">
        <v>3609</v>
      </c>
      <c r="E46" s="129">
        <v>40967.720405092594</v>
      </c>
      <c r="F46" s="129">
        <v>41030</v>
      </c>
      <c r="G46" s="69" t="str">
        <f>IF(stdProdLT(Main[[#This Row],[Comments]])=0.1,"N/A",IF(stdProdLT(Main[[#This Row],[Comments]])=0,"",stdProdLT(Main[[#This Row],[Comments]])))</f>
        <v>N/A</v>
      </c>
      <c r="H46" s="138" t="str">
        <f>IF(Main[[#This Row],[In Stock Date]]="N/A", "N/A",IF(AND(Main[[#This Row],[In Stock Date]]&lt;&gt;"",Main[[#This Row],[Revised Due Date]]&lt;&gt;"",Main[[#This Row],[In Stock Date]]&lt;&gt;""),Main[[#This Row],[In Stock Date]]-Main[[#This Row],[Revised Due Date]],""))</f>
        <v/>
      </c>
      <c r="I46" s="139" t="s">
        <v>4</v>
      </c>
      <c r="J46" s="139" t="s">
        <v>4</v>
      </c>
      <c r="K46" s="140" t="s">
        <v>4</v>
      </c>
      <c r="L46" s="129"/>
      <c r="M46" s="114" t="str">
        <f>IF(Main[[#This Row],[Tech Start Date]]&lt;1/1/1990,"",IF(Main[[#This Row],[Class]]="C",WORKDAY(Main[[#This Row],[Tech Start Date]],9),IF(Main[[#This Row],[Class]]="B", WORKDAY(Main[[#This Row],[Tech Start Date]],6),IF(Main[[#This Row],[Class]]="A",WORKDAY(Main[[#This Row],[Tech Start Date]],2),""))))</f>
        <v/>
      </c>
      <c r="N46" s="114" t="str">
        <f>IF(Main[[#This Row],[Tech Start Date]]&lt;1/1/1990,"",IF(Main[[#This Row],[Class]]="C",WORKDAY(Main[[#This Row],[Tech Start Date]],19),IF(Main[[#This Row],[Class]]="B", WORKDAY(Main[[#This Row],[Tech Start Date]],12),IF(Main[[#This Row],[Class]]="A",WORKDAY(Main[[#This Row],[Tech Start Date]],4),""))))</f>
        <v/>
      </c>
      <c r="O46" s="114" t="str">
        <f>IF(Main[[#This Row],[Tech Start Date]]&lt;1/1/1990,"",IF(Main[[#This Row],[Class]]="C",WORKDAY(Main[[#This Row],[Tech Start Date]],23),IF(Main[[#This Row],[Class]]="B", WORKDAY(Main[[#This Row],[Tech Start Date]],15),IF(Main[[#This Row],[Class]]="A",WORKDAY(Main[[#This Row],[Tech Start Date]],5),""))))</f>
        <v/>
      </c>
      <c r="P46" s="114" t="str">
        <f>IF(Main[[#This Row],[Tech Start Date]]&lt;1/1/1990,"",IF(Main[[#This Row],[Class]]="C",WORKDAY(Main[[#This Row],[Tech Start Date]],28),IF(Main[[#This Row],[Class]]="B", WORKDAY(Main[[#This Row],[Tech Start Date]],19),IF(Main[[#This Row],[Class]]="A",WORKDAY(Main[[#This Row],[Tech Start Date]],9),""))))</f>
        <v/>
      </c>
      <c r="Q46" s="129"/>
      <c r="R46" s="129"/>
      <c r="S46" s="139" t="s">
        <v>11</v>
      </c>
      <c r="T46" s="115" t="s">
        <v>3935</v>
      </c>
      <c r="U46" s="139" t="s">
        <v>7</v>
      </c>
      <c r="V46" s="139" t="s">
        <v>1917</v>
      </c>
      <c r="W46" s="139" t="s">
        <v>1922</v>
      </c>
      <c r="X46" s="139" t="s">
        <v>50</v>
      </c>
      <c r="Y46" s="112" t="s">
        <v>3610</v>
      </c>
      <c r="Z46" s="112" t="s">
        <v>4</v>
      </c>
      <c r="AA46" s="139" t="s">
        <v>3449</v>
      </c>
    </row>
    <row r="47" spans="1:32" ht="17.25" customHeight="1">
      <c r="A47" s="69">
        <f>IF(priority(Main[[#This Row],[Comments]])&lt;&gt;0, priority(Main[[#This Row],[Comments]]),"")</f>
        <v>12.9</v>
      </c>
      <c r="B47" s="63" t="s">
        <v>3943</v>
      </c>
      <c r="C47" s="148" t="s">
        <v>3944</v>
      </c>
      <c r="D47" s="113" t="s">
        <v>3945</v>
      </c>
      <c r="E47" s="129">
        <v>40968.308472222219</v>
      </c>
      <c r="F47" s="129">
        <v>41105</v>
      </c>
      <c r="G47" s="69">
        <f>IF(stdProdLT(Main[[#This Row],[Comments]])=0.1,"N/A",IF(stdProdLT(Main[[#This Row],[Comments]])=0,"",stdProdLT(Main[[#This Row],[Comments]])))</f>
        <v>168</v>
      </c>
      <c r="H47" s="138" t="str">
        <f>IF(Main[[#This Row],[In Stock Date]]="N/A", "N/A",IF(AND(Main[[#This Row],[In Stock Date]]&lt;&gt;"",Main[[#This Row],[Revised Due Date]]&lt;&gt;"",Main[[#This Row],[In Stock Date]]&lt;&gt;""),Main[[#This Row],[In Stock Date]]-Main[[#This Row],[Revised Due Date]],""))</f>
        <v/>
      </c>
      <c r="I47" s="139" t="s">
        <v>4</v>
      </c>
      <c r="J47" s="139" t="s">
        <v>4</v>
      </c>
      <c r="K47" s="139" t="s">
        <v>4</v>
      </c>
      <c r="L47" s="129"/>
      <c r="M47" s="114" t="str">
        <f>IF(Main[[#This Row],[Tech Start Date]]&lt;1/1/1990,"",IF(Main[[#This Row],[Class]]="C",WORKDAY(Main[[#This Row],[Tech Start Date]],9),IF(Main[[#This Row],[Class]]="B", WORKDAY(Main[[#This Row],[Tech Start Date]],6),IF(Main[[#This Row],[Class]]="A",WORKDAY(Main[[#This Row],[Tech Start Date]],2),""))))</f>
        <v/>
      </c>
      <c r="N47" s="114" t="str">
        <f>IF(Main[[#This Row],[Tech Start Date]]&lt;1/1/1990,"",IF(Main[[#This Row],[Class]]="C",WORKDAY(Main[[#This Row],[Tech Start Date]],19),IF(Main[[#This Row],[Class]]="B", WORKDAY(Main[[#This Row],[Tech Start Date]],12),IF(Main[[#This Row],[Class]]="A",WORKDAY(Main[[#This Row],[Tech Start Date]],4),""))))</f>
        <v/>
      </c>
      <c r="O47" s="114" t="str">
        <f>IF(Main[[#This Row],[Tech Start Date]]&lt;1/1/1990,"",IF(Main[[#This Row],[Class]]="C",WORKDAY(Main[[#This Row],[Tech Start Date]],23),IF(Main[[#This Row],[Class]]="B", WORKDAY(Main[[#This Row],[Tech Start Date]],15),IF(Main[[#This Row],[Class]]="A",WORKDAY(Main[[#This Row],[Tech Start Date]],5),""))))</f>
        <v/>
      </c>
      <c r="P47" s="114" t="str">
        <f>IF(Main[[#This Row],[Tech Start Date]]&lt;1/1/1990,"",IF(Main[[#This Row],[Class]]="C",WORKDAY(Main[[#This Row],[Tech Start Date]],28),IF(Main[[#This Row],[Class]]="B", WORKDAY(Main[[#This Row],[Tech Start Date]],19),IF(Main[[#This Row],[Class]]="A",WORKDAY(Main[[#This Row],[Tech Start Date]],9),""))))</f>
        <v/>
      </c>
      <c r="Q47" s="129"/>
      <c r="R47" s="129"/>
      <c r="S47" s="139" t="s">
        <v>11</v>
      </c>
      <c r="T47" s="115" t="s">
        <v>3946</v>
      </c>
      <c r="U47" s="139" t="s">
        <v>7</v>
      </c>
      <c r="V47" s="139" t="s">
        <v>1917</v>
      </c>
      <c r="W47" s="139" t="s">
        <v>1920</v>
      </c>
      <c r="X47" s="139" t="s">
        <v>2846</v>
      </c>
      <c r="Y47" s="112" t="s">
        <v>3241</v>
      </c>
      <c r="Z47" s="112" t="s">
        <v>4</v>
      </c>
      <c r="AA47" s="139" t="s">
        <v>2846</v>
      </c>
    </row>
    <row r="48" spans="1:32" ht="17.25" customHeight="1">
      <c r="A48" s="69">
        <f>IF(priority(Main[[#This Row],[Comments]])&lt;&gt;0, priority(Main[[#This Row],[Comments]]),"")</f>
        <v>13</v>
      </c>
      <c r="B48" s="63" t="s">
        <v>3584</v>
      </c>
      <c r="C48" s="148" t="s">
        <v>31</v>
      </c>
      <c r="D48" s="113" t="s">
        <v>3585</v>
      </c>
      <c r="E48" s="129">
        <v>40953.049583333333</v>
      </c>
      <c r="F48" s="129">
        <v>40968</v>
      </c>
      <c r="G48" s="69" t="str">
        <f>IF(stdProdLT(Main[[#This Row],[Comments]])=0.1,"N/A",IF(stdProdLT(Main[[#This Row],[Comments]])=0,"",stdProdLT(Main[[#This Row],[Comments]])))</f>
        <v>N/A</v>
      </c>
      <c r="H48" s="138" t="str">
        <f>IF(Main[[#This Row],[In Stock Date]]="N/A", "N/A",IF(AND(Main[[#This Row],[In Stock Date]]&lt;&gt;"",Main[[#This Row],[Revised Due Date]]&lt;&gt;"",Main[[#This Row],[In Stock Date]]&lt;&gt;""),Main[[#This Row],[In Stock Date]]-Main[[#This Row],[Revised Due Date]],""))</f>
        <v/>
      </c>
      <c r="I48" s="139" t="s">
        <v>946</v>
      </c>
      <c r="J48" s="139" t="s">
        <v>28</v>
      </c>
      <c r="K48" s="139" t="s">
        <v>1921</v>
      </c>
      <c r="L48" s="129"/>
      <c r="M48" s="114" t="str">
        <f>IF(Main[[#This Row],[Tech Start Date]]&lt;1/1/1990,"",IF(Main[[#This Row],[Class]]="C",WORKDAY(Main[[#This Row],[Tech Start Date]],9),IF(Main[[#This Row],[Class]]="B", WORKDAY(Main[[#This Row],[Tech Start Date]],6),IF(Main[[#This Row],[Class]]="A",WORKDAY(Main[[#This Row],[Tech Start Date]],2),""))))</f>
        <v/>
      </c>
      <c r="N48" s="114" t="str">
        <f>IF(Main[[#This Row],[Tech Start Date]]&lt;1/1/1990,"",IF(Main[[#This Row],[Class]]="C",WORKDAY(Main[[#This Row],[Tech Start Date]],19),IF(Main[[#This Row],[Class]]="B", WORKDAY(Main[[#This Row],[Tech Start Date]],12),IF(Main[[#This Row],[Class]]="A",WORKDAY(Main[[#This Row],[Tech Start Date]],4),""))))</f>
        <v/>
      </c>
      <c r="O48" s="114" t="str">
        <f>IF(Main[[#This Row],[Tech Start Date]]&lt;1/1/1990,"",IF(Main[[#This Row],[Class]]="C",WORKDAY(Main[[#This Row],[Tech Start Date]],23),IF(Main[[#This Row],[Class]]="B", WORKDAY(Main[[#This Row],[Tech Start Date]],15),IF(Main[[#This Row],[Class]]="A",WORKDAY(Main[[#This Row],[Tech Start Date]],5),""))))</f>
        <v/>
      </c>
      <c r="P48" s="114" t="str">
        <f>IF(Main[[#This Row],[Tech Start Date]]&lt;1/1/1990,"",IF(Main[[#This Row],[Class]]="C",WORKDAY(Main[[#This Row],[Tech Start Date]],28),IF(Main[[#This Row],[Class]]="B", WORKDAY(Main[[#This Row],[Tech Start Date]],19),IF(Main[[#This Row],[Class]]="A",WORKDAY(Main[[#This Row],[Tech Start Date]],9),""))))</f>
        <v/>
      </c>
      <c r="Q48" s="129">
        <v>40967</v>
      </c>
      <c r="R48" s="129"/>
      <c r="S48" s="139" t="s">
        <v>11</v>
      </c>
      <c r="T48" s="115" t="s">
        <v>3586</v>
      </c>
      <c r="U48" s="139" t="s">
        <v>7</v>
      </c>
      <c r="V48" s="139" t="s">
        <v>1915</v>
      </c>
      <c r="W48" s="139" t="s">
        <v>1919</v>
      </c>
      <c r="X48" s="139" t="s">
        <v>2835</v>
      </c>
      <c r="Y48" s="112" t="s">
        <v>4</v>
      </c>
      <c r="Z48" s="112" t="s">
        <v>2053</v>
      </c>
      <c r="AA48" s="139" t="s">
        <v>2835</v>
      </c>
    </row>
    <row r="49" spans="1:27" ht="17.25" customHeight="1">
      <c r="A49" s="69">
        <f>IF(priority(Main[[#This Row],[Comments]])&lt;&gt;0, priority(Main[[#This Row],[Comments]]),"")</f>
        <v>13</v>
      </c>
      <c r="B49" s="63" t="s">
        <v>2742</v>
      </c>
      <c r="C49" s="148" t="s">
        <v>2743</v>
      </c>
      <c r="D49" s="113" t="s">
        <v>2744</v>
      </c>
      <c r="E49" s="129"/>
      <c r="F49" s="129">
        <v>41000</v>
      </c>
      <c r="G49" s="69">
        <f>IF(stdProdLT(Main[[#This Row],[Comments]])=0.1,"N/A",IF(stdProdLT(Main[[#This Row],[Comments]])=0,"",stdProdLT(Main[[#This Row],[Comments]])))</f>
        <v>140</v>
      </c>
      <c r="H49" s="138" t="str">
        <f>IF(Main[[#This Row],[In Stock Date]]="N/A", "N/A",IF(AND(Main[[#This Row],[In Stock Date]]&lt;&gt;"",Main[[#This Row],[Revised Due Date]]&lt;&gt;"",Main[[#This Row],[In Stock Date]]&lt;&gt;""),Main[[#This Row],[In Stock Date]]-Main[[#This Row],[Revised Due Date]],""))</f>
        <v/>
      </c>
      <c r="I49" s="139" t="s">
        <v>561</v>
      </c>
      <c r="J49" s="139" t="s">
        <v>21</v>
      </c>
      <c r="K49" s="139" t="s">
        <v>4</v>
      </c>
      <c r="L49" s="129"/>
      <c r="M49" s="114" t="str">
        <f>IF(Main[[#This Row],[Tech Start Date]]&lt;1/1/1990,"",IF(Main[[#This Row],[Class]]="C",WORKDAY(Main[[#This Row],[Tech Start Date]],9),IF(Main[[#This Row],[Class]]="B", WORKDAY(Main[[#This Row],[Tech Start Date]],6),IF(Main[[#This Row],[Class]]="A",WORKDAY(Main[[#This Row],[Tech Start Date]],2),""))))</f>
        <v/>
      </c>
      <c r="N49" s="114" t="str">
        <f>IF(Main[[#This Row],[Tech Start Date]]&lt;1/1/1990,"",IF(Main[[#This Row],[Class]]="C",WORKDAY(Main[[#This Row],[Tech Start Date]],19),IF(Main[[#This Row],[Class]]="B", WORKDAY(Main[[#This Row],[Tech Start Date]],12),IF(Main[[#This Row],[Class]]="A",WORKDAY(Main[[#This Row],[Tech Start Date]],4),""))))</f>
        <v/>
      </c>
      <c r="O49" s="114" t="str">
        <f>IF(Main[[#This Row],[Tech Start Date]]&lt;1/1/1990,"",IF(Main[[#This Row],[Class]]="C",WORKDAY(Main[[#This Row],[Tech Start Date]],23),IF(Main[[#This Row],[Class]]="B", WORKDAY(Main[[#This Row],[Tech Start Date]],15),IF(Main[[#This Row],[Class]]="A",WORKDAY(Main[[#This Row],[Tech Start Date]],5),""))))</f>
        <v/>
      </c>
      <c r="P49" s="114" t="str">
        <f>IF(Main[[#This Row],[Tech Start Date]]&lt;1/1/1990,"",IF(Main[[#This Row],[Class]]="C",WORKDAY(Main[[#This Row],[Tech Start Date]],28),IF(Main[[#This Row],[Class]]="B", WORKDAY(Main[[#This Row],[Tech Start Date]],19),IF(Main[[#This Row],[Class]]="A",WORKDAY(Main[[#This Row],[Tech Start Date]],9),""))))</f>
        <v/>
      </c>
      <c r="Q49" s="129">
        <v>40964</v>
      </c>
      <c r="R49" s="129"/>
      <c r="S49" s="139" t="s">
        <v>11</v>
      </c>
      <c r="T49" s="115" t="s">
        <v>2745</v>
      </c>
      <c r="U49" s="139" t="s">
        <v>14</v>
      </c>
      <c r="V49" s="139" t="s">
        <v>1914</v>
      </c>
      <c r="W49" s="139" t="s">
        <v>1922</v>
      </c>
      <c r="X49" s="139" t="s">
        <v>2875</v>
      </c>
      <c r="Y49" s="112" t="s">
        <v>3021</v>
      </c>
      <c r="Z49" s="112" t="s">
        <v>4</v>
      </c>
      <c r="AA49" s="139" t="s">
        <v>2875</v>
      </c>
    </row>
    <row r="50" spans="1:27" ht="17.25" customHeight="1">
      <c r="A50" s="69">
        <f>IF(priority(Main[[#This Row],[Comments]])&lt;&gt;0, priority(Main[[#This Row],[Comments]]),"")</f>
        <v>13</v>
      </c>
      <c r="B50" s="63" t="s">
        <v>1895</v>
      </c>
      <c r="C50" s="148" t="s">
        <v>815</v>
      </c>
      <c r="D50" s="113" t="s">
        <v>1963</v>
      </c>
      <c r="E50" s="129"/>
      <c r="F50" s="129">
        <v>40767</v>
      </c>
      <c r="G50" s="69" t="str">
        <f>IF(stdProdLT(Main[[#This Row],[Comments]])=0.1,"N/A",IF(stdProdLT(Main[[#This Row],[Comments]])=0,"",stdProdLT(Main[[#This Row],[Comments]])))</f>
        <v/>
      </c>
      <c r="H50" s="138">
        <f>IF(Main[[#This Row],[In Stock Date]]="N/A", "N/A",IF(AND(Main[[#This Row],[In Stock Date]]&lt;&gt;"",Main[[#This Row],[Revised Due Date]]&lt;&gt;"",Main[[#This Row],[In Stock Date]]&lt;&gt;""),Main[[#This Row],[In Stock Date]]-Main[[#This Row],[Revised Due Date]],""))</f>
        <v>21</v>
      </c>
      <c r="I50" s="139" t="s">
        <v>941</v>
      </c>
      <c r="J50" s="139" t="s">
        <v>28</v>
      </c>
      <c r="K50" s="139" t="s">
        <v>1923</v>
      </c>
      <c r="L50" s="129">
        <v>40704</v>
      </c>
      <c r="M50" s="114">
        <f>IF(Main[[#This Row],[Tech Start Date]]&lt;1/1/1990,"",IF(Main[[#This Row],[Class]]="C",WORKDAY(Main[[#This Row],[Tech Start Date]],9),IF(Main[[#This Row],[Class]]="B", WORKDAY(Main[[#This Row],[Tech Start Date]],6),IF(Main[[#This Row],[Class]]="A",WORKDAY(Main[[#This Row],[Tech Start Date]],2),""))))</f>
        <v>40708</v>
      </c>
      <c r="N50" s="114">
        <f>IF(Main[[#This Row],[Tech Start Date]]&lt;1/1/1990,"",IF(Main[[#This Row],[Class]]="C",WORKDAY(Main[[#This Row],[Tech Start Date]],19),IF(Main[[#This Row],[Class]]="B", WORKDAY(Main[[#This Row],[Tech Start Date]],12),IF(Main[[#This Row],[Class]]="A",WORKDAY(Main[[#This Row],[Tech Start Date]],4),""))))</f>
        <v>40710</v>
      </c>
      <c r="O50" s="114">
        <f>IF(Main[[#This Row],[Tech Start Date]]&lt;1/1/1990,"",IF(Main[[#This Row],[Class]]="C",WORKDAY(Main[[#This Row],[Tech Start Date]],23),IF(Main[[#This Row],[Class]]="B", WORKDAY(Main[[#This Row],[Tech Start Date]],15),IF(Main[[#This Row],[Class]]="A",WORKDAY(Main[[#This Row],[Tech Start Date]],5),""))))</f>
        <v>40711</v>
      </c>
      <c r="P50" s="114">
        <f>IF(Main[[#This Row],[Tech Start Date]]&lt;1/1/1990,"",IF(Main[[#This Row],[Class]]="C",WORKDAY(Main[[#This Row],[Tech Start Date]],28),IF(Main[[#This Row],[Class]]="B", WORKDAY(Main[[#This Row],[Tech Start Date]],19),IF(Main[[#This Row],[Class]]="A",WORKDAY(Main[[#This Row],[Tech Start Date]],9),""))))</f>
        <v>40717</v>
      </c>
      <c r="Q50" s="129"/>
      <c r="R50" s="129">
        <v>40746</v>
      </c>
      <c r="S50" s="139" t="s">
        <v>11</v>
      </c>
      <c r="T50" s="115" t="s">
        <v>2004</v>
      </c>
      <c r="U50" s="139" t="s">
        <v>14</v>
      </c>
      <c r="V50" s="139" t="s">
        <v>1915</v>
      </c>
      <c r="W50" s="139" t="s">
        <v>1922</v>
      </c>
      <c r="X50" s="139" t="s">
        <v>2053</v>
      </c>
      <c r="Y50" s="112" t="s">
        <v>3153</v>
      </c>
      <c r="Z50" s="112" t="s">
        <v>3159</v>
      </c>
      <c r="AA50" s="139" t="s">
        <v>2053</v>
      </c>
    </row>
    <row r="51" spans="1:27" ht="17.25" customHeight="1">
      <c r="A51" s="69">
        <f>IF(priority(Main[[#This Row],[Comments]])&lt;&gt;0, priority(Main[[#This Row],[Comments]]),"")</f>
        <v>13</v>
      </c>
      <c r="B51" s="63" t="s">
        <v>3201</v>
      </c>
      <c r="C51" s="148" t="s">
        <v>3211</v>
      </c>
      <c r="D51" s="113" t="s">
        <v>3202</v>
      </c>
      <c r="E51" s="129">
        <v>40921.060983796298</v>
      </c>
      <c r="F51" s="129">
        <v>41105</v>
      </c>
      <c r="G51" s="69">
        <f>IF(stdProdLT(Main[[#This Row],[Comments]])=0.1,"N/A",IF(stdProdLT(Main[[#This Row],[Comments]])=0,"",stdProdLT(Main[[#This Row],[Comments]])))</f>
        <v>168</v>
      </c>
      <c r="H51" s="138">
        <f>IF(Main[[#This Row],[In Stock Date]]="N/A", "N/A",IF(AND(Main[[#This Row],[In Stock Date]]&lt;&gt;"",Main[[#This Row],[Revised Due Date]]&lt;&gt;"",Main[[#This Row],[In Stock Date]]&lt;&gt;""),Main[[#This Row],[In Stock Date]]-Main[[#This Row],[Revised Due Date]],""))</f>
        <v>130</v>
      </c>
      <c r="I51" s="139" t="s">
        <v>489</v>
      </c>
      <c r="J51" s="139" t="s">
        <v>70</v>
      </c>
      <c r="K51" s="139" t="s">
        <v>1927</v>
      </c>
      <c r="L51" s="129">
        <v>40925</v>
      </c>
      <c r="M51" s="114">
        <f>IF(Main[[#This Row],[Tech Start Date]]&lt;1/1/1990,"",IF(Main[[#This Row],[Class]]="C",WORKDAY(Main[[#This Row],[Tech Start Date]],9),IF(Main[[#This Row],[Class]]="B", WORKDAY(Main[[#This Row],[Tech Start Date]],6),IF(Main[[#This Row],[Class]]="A",WORKDAY(Main[[#This Row],[Tech Start Date]],2),""))))</f>
        <v>40938</v>
      </c>
      <c r="N51" s="114">
        <f>IF(Main[[#This Row],[Tech Start Date]]&lt;1/1/1990,"",IF(Main[[#This Row],[Class]]="C",WORKDAY(Main[[#This Row],[Tech Start Date]],19),IF(Main[[#This Row],[Class]]="B", WORKDAY(Main[[#This Row],[Tech Start Date]],12),IF(Main[[#This Row],[Class]]="A",WORKDAY(Main[[#This Row],[Tech Start Date]],4),""))))</f>
        <v>40952</v>
      </c>
      <c r="O51" s="114">
        <f>IF(Main[[#This Row],[Tech Start Date]]&lt;1/1/1990,"",IF(Main[[#This Row],[Class]]="C",WORKDAY(Main[[#This Row],[Tech Start Date]],23),IF(Main[[#This Row],[Class]]="B", WORKDAY(Main[[#This Row],[Tech Start Date]],15),IF(Main[[#This Row],[Class]]="A",WORKDAY(Main[[#This Row],[Tech Start Date]],5),""))))</f>
        <v>40956</v>
      </c>
      <c r="P51" s="114">
        <f>IF(Main[[#This Row],[Tech Start Date]]&lt;1/1/1990,"",IF(Main[[#This Row],[Class]]="C",WORKDAY(Main[[#This Row],[Tech Start Date]],28),IF(Main[[#This Row],[Class]]="B", WORKDAY(Main[[#This Row],[Tech Start Date]],19),IF(Main[[#This Row],[Class]]="A",WORKDAY(Main[[#This Row],[Tech Start Date]],9),""))))</f>
        <v>40963</v>
      </c>
      <c r="Q51" s="129">
        <v>40953</v>
      </c>
      <c r="R51" s="129">
        <v>40975</v>
      </c>
      <c r="S51" s="139" t="s">
        <v>11</v>
      </c>
      <c r="T51" s="115" t="s">
        <v>3824</v>
      </c>
      <c r="U51" s="139" t="s">
        <v>29</v>
      </c>
      <c r="V51" s="139" t="s">
        <v>1917</v>
      </c>
      <c r="W51" s="139" t="s">
        <v>1920</v>
      </c>
      <c r="X51" s="139" t="s">
        <v>2848</v>
      </c>
      <c r="Y51" s="112" t="s">
        <v>2979</v>
      </c>
      <c r="Z51" s="112" t="s">
        <v>530</v>
      </c>
      <c r="AA51" s="139" t="s">
        <v>2848</v>
      </c>
    </row>
    <row r="52" spans="1:27" ht="17.25" customHeight="1">
      <c r="A52" s="69">
        <f>IF(priority(Main[[#This Row],[Comments]])&lt;&gt;0, priority(Main[[#This Row],[Comments]]),"")</f>
        <v>13</v>
      </c>
      <c r="B52" s="63" t="s">
        <v>3859</v>
      </c>
      <c r="C52" s="148" t="s">
        <v>506</v>
      </c>
      <c r="D52" s="62" t="s">
        <v>3967</v>
      </c>
      <c r="E52" s="129">
        <v>40952.439212962963</v>
      </c>
      <c r="F52" s="129">
        <v>40968</v>
      </c>
      <c r="G52" s="69" t="str">
        <f>IF(stdProdLT(Main[[#This Row],[Comments]])=0.1,"N/A",IF(stdProdLT(Main[[#This Row],[Comments]])=0,"",stdProdLT(Main[[#This Row],[Comments]])))</f>
        <v>N/A</v>
      </c>
      <c r="H52" s="138">
        <f>IF(Main[[#This Row],[In Stock Date]]="N/A", "N/A",IF(AND(Main[[#This Row],[In Stock Date]]&lt;&gt;"",Main[[#This Row],[Revised Due Date]]&lt;&gt;"",Main[[#This Row],[In Stock Date]]&lt;&gt;""),Main[[#This Row],[In Stock Date]]-Main[[#This Row],[Revised Due Date]],""))</f>
        <v>-7</v>
      </c>
      <c r="I52" s="139" t="s">
        <v>912</v>
      </c>
      <c r="J52" s="139" t="s">
        <v>52</v>
      </c>
      <c r="K52" s="139" t="s">
        <v>1921</v>
      </c>
      <c r="L52" s="129">
        <v>40954</v>
      </c>
      <c r="M52" s="114">
        <f>IF(Main[[#This Row],[Tech Start Date]]&lt;1/1/1990,"",IF(Main[[#This Row],[Class]]="C",WORKDAY(Main[[#This Row],[Tech Start Date]],9),IF(Main[[#This Row],[Class]]="B", WORKDAY(Main[[#This Row],[Tech Start Date]],6),IF(Main[[#This Row],[Class]]="A",WORKDAY(Main[[#This Row],[Tech Start Date]],2),""))))</f>
        <v>40962</v>
      </c>
      <c r="N52" s="114">
        <f>IF(Main[[#This Row],[Tech Start Date]]&lt;1/1/1990,"",IF(Main[[#This Row],[Class]]="C",WORKDAY(Main[[#This Row],[Tech Start Date]],19),IF(Main[[#This Row],[Class]]="B", WORKDAY(Main[[#This Row],[Tech Start Date]],12),IF(Main[[#This Row],[Class]]="A",WORKDAY(Main[[#This Row],[Tech Start Date]],4),""))))</f>
        <v>40970</v>
      </c>
      <c r="O52" s="114">
        <f>IF(Main[[#This Row],[Tech Start Date]]&lt;1/1/1990,"",IF(Main[[#This Row],[Class]]="C",WORKDAY(Main[[#This Row],[Tech Start Date]],23),IF(Main[[#This Row],[Class]]="B", WORKDAY(Main[[#This Row],[Tech Start Date]],15),IF(Main[[#This Row],[Class]]="A",WORKDAY(Main[[#This Row],[Tech Start Date]],5),""))))</f>
        <v>40975</v>
      </c>
      <c r="P52" s="114">
        <f>IF(Main[[#This Row],[Tech Start Date]]&lt;1/1/1990,"",IF(Main[[#This Row],[Class]]="C",WORKDAY(Main[[#This Row],[Tech Start Date]],28),IF(Main[[#This Row],[Class]]="B", WORKDAY(Main[[#This Row],[Tech Start Date]],19),IF(Main[[#This Row],[Class]]="A",WORKDAY(Main[[#This Row],[Tech Start Date]],9),""))))</f>
        <v>40981</v>
      </c>
      <c r="Q52" s="129">
        <v>40956</v>
      </c>
      <c r="R52" s="129">
        <v>40975</v>
      </c>
      <c r="S52" s="139" t="s">
        <v>11</v>
      </c>
      <c r="T52" s="115" t="s">
        <v>3860</v>
      </c>
      <c r="U52" s="139" t="s">
        <v>29</v>
      </c>
      <c r="V52" s="139" t="s">
        <v>1914</v>
      </c>
      <c r="W52" s="139" t="s">
        <v>1922</v>
      </c>
      <c r="X52" s="139" t="s">
        <v>2821</v>
      </c>
      <c r="Y52" s="112" t="s">
        <v>3861</v>
      </c>
      <c r="Z52" s="112" t="s">
        <v>129</v>
      </c>
      <c r="AA52" s="139" t="s">
        <v>3413</v>
      </c>
    </row>
    <row r="53" spans="1:27" ht="17.25" customHeight="1">
      <c r="A53" s="69">
        <f>IF(priority(Main[[#This Row],[Comments]])&lt;&gt;0, priority(Main[[#This Row],[Comments]]),"")</f>
        <v>14</v>
      </c>
      <c r="B53" s="63" t="s">
        <v>2752</v>
      </c>
      <c r="C53" s="148" t="s">
        <v>2753</v>
      </c>
      <c r="D53" s="113" t="s">
        <v>2754</v>
      </c>
      <c r="E53" s="129"/>
      <c r="F53" s="129">
        <v>41005</v>
      </c>
      <c r="G53" s="69">
        <f>IF(stdProdLT(Main[[#This Row],[Comments]])=0.1,"N/A",IF(stdProdLT(Main[[#This Row],[Comments]])=0,"",stdProdLT(Main[[#This Row],[Comments]])))</f>
        <v>112</v>
      </c>
      <c r="H53" s="138" t="str">
        <f>IF(Main[[#This Row],[In Stock Date]]="N/A", "N/A",IF(AND(Main[[#This Row],[In Stock Date]]&lt;&gt;"",Main[[#This Row],[Revised Due Date]]&lt;&gt;"",Main[[#This Row],[In Stock Date]]&lt;&gt;""),Main[[#This Row],[In Stock Date]]-Main[[#This Row],[Revised Due Date]],""))</f>
        <v/>
      </c>
      <c r="I53" s="139" t="s">
        <v>126</v>
      </c>
      <c r="J53" s="139" t="s">
        <v>28</v>
      </c>
      <c r="K53" s="139" t="s">
        <v>1921</v>
      </c>
      <c r="L53" s="129"/>
      <c r="M53" s="114" t="str">
        <f>IF(Main[[#This Row],[Tech Start Date]]&lt;1/1/1990,"",IF(Main[[#This Row],[Class]]="C",WORKDAY(Main[[#This Row],[Tech Start Date]],9),IF(Main[[#This Row],[Class]]="B", WORKDAY(Main[[#This Row],[Tech Start Date]],6),IF(Main[[#This Row],[Class]]="A",WORKDAY(Main[[#This Row],[Tech Start Date]],2),""))))</f>
        <v/>
      </c>
      <c r="N53" s="114" t="str">
        <f>IF(Main[[#This Row],[Tech Start Date]]&lt;1/1/1990,"",IF(Main[[#This Row],[Class]]="C",WORKDAY(Main[[#This Row],[Tech Start Date]],19),IF(Main[[#This Row],[Class]]="B", WORKDAY(Main[[#This Row],[Tech Start Date]],12),IF(Main[[#This Row],[Class]]="A",WORKDAY(Main[[#This Row],[Tech Start Date]],4),""))))</f>
        <v/>
      </c>
      <c r="O53" s="114" t="str">
        <f>IF(Main[[#This Row],[Tech Start Date]]&lt;1/1/1990,"",IF(Main[[#This Row],[Class]]="C",WORKDAY(Main[[#This Row],[Tech Start Date]],23),IF(Main[[#This Row],[Class]]="B", WORKDAY(Main[[#This Row],[Tech Start Date]],15),IF(Main[[#This Row],[Class]]="A",WORKDAY(Main[[#This Row],[Tech Start Date]],5),""))))</f>
        <v/>
      </c>
      <c r="P53" s="114" t="str">
        <f>IF(Main[[#This Row],[Tech Start Date]]&lt;1/1/1990,"",IF(Main[[#This Row],[Class]]="C",WORKDAY(Main[[#This Row],[Tech Start Date]],28),IF(Main[[#This Row],[Class]]="B", WORKDAY(Main[[#This Row],[Tech Start Date]],19),IF(Main[[#This Row],[Class]]="A",WORKDAY(Main[[#This Row],[Tech Start Date]],9),""))))</f>
        <v/>
      </c>
      <c r="Q53" s="129">
        <v>40946</v>
      </c>
      <c r="R53" s="129"/>
      <c r="S53" s="139" t="s">
        <v>11</v>
      </c>
      <c r="T53" s="115" t="s">
        <v>2755</v>
      </c>
      <c r="U53" s="139" t="s">
        <v>14</v>
      </c>
      <c r="V53" s="139" t="s">
        <v>1914</v>
      </c>
      <c r="W53" s="139" t="s">
        <v>1922</v>
      </c>
      <c r="X53" s="139" t="s">
        <v>2857</v>
      </c>
      <c r="Y53" s="112" t="s">
        <v>2998</v>
      </c>
      <c r="Z53" s="112" t="s">
        <v>912</v>
      </c>
      <c r="AA53" s="139" t="s">
        <v>2857</v>
      </c>
    </row>
    <row r="54" spans="1:27" ht="17.25" customHeight="1">
      <c r="A54" s="69">
        <f>IF(priority(Main[[#This Row],[Comments]])&lt;&gt;0, priority(Main[[#This Row],[Comments]]),"")</f>
        <v>14</v>
      </c>
      <c r="B54" s="63" t="s">
        <v>3197</v>
      </c>
      <c r="C54" s="148" t="s">
        <v>3211</v>
      </c>
      <c r="D54" s="113" t="s">
        <v>3198</v>
      </c>
      <c r="E54" s="129">
        <v>40921.094768518517</v>
      </c>
      <c r="F54" s="129">
        <v>41105</v>
      </c>
      <c r="G54" s="69">
        <f>IF(stdProdLT(Main[[#This Row],[Comments]])=0.1,"N/A",IF(stdProdLT(Main[[#This Row],[Comments]])=0,"",stdProdLT(Main[[#This Row],[Comments]])))</f>
        <v>168</v>
      </c>
      <c r="H54" s="138">
        <f>IF(Main[[#This Row],[In Stock Date]]="N/A", "N/A",IF(AND(Main[[#This Row],[In Stock Date]]&lt;&gt;"",Main[[#This Row],[Revised Due Date]]&lt;&gt;"",Main[[#This Row],[In Stock Date]]&lt;&gt;""),Main[[#This Row],[In Stock Date]]-Main[[#This Row],[Revised Due Date]],""))</f>
        <v>135</v>
      </c>
      <c r="I54" s="139" t="s">
        <v>44</v>
      </c>
      <c r="J54" s="139" t="s">
        <v>70</v>
      </c>
      <c r="K54" s="139" t="s">
        <v>1927</v>
      </c>
      <c r="L54" s="129">
        <v>40925</v>
      </c>
      <c r="M54" s="114">
        <f>IF(Main[[#This Row],[Tech Start Date]]&lt;1/1/1990,"",IF(Main[[#This Row],[Class]]="C",WORKDAY(Main[[#This Row],[Tech Start Date]],9),IF(Main[[#This Row],[Class]]="B", WORKDAY(Main[[#This Row],[Tech Start Date]],6),IF(Main[[#This Row],[Class]]="A",WORKDAY(Main[[#This Row],[Tech Start Date]],2),""))))</f>
        <v>40938</v>
      </c>
      <c r="N54" s="114">
        <f>IF(Main[[#This Row],[Tech Start Date]]&lt;1/1/1990,"",IF(Main[[#This Row],[Class]]="C",WORKDAY(Main[[#This Row],[Tech Start Date]],19),IF(Main[[#This Row],[Class]]="B", WORKDAY(Main[[#This Row],[Tech Start Date]],12),IF(Main[[#This Row],[Class]]="A",WORKDAY(Main[[#This Row],[Tech Start Date]],4),""))))</f>
        <v>40952</v>
      </c>
      <c r="O54" s="114">
        <f>IF(Main[[#This Row],[Tech Start Date]]&lt;1/1/1990,"",IF(Main[[#This Row],[Class]]="C",WORKDAY(Main[[#This Row],[Tech Start Date]],23),IF(Main[[#This Row],[Class]]="B", WORKDAY(Main[[#This Row],[Tech Start Date]],15),IF(Main[[#This Row],[Class]]="A",WORKDAY(Main[[#This Row],[Tech Start Date]],5),""))))</f>
        <v>40956</v>
      </c>
      <c r="P54" s="114">
        <f>IF(Main[[#This Row],[Tech Start Date]]&lt;1/1/1990,"",IF(Main[[#This Row],[Class]]="C",WORKDAY(Main[[#This Row],[Tech Start Date]],28),IF(Main[[#This Row],[Class]]="B", WORKDAY(Main[[#This Row],[Tech Start Date]],19),IF(Main[[#This Row],[Class]]="A",WORKDAY(Main[[#This Row],[Tech Start Date]],9),""))))</f>
        <v>40963</v>
      </c>
      <c r="Q54" s="129">
        <v>40953</v>
      </c>
      <c r="R54" s="129">
        <v>40970</v>
      </c>
      <c r="S54" s="139" t="s">
        <v>11</v>
      </c>
      <c r="T54" s="115" t="s">
        <v>3829</v>
      </c>
      <c r="U54" s="139" t="s">
        <v>29</v>
      </c>
      <c r="V54" s="139" t="s">
        <v>1917</v>
      </c>
      <c r="W54" s="139" t="s">
        <v>1920</v>
      </c>
      <c r="X54" s="139" t="s">
        <v>2848</v>
      </c>
      <c r="Y54" s="112" t="s">
        <v>2979</v>
      </c>
      <c r="Z54" s="112" t="s">
        <v>530</v>
      </c>
      <c r="AA54" s="139" t="s">
        <v>2848</v>
      </c>
    </row>
    <row r="55" spans="1:27" ht="17.25" customHeight="1">
      <c r="A55" s="69">
        <f>IF(priority(Main[[#This Row],[Comments]])&lt;&gt;0, priority(Main[[#This Row],[Comments]]),"")</f>
        <v>14</v>
      </c>
      <c r="B55" s="63" t="s">
        <v>3564</v>
      </c>
      <c r="C55" s="148" t="s">
        <v>3565</v>
      </c>
      <c r="D55" s="113" t="s">
        <v>3840</v>
      </c>
      <c r="E55" s="129">
        <v>40945.715231481481</v>
      </c>
      <c r="F55" s="129"/>
      <c r="G55" s="69" t="str">
        <f>IF(stdProdLT(Main[[#This Row],[Comments]])=0.1,"N/A",IF(stdProdLT(Main[[#This Row],[Comments]])=0,"",stdProdLT(Main[[#This Row],[Comments]])))</f>
        <v>N/A</v>
      </c>
      <c r="H55" s="138" t="str">
        <f>IF(Main[[#This Row],[In Stock Date]]="N/A", "N/A",IF(AND(Main[[#This Row],[In Stock Date]]&lt;&gt;"",Main[[#This Row],[Revised Due Date]]&lt;&gt;"",Main[[#This Row],[In Stock Date]]&lt;&gt;""),Main[[#This Row],[In Stock Date]]-Main[[#This Row],[Revised Due Date]],""))</f>
        <v/>
      </c>
      <c r="I55" s="139" t="s">
        <v>940</v>
      </c>
      <c r="J55" s="139" t="s">
        <v>28</v>
      </c>
      <c r="K55" s="139" t="s">
        <v>1921</v>
      </c>
      <c r="L55" s="129">
        <v>40946</v>
      </c>
      <c r="M55" s="114">
        <f>IF(Main[[#This Row],[Tech Start Date]]&lt;1/1/1990,"",IF(Main[[#This Row],[Class]]="C",WORKDAY(Main[[#This Row],[Tech Start Date]],9),IF(Main[[#This Row],[Class]]="B", WORKDAY(Main[[#This Row],[Tech Start Date]],6),IF(Main[[#This Row],[Class]]="A",WORKDAY(Main[[#This Row],[Tech Start Date]],2),""))))</f>
        <v>40954</v>
      </c>
      <c r="N55" s="114">
        <f>IF(Main[[#This Row],[Tech Start Date]]&lt;1/1/1990,"",IF(Main[[#This Row],[Class]]="C",WORKDAY(Main[[#This Row],[Tech Start Date]],19),IF(Main[[#This Row],[Class]]="B", WORKDAY(Main[[#This Row],[Tech Start Date]],12),IF(Main[[#This Row],[Class]]="A",WORKDAY(Main[[#This Row],[Tech Start Date]],4),""))))</f>
        <v>40962</v>
      </c>
      <c r="O55" s="114">
        <f>IF(Main[[#This Row],[Tech Start Date]]&lt;1/1/1990,"",IF(Main[[#This Row],[Class]]="C",WORKDAY(Main[[#This Row],[Tech Start Date]],23),IF(Main[[#This Row],[Class]]="B", WORKDAY(Main[[#This Row],[Tech Start Date]],15),IF(Main[[#This Row],[Class]]="A",WORKDAY(Main[[#This Row],[Tech Start Date]],5),""))))</f>
        <v>40967</v>
      </c>
      <c r="P55" s="114">
        <f>IF(Main[[#This Row],[Tech Start Date]]&lt;1/1/1990,"",IF(Main[[#This Row],[Class]]="C",WORKDAY(Main[[#This Row],[Tech Start Date]],28),IF(Main[[#This Row],[Class]]="B", WORKDAY(Main[[#This Row],[Tech Start Date]],19),IF(Main[[#This Row],[Class]]="A",WORKDAY(Main[[#This Row],[Tech Start Date]],9),""))))</f>
        <v>40973</v>
      </c>
      <c r="Q55" s="129">
        <v>40952</v>
      </c>
      <c r="R55" s="129">
        <v>40973</v>
      </c>
      <c r="S55" s="139" t="s">
        <v>11</v>
      </c>
      <c r="T55" s="115" t="s">
        <v>3841</v>
      </c>
      <c r="U55" s="139" t="s">
        <v>29</v>
      </c>
      <c r="V55" s="139" t="s">
        <v>1915</v>
      </c>
      <c r="W55" s="139" t="s">
        <v>1916</v>
      </c>
      <c r="X55" s="139" t="s">
        <v>2816</v>
      </c>
      <c r="Y55" s="112" t="s">
        <v>4</v>
      </c>
      <c r="Z55" s="112" t="s">
        <v>2053</v>
      </c>
      <c r="AA55" s="139" t="s">
        <v>2816</v>
      </c>
    </row>
    <row r="56" spans="1:27" ht="17.25" customHeight="1">
      <c r="A56" s="69">
        <f>IF(priority(Main[[#This Row],[Comments]])&lt;&gt;0, priority(Main[[#This Row],[Comments]]),"")</f>
        <v>14</v>
      </c>
      <c r="B56" s="63" t="s">
        <v>3882</v>
      </c>
      <c r="C56" s="148" t="s">
        <v>506</v>
      </c>
      <c r="D56" s="62" t="s">
        <v>3974</v>
      </c>
      <c r="E56" s="129">
        <v>40959.590081018519</v>
      </c>
      <c r="F56" s="129">
        <v>40968</v>
      </c>
      <c r="G56" s="69" t="str">
        <f>IF(stdProdLT(Main[[#This Row],[Comments]])=0.1,"N/A",IF(stdProdLT(Main[[#This Row],[Comments]])=0,"",stdProdLT(Main[[#This Row],[Comments]])))</f>
        <v>N/A</v>
      </c>
      <c r="H56" s="138">
        <f>IF(Main[[#This Row],[In Stock Date]]="N/A", "N/A",IF(AND(Main[[#This Row],[In Stock Date]]&lt;&gt;"",Main[[#This Row],[Revised Due Date]]&lt;&gt;"",Main[[#This Row],[In Stock Date]]&lt;&gt;""),Main[[#This Row],[In Stock Date]]-Main[[#This Row],[Revised Due Date]],""))</f>
        <v>-7</v>
      </c>
      <c r="I56" s="139" t="s">
        <v>561</v>
      </c>
      <c r="J56" s="139" t="s">
        <v>21</v>
      </c>
      <c r="K56" s="140" t="s">
        <v>1921</v>
      </c>
      <c r="L56" s="129">
        <v>40959</v>
      </c>
      <c r="M56" s="114">
        <f>IF(Main[[#This Row],[Tech Start Date]]&lt;1/1/1990,"",IF(Main[[#This Row],[Class]]="C",WORKDAY(Main[[#This Row],[Tech Start Date]],9),IF(Main[[#This Row],[Class]]="B", WORKDAY(Main[[#This Row],[Tech Start Date]],6),IF(Main[[#This Row],[Class]]="A",WORKDAY(Main[[#This Row],[Tech Start Date]],2),""))))</f>
        <v>40967</v>
      </c>
      <c r="N56" s="114">
        <f>IF(Main[[#This Row],[Tech Start Date]]&lt;1/1/1990,"",IF(Main[[#This Row],[Class]]="C",WORKDAY(Main[[#This Row],[Tech Start Date]],19),IF(Main[[#This Row],[Class]]="B", WORKDAY(Main[[#This Row],[Tech Start Date]],12),IF(Main[[#This Row],[Class]]="A",WORKDAY(Main[[#This Row],[Tech Start Date]],4),""))))</f>
        <v>40975</v>
      </c>
      <c r="O56" s="114">
        <f>IF(Main[[#This Row],[Tech Start Date]]&lt;1/1/1990,"",IF(Main[[#This Row],[Class]]="C",WORKDAY(Main[[#This Row],[Tech Start Date]],23),IF(Main[[#This Row],[Class]]="B", WORKDAY(Main[[#This Row],[Tech Start Date]],15),IF(Main[[#This Row],[Class]]="A",WORKDAY(Main[[#This Row],[Tech Start Date]],5),""))))</f>
        <v>40980</v>
      </c>
      <c r="P56" s="114">
        <f>IF(Main[[#This Row],[Tech Start Date]]&lt;1/1/1990,"",IF(Main[[#This Row],[Class]]="C",WORKDAY(Main[[#This Row],[Tech Start Date]],28),IF(Main[[#This Row],[Class]]="B", WORKDAY(Main[[#This Row],[Tech Start Date]],19),IF(Main[[#This Row],[Class]]="A",WORKDAY(Main[[#This Row],[Tech Start Date]],9),""))))</f>
        <v>40984</v>
      </c>
      <c r="Q56" s="129"/>
      <c r="R56" s="129">
        <v>40975</v>
      </c>
      <c r="S56" s="139" t="s">
        <v>11</v>
      </c>
      <c r="T56" s="115" t="s">
        <v>3883</v>
      </c>
      <c r="U56" s="139" t="s">
        <v>29</v>
      </c>
      <c r="V56" s="139" t="s">
        <v>1914</v>
      </c>
      <c r="W56" s="139" t="s">
        <v>1922</v>
      </c>
      <c r="X56" s="139" t="s">
        <v>50</v>
      </c>
      <c r="Y56" s="112" t="s">
        <v>3042</v>
      </c>
      <c r="Z56" s="112" t="s">
        <v>129</v>
      </c>
      <c r="AA56" s="139" t="s">
        <v>3413</v>
      </c>
    </row>
    <row r="57" spans="1:27" ht="17.25" customHeight="1">
      <c r="A57" s="69">
        <f>IF(priority(Main[[#This Row],[Comments]])&lt;&gt;0, priority(Main[[#This Row],[Comments]]),"")</f>
        <v>14.1</v>
      </c>
      <c r="B57" s="63" t="s">
        <v>3912</v>
      </c>
      <c r="C57" s="148" t="s">
        <v>3906</v>
      </c>
      <c r="D57" s="62" t="s">
        <v>3913</v>
      </c>
      <c r="E57" s="129">
        <v>40967.313819444447</v>
      </c>
      <c r="F57" s="129"/>
      <c r="G57" s="69">
        <f>IF(stdProdLT(Main[[#This Row],[Comments]])=0.1,"N/A",IF(stdProdLT(Main[[#This Row],[Comments]])=0,"",stdProdLT(Main[[#This Row],[Comments]])))</f>
        <v>112</v>
      </c>
      <c r="H57" s="138" t="str">
        <f>IF(Main[[#This Row],[In Stock Date]]="N/A", "N/A",IF(AND(Main[[#This Row],[In Stock Date]]&lt;&gt;"",Main[[#This Row],[Revised Due Date]]&lt;&gt;"",Main[[#This Row],[In Stock Date]]&lt;&gt;""),Main[[#This Row],[In Stock Date]]-Main[[#This Row],[Revised Due Date]],""))</f>
        <v/>
      </c>
      <c r="I57" s="139" t="s">
        <v>937</v>
      </c>
      <c r="J57" s="139" t="s">
        <v>28</v>
      </c>
      <c r="K57" s="139" t="s">
        <v>1923</v>
      </c>
      <c r="L57" s="129">
        <v>40967</v>
      </c>
      <c r="M57" s="114">
        <f>IF(Main[[#This Row],[Tech Start Date]]&lt;1/1/1990,"",IF(Main[[#This Row],[Class]]="C",WORKDAY(Main[[#This Row],[Tech Start Date]],9),IF(Main[[#This Row],[Class]]="B", WORKDAY(Main[[#This Row],[Tech Start Date]],6),IF(Main[[#This Row],[Class]]="A",WORKDAY(Main[[#This Row],[Tech Start Date]],2),""))))</f>
        <v>40969</v>
      </c>
      <c r="N57" s="114">
        <f>IF(Main[[#This Row],[Tech Start Date]]&lt;1/1/1990,"",IF(Main[[#This Row],[Class]]="C",WORKDAY(Main[[#This Row],[Tech Start Date]],19),IF(Main[[#This Row],[Class]]="B", WORKDAY(Main[[#This Row],[Tech Start Date]],12),IF(Main[[#This Row],[Class]]="A",WORKDAY(Main[[#This Row],[Tech Start Date]],4),""))))</f>
        <v>40973</v>
      </c>
      <c r="O57" s="114">
        <f>IF(Main[[#This Row],[Tech Start Date]]&lt;1/1/1990,"",IF(Main[[#This Row],[Class]]="C",WORKDAY(Main[[#This Row],[Tech Start Date]],23),IF(Main[[#This Row],[Class]]="B", WORKDAY(Main[[#This Row],[Tech Start Date]],15),IF(Main[[#This Row],[Class]]="A",WORKDAY(Main[[#This Row],[Tech Start Date]],5),""))))</f>
        <v>40974</v>
      </c>
      <c r="P57" s="114">
        <f>IF(Main[[#This Row],[Tech Start Date]]&lt;1/1/1990,"",IF(Main[[#This Row],[Class]]="C",WORKDAY(Main[[#This Row],[Tech Start Date]],28),IF(Main[[#This Row],[Class]]="B", WORKDAY(Main[[#This Row],[Tech Start Date]],19),IF(Main[[#This Row],[Class]]="A",WORKDAY(Main[[#This Row],[Tech Start Date]],9),""))))</f>
        <v>40980</v>
      </c>
      <c r="Q57" s="129">
        <v>40973</v>
      </c>
      <c r="R57" s="129">
        <v>40977</v>
      </c>
      <c r="S57" s="139" t="s">
        <v>11</v>
      </c>
      <c r="T57" s="115" t="s">
        <v>3914</v>
      </c>
      <c r="U57" s="139" t="s">
        <v>29</v>
      </c>
      <c r="V57" s="139" t="s">
        <v>1914</v>
      </c>
      <c r="W57" s="139" t="s">
        <v>1922</v>
      </c>
      <c r="X57" s="139" t="s">
        <v>2911</v>
      </c>
      <c r="Y57" s="112" t="s">
        <v>4</v>
      </c>
      <c r="Z57" s="112" t="s">
        <v>129</v>
      </c>
      <c r="AA57" s="139" t="s">
        <v>3909</v>
      </c>
    </row>
    <row r="58" spans="1:27" ht="17.25" customHeight="1">
      <c r="A58" s="69">
        <f>IF(priority(Main[[#This Row],[Comments]])&lt;&gt;0, priority(Main[[#This Row],[Comments]]),"")</f>
        <v>14.2</v>
      </c>
      <c r="B58" s="63" t="s">
        <v>3905</v>
      </c>
      <c r="C58" s="148" t="s">
        <v>3906</v>
      </c>
      <c r="D58" s="62" t="s">
        <v>3907</v>
      </c>
      <c r="E58" s="129">
        <v>40967.308171296296</v>
      </c>
      <c r="F58" s="129">
        <v>41050</v>
      </c>
      <c r="G58" s="69">
        <f>IF(stdProdLT(Main[[#This Row],[Comments]])=0.1,"N/A",IF(stdProdLT(Main[[#This Row],[Comments]])=0,"",stdProdLT(Main[[#This Row],[Comments]])))</f>
        <v>112</v>
      </c>
      <c r="H58" s="138">
        <f>IF(Main[[#This Row],[In Stock Date]]="N/A", "N/A",IF(AND(Main[[#This Row],[In Stock Date]]&lt;&gt;"",Main[[#This Row],[Revised Due Date]]&lt;&gt;"",Main[[#This Row],[In Stock Date]]&lt;&gt;""),Main[[#This Row],[In Stock Date]]-Main[[#This Row],[Revised Due Date]],""))</f>
        <v>73</v>
      </c>
      <c r="I58" s="139" t="s">
        <v>561</v>
      </c>
      <c r="J58" s="139" t="s">
        <v>28</v>
      </c>
      <c r="K58" s="140" t="s">
        <v>1921</v>
      </c>
      <c r="L58" s="129">
        <v>40967</v>
      </c>
      <c r="M58" s="114">
        <f>IF(Main[[#This Row],[Tech Start Date]]&lt;1/1/1990,"",IF(Main[[#This Row],[Class]]="C",WORKDAY(Main[[#This Row],[Tech Start Date]],9),IF(Main[[#This Row],[Class]]="B", WORKDAY(Main[[#This Row],[Tech Start Date]],6),IF(Main[[#This Row],[Class]]="A",WORKDAY(Main[[#This Row],[Tech Start Date]],2),""))))</f>
        <v>40975</v>
      </c>
      <c r="N58" s="114">
        <f>IF(Main[[#This Row],[Tech Start Date]]&lt;1/1/1990,"",IF(Main[[#This Row],[Class]]="C",WORKDAY(Main[[#This Row],[Tech Start Date]],19),IF(Main[[#This Row],[Class]]="B", WORKDAY(Main[[#This Row],[Tech Start Date]],12),IF(Main[[#This Row],[Class]]="A",WORKDAY(Main[[#This Row],[Tech Start Date]],4),""))))</f>
        <v>40983</v>
      </c>
      <c r="O58" s="114">
        <f>IF(Main[[#This Row],[Tech Start Date]]&lt;1/1/1990,"",IF(Main[[#This Row],[Class]]="C",WORKDAY(Main[[#This Row],[Tech Start Date]],23),IF(Main[[#This Row],[Class]]="B", WORKDAY(Main[[#This Row],[Tech Start Date]],15),IF(Main[[#This Row],[Class]]="A",WORKDAY(Main[[#This Row],[Tech Start Date]],5),""))))</f>
        <v>40988</v>
      </c>
      <c r="P58" s="114">
        <f>IF(Main[[#This Row],[Tech Start Date]]&lt;1/1/1990,"",IF(Main[[#This Row],[Class]]="C",WORKDAY(Main[[#This Row],[Tech Start Date]],28),IF(Main[[#This Row],[Class]]="B", WORKDAY(Main[[#This Row],[Tech Start Date]],19),IF(Main[[#This Row],[Class]]="A",WORKDAY(Main[[#This Row],[Tech Start Date]],9),""))))</f>
        <v>40994</v>
      </c>
      <c r="Q58" s="129">
        <v>40973</v>
      </c>
      <c r="R58" s="129">
        <v>40977</v>
      </c>
      <c r="S58" s="139" t="s">
        <v>11</v>
      </c>
      <c r="T58" s="115" t="s">
        <v>3908</v>
      </c>
      <c r="U58" s="139" t="s">
        <v>29</v>
      </c>
      <c r="V58" s="139" t="s">
        <v>1914</v>
      </c>
      <c r="W58" s="139" t="s">
        <v>1922</v>
      </c>
      <c r="X58" s="139" t="s">
        <v>2911</v>
      </c>
      <c r="Y58" s="112" t="s">
        <v>4</v>
      </c>
      <c r="Z58" s="112" t="s">
        <v>912</v>
      </c>
      <c r="AA58" s="139" t="s">
        <v>3909</v>
      </c>
    </row>
    <row r="59" spans="1:27" ht="17.25" customHeight="1">
      <c r="A59" s="69">
        <f>IF(priority(Main[[#This Row],[Comments]])&lt;&gt;0, priority(Main[[#This Row],[Comments]]),"")</f>
        <v>14.3</v>
      </c>
      <c r="B59" s="63" t="s">
        <v>3658</v>
      </c>
      <c r="C59" s="148" t="s">
        <v>4</v>
      </c>
      <c r="D59" s="62" t="s">
        <v>3659</v>
      </c>
      <c r="E59" s="129">
        <v>40961.53570601852</v>
      </c>
      <c r="F59" s="129"/>
      <c r="G59" s="69" t="str">
        <f>IF(stdProdLT(Main[[#This Row],[Comments]])=0.1,"N/A",IF(stdProdLT(Main[[#This Row],[Comments]])=0,"",stdProdLT(Main[[#This Row],[Comments]])))</f>
        <v>N/A</v>
      </c>
      <c r="H59" s="138" t="str">
        <f>IF(Main[[#This Row],[In Stock Date]]="N/A", "N/A",IF(AND(Main[[#This Row],[In Stock Date]]&lt;&gt;"",Main[[#This Row],[Revised Due Date]]&lt;&gt;"",Main[[#This Row],[In Stock Date]]&lt;&gt;""),Main[[#This Row],[In Stock Date]]-Main[[#This Row],[Revised Due Date]],""))</f>
        <v/>
      </c>
      <c r="I59" s="139" t="s">
        <v>4</v>
      </c>
      <c r="J59" s="139" t="s">
        <v>4</v>
      </c>
      <c r="K59" s="139" t="s">
        <v>4</v>
      </c>
      <c r="L59" s="129"/>
      <c r="M59" s="114" t="str">
        <f>IF(Main[[#This Row],[Tech Start Date]]&lt;1/1/1990,"",IF(Main[[#This Row],[Class]]="C",WORKDAY(Main[[#This Row],[Tech Start Date]],9),IF(Main[[#This Row],[Class]]="B", WORKDAY(Main[[#This Row],[Tech Start Date]],6),IF(Main[[#This Row],[Class]]="A",WORKDAY(Main[[#This Row],[Tech Start Date]],2),""))))</f>
        <v/>
      </c>
      <c r="N59" s="114" t="str">
        <f>IF(Main[[#This Row],[Tech Start Date]]&lt;1/1/1990,"",IF(Main[[#This Row],[Class]]="C",WORKDAY(Main[[#This Row],[Tech Start Date]],19),IF(Main[[#This Row],[Class]]="B", WORKDAY(Main[[#This Row],[Tech Start Date]],12),IF(Main[[#This Row],[Class]]="A",WORKDAY(Main[[#This Row],[Tech Start Date]],4),""))))</f>
        <v/>
      </c>
      <c r="O59" s="114" t="str">
        <f>IF(Main[[#This Row],[Tech Start Date]]&lt;1/1/1990,"",IF(Main[[#This Row],[Class]]="C",WORKDAY(Main[[#This Row],[Tech Start Date]],23),IF(Main[[#This Row],[Class]]="B", WORKDAY(Main[[#This Row],[Tech Start Date]],15),IF(Main[[#This Row],[Class]]="A",WORKDAY(Main[[#This Row],[Tech Start Date]],5),""))))</f>
        <v/>
      </c>
      <c r="P59" s="114" t="str">
        <f>IF(Main[[#This Row],[Tech Start Date]]&lt;1/1/1990,"",IF(Main[[#This Row],[Class]]="C",WORKDAY(Main[[#This Row],[Tech Start Date]],28),IF(Main[[#This Row],[Class]]="B", WORKDAY(Main[[#This Row],[Tech Start Date]],19),IF(Main[[#This Row],[Class]]="A",WORKDAY(Main[[#This Row],[Tech Start Date]],9),""))))</f>
        <v/>
      </c>
      <c r="Q59" s="129">
        <v>40984</v>
      </c>
      <c r="R59" s="129"/>
      <c r="S59" s="139" t="s">
        <v>11</v>
      </c>
      <c r="T59" s="115" t="s">
        <v>3660</v>
      </c>
      <c r="U59" s="139" t="s">
        <v>7</v>
      </c>
      <c r="V59" s="139" t="s">
        <v>1914</v>
      </c>
      <c r="W59" s="139" t="s">
        <v>1928</v>
      </c>
      <c r="X59" s="139" t="s">
        <v>2821</v>
      </c>
      <c r="Y59" s="112" t="s">
        <v>2936</v>
      </c>
      <c r="Z59" s="112" t="s">
        <v>4</v>
      </c>
      <c r="AA59" s="139" t="s">
        <v>2821</v>
      </c>
    </row>
    <row r="60" spans="1:27" ht="17.25" customHeight="1">
      <c r="A60" s="69">
        <f>IF(priority(Main[[#This Row],[Comments]])&lt;&gt;0, priority(Main[[#This Row],[Comments]]),"")</f>
        <v>15</v>
      </c>
      <c r="B60" s="63" t="s">
        <v>3615</v>
      </c>
      <c r="C60" s="148" t="s">
        <v>3242</v>
      </c>
      <c r="D60" s="113" t="s">
        <v>3184</v>
      </c>
      <c r="E60" s="129">
        <v>40962.070138888892</v>
      </c>
      <c r="F60" s="129">
        <v>41122</v>
      </c>
      <c r="G60" s="69">
        <f>IF(stdProdLT(Main[[#This Row],[Comments]])=0.1,"N/A",IF(stdProdLT(Main[[#This Row],[Comments]])=0,"",stdProdLT(Main[[#This Row],[Comments]])))</f>
        <v>168</v>
      </c>
      <c r="H60" s="138" t="str">
        <f>IF(Main[[#This Row],[In Stock Date]]="N/A", "N/A",IF(AND(Main[[#This Row],[In Stock Date]]&lt;&gt;"",Main[[#This Row],[Revised Due Date]]&lt;&gt;"",Main[[#This Row],[In Stock Date]]&lt;&gt;""),Main[[#This Row],[In Stock Date]]-Main[[#This Row],[Revised Due Date]],""))</f>
        <v/>
      </c>
      <c r="I60" s="139" t="s">
        <v>4</v>
      </c>
      <c r="J60" s="139" t="s">
        <v>4</v>
      </c>
      <c r="K60" s="139" t="s">
        <v>4</v>
      </c>
      <c r="L60" s="129"/>
      <c r="M60" s="114" t="str">
        <f>IF(Main[[#This Row],[Tech Start Date]]&lt;1/1/1990,"",IF(Main[[#This Row],[Class]]="C",WORKDAY(Main[[#This Row],[Tech Start Date]],9),IF(Main[[#This Row],[Class]]="B", WORKDAY(Main[[#This Row],[Tech Start Date]],6),IF(Main[[#This Row],[Class]]="A",WORKDAY(Main[[#This Row],[Tech Start Date]],2),""))))</f>
        <v/>
      </c>
      <c r="N60" s="114" t="str">
        <f>IF(Main[[#This Row],[Tech Start Date]]&lt;1/1/1990,"",IF(Main[[#This Row],[Class]]="C",WORKDAY(Main[[#This Row],[Tech Start Date]],19),IF(Main[[#This Row],[Class]]="B", WORKDAY(Main[[#This Row],[Tech Start Date]],12),IF(Main[[#This Row],[Class]]="A",WORKDAY(Main[[#This Row],[Tech Start Date]],4),""))))</f>
        <v/>
      </c>
      <c r="O60" s="114" t="str">
        <f>IF(Main[[#This Row],[Tech Start Date]]&lt;1/1/1990,"",IF(Main[[#This Row],[Class]]="C",WORKDAY(Main[[#This Row],[Tech Start Date]],23),IF(Main[[#This Row],[Class]]="B", WORKDAY(Main[[#This Row],[Tech Start Date]],15),IF(Main[[#This Row],[Class]]="A",WORKDAY(Main[[#This Row],[Tech Start Date]],5),""))))</f>
        <v/>
      </c>
      <c r="P60" s="114" t="str">
        <f>IF(Main[[#This Row],[Tech Start Date]]&lt;1/1/1990,"",IF(Main[[#This Row],[Class]]="C",WORKDAY(Main[[#This Row],[Tech Start Date]],28),IF(Main[[#This Row],[Class]]="B", WORKDAY(Main[[#This Row],[Tech Start Date]],19),IF(Main[[#This Row],[Class]]="A",WORKDAY(Main[[#This Row],[Tech Start Date]],9),""))))</f>
        <v/>
      </c>
      <c r="Q60" s="129">
        <v>41105</v>
      </c>
      <c r="R60" s="129"/>
      <c r="S60" s="139" t="s">
        <v>11</v>
      </c>
      <c r="T60" s="115" t="s">
        <v>3954</v>
      </c>
      <c r="U60" s="139" t="s">
        <v>7</v>
      </c>
      <c r="V60" s="139" t="s">
        <v>1917</v>
      </c>
      <c r="W60" s="139" t="s">
        <v>1925</v>
      </c>
      <c r="X60" s="139" t="s">
        <v>2846</v>
      </c>
      <c r="Y60" s="112" t="s">
        <v>3241</v>
      </c>
      <c r="Z60" s="112" t="s">
        <v>4</v>
      </c>
      <c r="AA60" s="139" t="s">
        <v>2846</v>
      </c>
    </row>
    <row r="61" spans="1:27" ht="17.25" customHeight="1">
      <c r="A61" s="69">
        <f>IF(priority(Main[[#This Row],[Comments]])&lt;&gt;0, priority(Main[[#This Row],[Comments]]),"")</f>
        <v>15</v>
      </c>
      <c r="B61" s="63" t="s">
        <v>3764</v>
      </c>
      <c r="C61" s="148" t="s">
        <v>3765</v>
      </c>
      <c r="D61" s="62" t="s">
        <v>3766</v>
      </c>
      <c r="E61" s="129">
        <v>40959.336805555555</v>
      </c>
      <c r="F61" s="129">
        <v>41091</v>
      </c>
      <c r="G61" s="69">
        <f>IF(stdProdLT(Main[[#This Row],[Comments]])=0.1,"N/A",IF(stdProdLT(Main[[#This Row],[Comments]])=0,"",stdProdLT(Main[[#This Row],[Comments]])))</f>
        <v>112</v>
      </c>
      <c r="H61" s="138" t="str">
        <f>IF(Main[[#This Row],[In Stock Date]]="N/A", "N/A",IF(AND(Main[[#This Row],[In Stock Date]]&lt;&gt;"",Main[[#This Row],[Revised Due Date]]&lt;&gt;"",Main[[#This Row],[In Stock Date]]&lt;&gt;""),Main[[#This Row],[In Stock Date]]-Main[[#This Row],[Revised Due Date]],""))</f>
        <v/>
      </c>
      <c r="I61" s="139" t="s">
        <v>4</v>
      </c>
      <c r="J61" s="139" t="s">
        <v>4</v>
      </c>
      <c r="K61" s="139" t="s">
        <v>4</v>
      </c>
      <c r="L61" s="129"/>
      <c r="M61" s="114" t="str">
        <f>IF(Main[[#This Row],[Tech Start Date]]&lt;1/1/1990,"",IF(Main[[#This Row],[Class]]="C",WORKDAY(Main[[#This Row],[Tech Start Date]],9),IF(Main[[#This Row],[Class]]="B", WORKDAY(Main[[#This Row],[Tech Start Date]],6),IF(Main[[#This Row],[Class]]="A",WORKDAY(Main[[#This Row],[Tech Start Date]],2),""))))</f>
        <v/>
      </c>
      <c r="N61" s="114" t="str">
        <f>IF(Main[[#This Row],[Tech Start Date]]&lt;1/1/1990,"",IF(Main[[#This Row],[Class]]="C",WORKDAY(Main[[#This Row],[Tech Start Date]],19),IF(Main[[#This Row],[Class]]="B", WORKDAY(Main[[#This Row],[Tech Start Date]],12),IF(Main[[#This Row],[Class]]="A",WORKDAY(Main[[#This Row],[Tech Start Date]],4),""))))</f>
        <v/>
      </c>
      <c r="O61" s="114" t="str">
        <f>IF(Main[[#This Row],[Tech Start Date]]&lt;1/1/1990,"",IF(Main[[#This Row],[Class]]="C",WORKDAY(Main[[#This Row],[Tech Start Date]],23),IF(Main[[#This Row],[Class]]="B", WORKDAY(Main[[#This Row],[Tech Start Date]],15),IF(Main[[#This Row],[Class]]="A",WORKDAY(Main[[#This Row],[Tech Start Date]],5),""))))</f>
        <v/>
      </c>
      <c r="P61" s="114" t="str">
        <f>IF(Main[[#This Row],[Tech Start Date]]&lt;1/1/1990,"",IF(Main[[#This Row],[Class]]="C",WORKDAY(Main[[#This Row],[Tech Start Date]],28),IF(Main[[#This Row],[Class]]="B", WORKDAY(Main[[#This Row],[Tech Start Date]],19),IF(Main[[#This Row],[Class]]="A",WORKDAY(Main[[#This Row],[Tech Start Date]],9),""))))</f>
        <v/>
      </c>
      <c r="Q61" s="129">
        <v>40860</v>
      </c>
      <c r="R61" s="129"/>
      <c r="S61" s="139" t="s">
        <v>11</v>
      </c>
      <c r="T61" s="115" t="s">
        <v>3767</v>
      </c>
      <c r="U61" s="139" t="s">
        <v>7</v>
      </c>
      <c r="V61" s="139" t="s">
        <v>1914</v>
      </c>
      <c r="W61" s="139" t="s">
        <v>1919</v>
      </c>
      <c r="X61" s="139" t="s">
        <v>2860</v>
      </c>
      <c r="Y61" s="112" t="s">
        <v>4</v>
      </c>
      <c r="Z61" s="112" t="s">
        <v>4</v>
      </c>
      <c r="AA61" s="139" t="s">
        <v>2860</v>
      </c>
    </row>
    <row r="62" spans="1:27" ht="17.25" customHeight="1">
      <c r="A62" s="69">
        <f>IF(priority(Main[[#This Row],[Comments]])&lt;&gt;0, priority(Main[[#This Row],[Comments]]),"")</f>
        <v>15</v>
      </c>
      <c r="B62" s="63" t="s">
        <v>1994</v>
      </c>
      <c r="C62" s="148" t="s">
        <v>53</v>
      </c>
      <c r="D62" s="113" t="s">
        <v>3785</v>
      </c>
      <c r="E62" s="129">
        <v>40735.69803240741</v>
      </c>
      <c r="F62" s="129">
        <v>40836</v>
      </c>
      <c r="G62" s="69" t="str">
        <f>IF(stdProdLT(Main[[#This Row],[Comments]])=0.1,"N/A",IF(stdProdLT(Main[[#This Row],[Comments]])=0,"",stdProdLT(Main[[#This Row],[Comments]])))</f>
        <v>N/A</v>
      </c>
      <c r="H62" s="138">
        <f>IF(Main[[#This Row],[In Stock Date]]="N/A", "N/A",IF(AND(Main[[#This Row],[In Stock Date]]&lt;&gt;"",Main[[#This Row],[Revised Due Date]]&lt;&gt;"",Main[[#This Row],[In Stock Date]]&lt;&gt;""),Main[[#This Row],[In Stock Date]]-Main[[#This Row],[Revised Due Date]],""))</f>
        <v>-141</v>
      </c>
      <c r="I62" s="139" t="s">
        <v>941</v>
      </c>
      <c r="J62" s="139" t="s">
        <v>28</v>
      </c>
      <c r="K62" s="139" t="s">
        <v>1921</v>
      </c>
      <c r="L62" s="129">
        <v>40756</v>
      </c>
      <c r="M62" s="114">
        <f>IF(Main[[#This Row],[Tech Start Date]]&lt;1/1/1990,"",IF(Main[[#This Row],[Class]]="C",WORKDAY(Main[[#This Row],[Tech Start Date]],9),IF(Main[[#This Row],[Class]]="B", WORKDAY(Main[[#This Row],[Tech Start Date]],6),IF(Main[[#This Row],[Class]]="A",WORKDAY(Main[[#This Row],[Tech Start Date]],2),""))))</f>
        <v>40764</v>
      </c>
      <c r="N62" s="114">
        <f>IF(Main[[#This Row],[Tech Start Date]]&lt;1/1/1990,"",IF(Main[[#This Row],[Class]]="C",WORKDAY(Main[[#This Row],[Tech Start Date]],19),IF(Main[[#This Row],[Class]]="B", WORKDAY(Main[[#This Row],[Tech Start Date]],12),IF(Main[[#This Row],[Class]]="A",WORKDAY(Main[[#This Row],[Tech Start Date]],4),""))))</f>
        <v>40772</v>
      </c>
      <c r="O62" s="114">
        <f>IF(Main[[#This Row],[Tech Start Date]]&lt;1/1/1990,"",IF(Main[[#This Row],[Class]]="C",WORKDAY(Main[[#This Row],[Tech Start Date]],23),IF(Main[[#This Row],[Class]]="B", WORKDAY(Main[[#This Row],[Tech Start Date]],15),IF(Main[[#This Row],[Class]]="A",WORKDAY(Main[[#This Row],[Tech Start Date]],5),""))))</f>
        <v>40777</v>
      </c>
      <c r="P62" s="114">
        <f>IF(Main[[#This Row],[Tech Start Date]]&lt;1/1/1990,"",IF(Main[[#This Row],[Class]]="C",WORKDAY(Main[[#This Row],[Tech Start Date]],28),IF(Main[[#This Row],[Class]]="B", WORKDAY(Main[[#This Row],[Tech Start Date]],19),IF(Main[[#This Row],[Class]]="A",WORKDAY(Main[[#This Row],[Tech Start Date]],9),""))))</f>
        <v>40781</v>
      </c>
      <c r="Q62" s="129"/>
      <c r="R62" s="129">
        <v>40977</v>
      </c>
      <c r="S62" s="139" t="s">
        <v>11</v>
      </c>
      <c r="T62" s="115" t="s">
        <v>3786</v>
      </c>
      <c r="U62" s="139" t="s">
        <v>29</v>
      </c>
      <c r="V62" s="139" t="s">
        <v>1915</v>
      </c>
      <c r="W62" s="139" t="s">
        <v>1916</v>
      </c>
      <c r="X62" s="139" t="s">
        <v>2816</v>
      </c>
      <c r="Y62" s="112" t="s">
        <v>2993</v>
      </c>
      <c r="Z62" s="112" t="s">
        <v>2053</v>
      </c>
      <c r="AA62" s="139" t="s">
        <v>3474</v>
      </c>
    </row>
    <row r="63" spans="1:27" ht="17.25" customHeight="1">
      <c r="A63" s="69">
        <f>IF(priority(Main[[#This Row],[Comments]])&lt;&gt;0, priority(Main[[#This Row],[Comments]]),"")</f>
        <v>16</v>
      </c>
      <c r="B63" s="63" t="s">
        <v>2584</v>
      </c>
      <c r="C63" s="148" t="s">
        <v>3240</v>
      </c>
      <c r="D63" s="62" t="s">
        <v>3817</v>
      </c>
      <c r="E63" s="129">
        <v>40848.443101851852</v>
      </c>
      <c r="F63" s="129">
        <v>41153</v>
      </c>
      <c r="G63" s="69">
        <f>IF(stdProdLT(Main[[#This Row],[Comments]])=0.1,"N/A",IF(stdProdLT(Main[[#This Row],[Comments]])=0,"",stdProdLT(Main[[#This Row],[Comments]])))</f>
        <v>126</v>
      </c>
      <c r="H63" s="138">
        <f>IF(Main[[#This Row],[In Stock Date]]="N/A", "N/A",IF(AND(Main[[#This Row],[In Stock Date]]&lt;&gt;"",Main[[#This Row],[Revised Due Date]]&lt;&gt;"",Main[[#This Row],[In Stock Date]]&lt;&gt;""),Main[[#This Row],[In Stock Date]]-Main[[#This Row],[Revised Due Date]],""))</f>
        <v>183</v>
      </c>
      <c r="I63" s="139" t="s">
        <v>399</v>
      </c>
      <c r="J63" s="139" t="s">
        <v>51</v>
      </c>
      <c r="K63" s="139" t="s">
        <v>1921</v>
      </c>
      <c r="L63" s="129">
        <v>40918</v>
      </c>
      <c r="M63" s="114">
        <f>IF(Main[[#This Row],[Tech Start Date]]&lt;1/1/1990,"",IF(Main[[#This Row],[Class]]="C",WORKDAY(Main[[#This Row],[Tech Start Date]],9),IF(Main[[#This Row],[Class]]="B", WORKDAY(Main[[#This Row],[Tech Start Date]],6),IF(Main[[#This Row],[Class]]="A",WORKDAY(Main[[#This Row],[Tech Start Date]],2),""))))</f>
        <v>40926</v>
      </c>
      <c r="N63" s="114">
        <f>IF(Main[[#This Row],[Tech Start Date]]&lt;1/1/1990,"",IF(Main[[#This Row],[Class]]="C",WORKDAY(Main[[#This Row],[Tech Start Date]],19),IF(Main[[#This Row],[Class]]="B", WORKDAY(Main[[#This Row],[Tech Start Date]],12),IF(Main[[#This Row],[Class]]="A",WORKDAY(Main[[#This Row],[Tech Start Date]],4),""))))</f>
        <v>40934</v>
      </c>
      <c r="O63" s="114">
        <f>IF(Main[[#This Row],[Tech Start Date]]&lt;1/1/1990,"",IF(Main[[#This Row],[Class]]="C",WORKDAY(Main[[#This Row],[Tech Start Date]],23),IF(Main[[#This Row],[Class]]="B", WORKDAY(Main[[#This Row],[Tech Start Date]],15),IF(Main[[#This Row],[Class]]="A",WORKDAY(Main[[#This Row],[Tech Start Date]],5),""))))</f>
        <v>40939</v>
      </c>
      <c r="P63" s="114">
        <f>IF(Main[[#This Row],[Tech Start Date]]&lt;1/1/1990,"",IF(Main[[#This Row],[Class]]="C",WORKDAY(Main[[#This Row],[Tech Start Date]],28),IF(Main[[#This Row],[Class]]="B", WORKDAY(Main[[#This Row],[Tech Start Date]],19),IF(Main[[#This Row],[Class]]="A",WORKDAY(Main[[#This Row],[Tech Start Date]],9),""))))</f>
        <v>40945</v>
      </c>
      <c r="Q63" s="129">
        <v>41153</v>
      </c>
      <c r="R63" s="129">
        <v>40970</v>
      </c>
      <c r="S63" s="139" t="s">
        <v>11</v>
      </c>
      <c r="T63" s="115" t="s">
        <v>3818</v>
      </c>
      <c r="U63" s="139" t="s">
        <v>29</v>
      </c>
      <c r="V63" s="139" t="s">
        <v>1914</v>
      </c>
      <c r="W63" s="139" t="s">
        <v>1920</v>
      </c>
      <c r="X63" s="139" t="s">
        <v>2909</v>
      </c>
      <c r="Y63" s="112" t="s">
        <v>2930</v>
      </c>
      <c r="Z63" s="112" t="s">
        <v>129</v>
      </c>
      <c r="AA63" s="139" t="s">
        <v>2909</v>
      </c>
    </row>
    <row r="64" spans="1:27" ht="17.25" customHeight="1">
      <c r="A64" s="69">
        <f>IF(priority(Main[[#This Row],[Comments]])&lt;&gt;0, priority(Main[[#This Row],[Comments]]),"")</f>
        <v>16</v>
      </c>
      <c r="B64" s="63" t="s">
        <v>3884</v>
      </c>
      <c r="C64" s="148" t="s">
        <v>3885</v>
      </c>
      <c r="D64" s="113" t="s">
        <v>3886</v>
      </c>
      <c r="E64" s="129"/>
      <c r="F64" s="129">
        <v>41105</v>
      </c>
      <c r="G64" s="69">
        <f>IF(stdProdLT(Main[[#This Row],[Comments]])=0.1,"N/A",IF(stdProdLT(Main[[#This Row],[Comments]])=0,"",stdProdLT(Main[[#This Row],[Comments]])))</f>
        <v>140</v>
      </c>
      <c r="H64" s="138">
        <f>IF(Main[[#This Row],[In Stock Date]]="N/A", "N/A",IF(AND(Main[[#This Row],[In Stock Date]]&lt;&gt;"",Main[[#This Row],[Revised Due Date]]&lt;&gt;"",Main[[#This Row],[In Stock Date]]&lt;&gt;""),Main[[#This Row],[In Stock Date]]-Main[[#This Row],[Revised Due Date]],""))</f>
        <v>124</v>
      </c>
      <c r="I64" s="139" t="s">
        <v>130</v>
      </c>
      <c r="J64" s="139" t="s">
        <v>70</v>
      </c>
      <c r="K64" s="139" t="s">
        <v>1923</v>
      </c>
      <c r="L64" s="129">
        <v>40960</v>
      </c>
      <c r="M64" s="114">
        <f>IF(Main[[#This Row],[Tech Start Date]]&lt;1/1/1990,"",IF(Main[[#This Row],[Class]]="C",WORKDAY(Main[[#This Row],[Tech Start Date]],9),IF(Main[[#This Row],[Class]]="B", WORKDAY(Main[[#This Row],[Tech Start Date]],6),IF(Main[[#This Row],[Class]]="A",WORKDAY(Main[[#This Row],[Tech Start Date]],2),""))))</f>
        <v>40962</v>
      </c>
      <c r="N64" s="114">
        <f>IF(Main[[#This Row],[Tech Start Date]]&lt;1/1/1990,"",IF(Main[[#This Row],[Class]]="C",WORKDAY(Main[[#This Row],[Tech Start Date]],19),IF(Main[[#This Row],[Class]]="B", WORKDAY(Main[[#This Row],[Tech Start Date]],12),IF(Main[[#This Row],[Class]]="A",WORKDAY(Main[[#This Row],[Tech Start Date]],4),""))))</f>
        <v>40966</v>
      </c>
      <c r="O64" s="114">
        <f>IF(Main[[#This Row],[Tech Start Date]]&lt;1/1/1990,"",IF(Main[[#This Row],[Class]]="C",WORKDAY(Main[[#This Row],[Tech Start Date]],23),IF(Main[[#This Row],[Class]]="B", WORKDAY(Main[[#This Row],[Tech Start Date]],15),IF(Main[[#This Row],[Class]]="A",WORKDAY(Main[[#This Row],[Tech Start Date]],5),""))))</f>
        <v>40967</v>
      </c>
      <c r="P64" s="114">
        <f>IF(Main[[#This Row],[Tech Start Date]]&lt;1/1/1990,"",IF(Main[[#This Row],[Class]]="C",WORKDAY(Main[[#This Row],[Tech Start Date]],28),IF(Main[[#This Row],[Class]]="B", WORKDAY(Main[[#This Row],[Tech Start Date]],19),IF(Main[[#This Row],[Class]]="A",WORKDAY(Main[[#This Row],[Tech Start Date]],9),""))))</f>
        <v>40973</v>
      </c>
      <c r="Q64" s="129">
        <v>41000</v>
      </c>
      <c r="R64" s="129">
        <v>40981</v>
      </c>
      <c r="S64" s="139" t="s">
        <v>11</v>
      </c>
      <c r="T64" s="115" t="s">
        <v>3887</v>
      </c>
      <c r="U64" s="139" t="s">
        <v>14</v>
      </c>
      <c r="V64" s="139" t="s">
        <v>1924</v>
      </c>
      <c r="W64" s="139" t="s">
        <v>1920</v>
      </c>
      <c r="X64" s="139" t="s">
        <v>2846</v>
      </c>
      <c r="Y64" s="112" t="s">
        <v>3241</v>
      </c>
      <c r="Z64" s="112" t="s">
        <v>530</v>
      </c>
      <c r="AA64" s="139" t="s">
        <v>2846</v>
      </c>
    </row>
    <row r="65" spans="1:27" ht="17.25" customHeight="1">
      <c r="A65" s="69">
        <f>IF(priority(Main[[#This Row],[Comments]])&lt;&gt;0, priority(Main[[#This Row],[Comments]]),"")</f>
        <v>16.2</v>
      </c>
      <c r="B65" s="63" t="s">
        <v>2399</v>
      </c>
      <c r="C65" s="148" t="s">
        <v>31</v>
      </c>
      <c r="D65" s="113" t="s">
        <v>2400</v>
      </c>
      <c r="E65" s="129"/>
      <c r="F65" s="129">
        <v>41000</v>
      </c>
      <c r="G65" s="69">
        <f>IF(stdProdLT(Main[[#This Row],[Comments]])=0.1,"N/A",IF(stdProdLT(Main[[#This Row],[Comments]])=0,"",stdProdLT(Main[[#This Row],[Comments]])))</f>
        <v>140</v>
      </c>
      <c r="H65" s="138" t="str">
        <f>IF(Main[[#This Row],[In Stock Date]]="N/A", "N/A",IF(AND(Main[[#This Row],[In Stock Date]]&lt;&gt;"",Main[[#This Row],[Revised Due Date]]&lt;&gt;"",Main[[#This Row],[In Stock Date]]&lt;&gt;""),Main[[#This Row],[In Stock Date]]-Main[[#This Row],[Revised Due Date]],""))</f>
        <v/>
      </c>
      <c r="I65" s="139" t="s">
        <v>4</v>
      </c>
      <c r="J65" s="139" t="s">
        <v>4</v>
      </c>
      <c r="K65" s="140" t="s">
        <v>4</v>
      </c>
      <c r="L65" s="129"/>
      <c r="M65" s="114" t="str">
        <f>IF(Main[[#This Row],[Tech Start Date]]&lt;1/1/1990,"",IF(Main[[#This Row],[Class]]="C",WORKDAY(Main[[#This Row],[Tech Start Date]],9),IF(Main[[#This Row],[Class]]="B", WORKDAY(Main[[#This Row],[Tech Start Date]],6),IF(Main[[#This Row],[Class]]="A",WORKDAY(Main[[#This Row],[Tech Start Date]],2),""))))</f>
        <v/>
      </c>
      <c r="N65" s="114" t="str">
        <f>IF(Main[[#This Row],[Tech Start Date]]&lt;1/1/1990,"",IF(Main[[#This Row],[Class]]="C",WORKDAY(Main[[#This Row],[Tech Start Date]],19),IF(Main[[#This Row],[Class]]="B", WORKDAY(Main[[#This Row],[Tech Start Date]],12),IF(Main[[#This Row],[Class]]="A",WORKDAY(Main[[#This Row],[Tech Start Date]],4),""))))</f>
        <v/>
      </c>
      <c r="O65" s="114" t="str">
        <f>IF(Main[[#This Row],[Tech Start Date]]&lt;1/1/1990,"",IF(Main[[#This Row],[Class]]="C",WORKDAY(Main[[#This Row],[Tech Start Date]],23),IF(Main[[#This Row],[Class]]="B", WORKDAY(Main[[#This Row],[Tech Start Date]],15),IF(Main[[#This Row],[Class]]="A",WORKDAY(Main[[#This Row],[Tech Start Date]],5),""))))</f>
        <v/>
      </c>
      <c r="P65" s="114" t="str">
        <f>IF(Main[[#This Row],[Tech Start Date]]&lt;1/1/1990,"",IF(Main[[#This Row],[Class]]="C",WORKDAY(Main[[#This Row],[Tech Start Date]],28),IF(Main[[#This Row],[Class]]="B", WORKDAY(Main[[#This Row],[Tech Start Date]],19),IF(Main[[#This Row],[Class]]="A",WORKDAY(Main[[#This Row],[Tech Start Date]],9),""))))</f>
        <v/>
      </c>
      <c r="Q65" s="129">
        <v>40916</v>
      </c>
      <c r="R65" s="129"/>
      <c r="S65" s="139" t="s">
        <v>11</v>
      </c>
      <c r="T65" s="115" t="s">
        <v>2401</v>
      </c>
      <c r="U65" s="139" t="s">
        <v>14</v>
      </c>
      <c r="V65" s="139" t="s">
        <v>1924</v>
      </c>
      <c r="W65" s="139" t="s">
        <v>1920</v>
      </c>
      <c r="X65" s="139" t="s">
        <v>2840</v>
      </c>
      <c r="Y65" s="112" t="s">
        <v>3089</v>
      </c>
      <c r="Z65" s="112" t="s">
        <v>4</v>
      </c>
      <c r="AA65" s="139" t="s">
        <v>2840</v>
      </c>
    </row>
    <row r="66" spans="1:27" ht="17.25" customHeight="1">
      <c r="A66" s="69">
        <f>IF(priority(Main[[#This Row],[Comments]])&lt;&gt;0, priority(Main[[#This Row],[Comments]]),"")</f>
        <v>17</v>
      </c>
      <c r="B66" s="63" t="s">
        <v>1222</v>
      </c>
      <c r="C66" s="148" t="s">
        <v>33</v>
      </c>
      <c r="D66" s="113" t="s">
        <v>326</v>
      </c>
      <c r="E66" s="129"/>
      <c r="F66" s="129">
        <v>40695</v>
      </c>
      <c r="G66" s="69" t="str">
        <f>IF(stdProdLT(Main[[#This Row],[Comments]])=0.1,"N/A",IF(stdProdLT(Main[[#This Row],[Comments]])=0,"",stdProdLT(Main[[#This Row],[Comments]])))</f>
        <v/>
      </c>
      <c r="H66" s="138" t="str">
        <f>IF(Main[[#This Row],[In Stock Date]]="N/A", "N/A",IF(AND(Main[[#This Row],[In Stock Date]]&lt;&gt;"",Main[[#This Row],[Revised Due Date]]&lt;&gt;"",Main[[#This Row],[In Stock Date]]&lt;&gt;""),Main[[#This Row],[In Stock Date]]-Main[[#This Row],[Revised Due Date]],""))</f>
        <v/>
      </c>
      <c r="I66" s="139" t="s">
        <v>108</v>
      </c>
      <c r="J66" s="139" t="s">
        <v>28</v>
      </c>
      <c r="K66" s="139" t="s">
        <v>4</v>
      </c>
      <c r="L66" s="129"/>
      <c r="M66" s="114" t="str">
        <f>IF(Main[[#This Row],[Tech Start Date]]&lt;1/1/1990,"",IF(Main[[#This Row],[Class]]="C",WORKDAY(Main[[#This Row],[Tech Start Date]],9),IF(Main[[#This Row],[Class]]="B", WORKDAY(Main[[#This Row],[Tech Start Date]],6),IF(Main[[#This Row],[Class]]="A",WORKDAY(Main[[#This Row],[Tech Start Date]],2),""))))</f>
        <v/>
      </c>
      <c r="N66" s="114" t="str">
        <f>IF(Main[[#This Row],[Tech Start Date]]&lt;1/1/1990,"",IF(Main[[#This Row],[Class]]="C",WORKDAY(Main[[#This Row],[Tech Start Date]],19),IF(Main[[#This Row],[Class]]="B", WORKDAY(Main[[#This Row],[Tech Start Date]],12),IF(Main[[#This Row],[Class]]="A",WORKDAY(Main[[#This Row],[Tech Start Date]],4),""))))</f>
        <v/>
      </c>
      <c r="O66" s="114" t="str">
        <f>IF(Main[[#This Row],[Tech Start Date]]&lt;1/1/1990,"",IF(Main[[#This Row],[Class]]="C",WORKDAY(Main[[#This Row],[Tech Start Date]],23),IF(Main[[#This Row],[Class]]="B", WORKDAY(Main[[#This Row],[Tech Start Date]],15),IF(Main[[#This Row],[Class]]="A",WORKDAY(Main[[#This Row],[Tech Start Date]],5),""))))</f>
        <v/>
      </c>
      <c r="P66" s="114" t="str">
        <f>IF(Main[[#This Row],[Tech Start Date]]&lt;1/1/1990,"",IF(Main[[#This Row],[Class]]="C",WORKDAY(Main[[#This Row],[Tech Start Date]],28),IF(Main[[#This Row],[Class]]="B", WORKDAY(Main[[#This Row],[Tech Start Date]],19),IF(Main[[#This Row],[Class]]="A",WORKDAY(Main[[#This Row],[Tech Start Date]],9),""))))</f>
        <v/>
      </c>
      <c r="Q66" s="129">
        <v>40695</v>
      </c>
      <c r="R66" s="129"/>
      <c r="S66" s="139" t="s">
        <v>11</v>
      </c>
      <c r="T66" s="115" t="s">
        <v>327</v>
      </c>
      <c r="U66" s="139" t="s">
        <v>14</v>
      </c>
      <c r="V66" s="139" t="s">
        <v>1915</v>
      </c>
      <c r="W66" s="139" t="s">
        <v>1919</v>
      </c>
      <c r="X66" s="139" t="s">
        <v>2875</v>
      </c>
      <c r="Y66" s="112" t="s">
        <v>3021</v>
      </c>
      <c r="Z66" s="112" t="s">
        <v>3159</v>
      </c>
      <c r="AA66" s="139" t="s">
        <v>2875</v>
      </c>
    </row>
    <row r="67" spans="1:27" ht="17.25" customHeight="1">
      <c r="A67" s="69">
        <f>IF(priority(Main[[#This Row],[Comments]])&lt;&gt;0, priority(Main[[#This Row],[Comments]]),"")</f>
        <v>17</v>
      </c>
      <c r="B67" s="63" t="s">
        <v>2023</v>
      </c>
      <c r="C67" s="148" t="s">
        <v>2024</v>
      </c>
      <c r="D67" s="113" t="s">
        <v>2135</v>
      </c>
      <c r="E67" s="129"/>
      <c r="F67" s="129">
        <v>40752</v>
      </c>
      <c r="G67" s="69">
        <f>IF(stdProdLT(Main[[#This Row],[Comments]])=0.1,"N/A",IF(stdProdLT(Main[[#This Row],[Comments]])=0,"",stdProdLT(Main[[#This Row],[Comments]])))</f>
        <v>42</v>
      </c>
      <c r="H67" s="138">
        <f>IF(Main[[#This Row],[In Stock Date]]="N/A", "N/A",IF(AND(Main[[#This Row],[In Stock Date]]&lt;&gt;"",Main[[#This Row],[Revised Due Date]]&lt;&gt;"",Main[[#This Row],[In Stock Date]]&lt;&gt;""),Main[[#This Row],[In Stock Date]]-Main[[#This Row],[Revised Due Date]],""))</f>
        <v>-32</v>
      </c>
      <c r="I67" s="139" t="s">
        <v>956</v>
      </c>
      <c r="J67" s="139" t="s">
        <v>28</v>
      </c>
      <c r="K67" s="139" t="s">
        <v>1921</v>
      </c>
      <c r="L67" s="129">
        <v>40745</v>
      </c>
      <c r="M67" s="114">
        <f>IF(Main[[#This Row],[Tech Start Date]]&lt;1/1/1990,"",IF(Main[[#This Row],[Class]]="C",WORKDAY(Main[[#This Row],[Tech Start Date]],9),IF(Main[[#This Row],[Class]]="B", WORKDAY(Main[[#This Row],[Tech Start Date]],6),IF(Main[[#This Row],[Class]]="A",WORKDAY(Main[[#This Row],[Tech Start Date]],2),""))))</f>
        <v>40753</v>
      </c>
      <c r="N67" s="114">
        <f>IF(Main[[#This Row],[Tech Start Date]]&lt;1/1/1990,"",IF(Main[[#This Row],[Class]]="C",WORKDAY(Main[[#This Row],[Tech Start Date]],19),IF(Main[[#This Row],[Class]]="B", WORKDAY(Main[[#This Row],[Tech Start Date]],12),IF(Main[[#This Row],[Class]]="A",WORKDAY(Main[[#This Row],[Tech Start Date]],4),""))))</f>
        <v>40763</v>
      </c>
      <c r="O67" s="114">
        <f>IF(Main[[#This Row],[Tech Start Date]]&lt;1/1/1990,"",IF(Main[[#This Row],[Class]]="C",WORKDAY(Main[[#This Row],[Tech Start Date]],23),IF(Main[[#This Row],[Class]]="B", WORKDAY(Main[[#This Row],[Tech Start Date]],15),IF(Main[[#This Row],[Class]]="A",WORKDAY(Main[[#This Row],[Tech Start Date]],5),""))))</f>
        <v>40766</v>
      </c>
      <c r="P67" s="114">
        <f>IF(Main[[#This Row],[Tech Start Date]]&lt;1/1/1990,"",IF(Main[[#This Row],[Class]]="C",WORKDAY(Main[[#This Row],[Tech Start Date]],28),IF(Main[[#This Row],[Class]]="B", WORKDAY(Main[[#This Row],[Tech Start Date]],19),IF(Main[[#This Row],[Class]]="A",WORKDAY(Main[[#This Row],[Tech Start Date]],9),""))))</f>
        <v>40772</v>
      </c>
      <c r="Q67" s="129">
        <v>40752</v>
      </c>
      <c r="R67" s="129">
        <v>40784</v>
      </c>
      <c r="S67" s="139" t="s">
        <v>11</v>
      </c>
      <c r="T67" s="115" t="s">
        <v>2136</v>
      </c>
      <c r="U67" s="139" t="s">
        <v>14</v>
      </c>
      <c r="V67" s="139" t="s">
        <v>1915</v>
      </c>
      <c r="W67" s="139" t="s">
        <v>1916</v>
      </c>
      <c r="X67" s="139" t="s">
        <v>2816</v>
      </c>
      <c r="Y67" s="112" t="s">
        <v>2928</v>
      </c>
      <c r="Z67" s="112" t="s">
        <v>2053</v>
      </c>
      <c r="AA67" s="139" t="s">
        <v>2816</v>
      </c>
    </row>
    <row r="68" spans="1:27" ht="17.25" customHeight="1">
      <c r="A68" s="69">
        <f>IF(priority(Main[[#This Row],[Comments]])&lt;&gt;0, priority(Main[[#This Row],[Comments]]),"")</f>
        <v>17</v>
      </c>
      <c r="B68" s="63" t="s">
        <v>1162</v>
      </c>
      <c r="C68" s="148" t="s">
        <v>1966</v>
      </c>
      <c r="D68" s="113" t="s">
        <v>217</v>
      </c>
      <c r="E68" s="129"/>
      <c r="F68" s="129">
        <v>40724</v>
      </c>
      <c r="G68" s="69" t="str">
        <f>IF(stdProdLT(Main[[#This Row],[Comments]])=0.1,"N/A",IF(stdProdLT(Main[[#This Row],[Comments]])=0,"",stdProdLT(Main[[#This Row],[Comments]])))</f>
        <v/>
      </c>
      <c r="H68" s="138">
        <f>IF(Main[[#This Row],[In Stock Date]]="N/A", "N/A",IF(AND(Main[[#This Row],[In Stock Date]]&lt;&gt;"",Main[[#This Row],[Revised Due Date]]&lt;&gt;"",Main[[#This Row],[In Stock Date]]&lt;&gt;""),Main[[#This Row],[In Stock Date]]-Main[[#This Row],[Revised Due Date]],""))</f>
        <v>-176</v>
      </c>
      <c r="I68" s="139" t="s">
        <v>942</v>
      </c>
      <c r="J68" s="139" t="s">
        <v>28</v>
      </c>
      <c r="K68" s="139" t="s">
        <v>1921</v>
      </c>
      <c r="L68" s="129">
        <v>40835</v>
      </c>
      <c r="M68" s="114">
        <f>IF(Main[[#This Row],[Tech Start Date]]&lt;1/1/1990,"",IF(Main[[#This Row],[Class]]="C",WORKDAY(Main[[#This Row],[Tech Start Date]],9),IF(Main[[#This Row],[Class]]="B", WORKDAY(Main[[#This Row],[Tech Start Date]],6),IF(Main[[#This Row],[Class]]="A",WORKDAY(Main[[#This Row],[Tech Start Date]],2),""))))</f>
        <v>40843</v>
      </c>
      <c r="N68" s="114">
        <f>IF(Main[[#This Row],[Tech Start Date]]&lt;1/1/1990,"",IF(Main[[#This Row],[Class]]="C",WORKDAY(Main[[#This Row],[Tech Start Date]],19),IF(Main[[#This Row],[Class]]="B", WORKDAY(Main[[#This Row],[Tech Start Date]],12),IF(Main[[#This Row],[Class]]="A",WORKDAY(Main[[#This Row],[Tech Start Date]],4),""))))</f>
        <v>40851</v>
      </c>
      <c r="O68" s="114">
        <f>IF(Main[[#This Row],[Tech Start Date]]&lt;1/1/1990,"",IF(Main[[#This Row],[Class]]="C",WORKDAY(Main[[#This Row],[Tech Start Date]],23),IF(Main[[#This Row],[Class]]="B", WORKDAY(Main[[#This Row],[Tech Start Date]],15),IF(Main[[#This Row],[Class]]="A",WORKDAY(Main[[#This Row],[Tech Start Date]],5),""))))</f>
        <v>40856</v>
      </c>
      <c r="P68" s="114">
        <f>IF(Main[[#This Row],[Tech Start Date]]&lt;1/1/1990,"",IF(Main[[#This Row],[Class]]="C",WORKDAY(Main[[#This Row],[Tech Start Date]],28),IF(Main[[#This Row],[Class]]="B", WORKDAY(Main[[#This Row],[Tech Start Date]],19),IF(Main[[#This Row],[Class]]="A",WORKDAY(Main[[#This Row],[Tech Start Date]],9),""))))</f>
        <v>40862</v>
      </c>
      <c r="Q68" s="129">
        <v>40724</v>
      </c>
      <c r="R68" s="129">
        <v>40900</v>
      </c>
      <c r="S68" s="139" t="s">
        <v>11</v>
      </c>
      <c r="T68" s="115" t="s">
        <v>2802</v>
      </c>
      <c r="U68" s="139" t="s">
        <v>14</v>
      </c>
      <c r="V68" s="139" t="s">
        <v>1915</v>
      </c>
      <c r="W68" s="139" t="s">
        <v>1922</v>
      </c>
      <c r="X68" s="139" t="s">
        <v>2857</v>
      </c>
      <c r="Y68" s="112" t="s">
        <v>2998</v>
      </c>
      <c r="Z68" s="112" t="s">
        <v>2053</v>
      </c>
      <c r="AA68" s="139" t="s">
        <v>2857</v>
      </c>
    </row>
    <row r="69" spans="1:27" ht="17.25" customHeight="1">
      <c r="A69" s="69">
        <f>IF(priority(Main[[#This Row],[Comments]])&lt;&gt;0, priority(Main[[#This Row],[Comments]]),"")</f>
        <v>17</v>
      </c>
      <c r="B69" s="63" t="s">
        <v>3199</v>
      </c>
      <c r="C69" s="148" t="s">
        <v>3211</v>
      </c>
      <c r="D69" s="113" t="s">
        <v>3200</v>
      </c>
      <c r="E69" s="129"/>
      <c r="F69" s="129">
        <v>41122</v>
      </c>
      <c r="G69" s="69">
        <f>IF(stdProdLT(Main[[#This Row],[Comments]])=0.1,"N/A",IF(stdProdLT(Main[[#This Row],[Comments]])=0,"",stdProdLT(Main[[#This Row],[Comments]])))</f>
        <v>168</v>
      </c>
      <c r="H69" s="138">
        <f>IF(Main[[#This Row],[In Stock Date]]="N/A", "N/A",IF(AND(Main[[#This Row],[In Stock Date]]&lt;&gt;"",Main[[#This Row],[Revised Due Date]]&lt;&gt;"",Main[[#This Row],[In Stock Date]]&lt;&gt;""),Main[[#This Row],[In Stock Date]]-Main[[#This Row],[Revised Due Date]],""))</f>
        <v>173</v>
      </c>
      <c r="I69" s="139" t="s">
        <v>44</v>
      </c>
      <c r="J69" s="139" t="s">
        <v>28</v>
      </c>
      <c r="K69" s="140" t="s">
        <v>1927</v>
      </c>
      <c r="L69" s="129">
        <v>40925</v>
      </c>
      <c r="M69" s="114">
        <f>IF(Main[[#This Row],[Tech Start Date]]&lt;1/1/1990,"",IF(Main[[#This Row],[Class]]="C",WORKDAY(Main[[#This Row],[Tech Start Date]],9),IF(Main[[#This Row],[Class]]="B", WORKDAY(Main[[#This Row],[Tech Start Date]],6),IF(Main[[#This Row],[Class]]="A",WORKDAY(Main[[#This Row],[Tech Start Date]],2),""))))</f>
        <v>40938</v>
      </c>
      <c r="N69" s="114">
        <f>IF(Main[[#This Row],[Tech Start Date]]&lt;1/1/1990,"",IF(Main[[#This Row],[Class]]="C",WORKDAY(Main[[#This Row],[Tech Start Date]],19),IF(Main[[#This Row],[Class]]="B", WORKDAY(Main[[#This Row],[Tech Start Date]],12),IF(Main[[#This Row],[Class]]="A",WORKDAY(Main[[#This Row],[Tech Start Date]],4),""))))</f>
        <v>40952</v>
      </c>
      <c r="O69" s="114">
        <f>IF(Main[[#This Row],[Tech Start Date]]&lt;1/1/1990,"",IF(Main[[#This Row],[Class]]="C",WORKDAY(Main[[#This Row],[Tech Start Date]],23),IF(Main[[#This Row],[Class]]="B", WORKDAY(Main[[#This Row],[Tech Start Date]],15),IF(Main[[#This Row],[Class]]="A",WORKDAY(Main[[#This Row],[Tech Start Date]],5),""))))</f>
        <v>40956</v>
      </c>
      <c r="P69" s="114">
        <f>IF(Main[[#This Row],[Tech Start Date]]&lt;1/1/1990,"",IF(Main[[#This Row],[Class]]="C",WORKDAY(Main[[#This Row],[Tech Start Date]],28),IF(Main[[#This Row],[Class]]="B", WORKDAY(Main[[#This Row],[Tech Start Date]],19),IF(Main[[#This Row],[Class]]="A",WORKDAY(Main[[#This Row],[Tech Start Date]],9),""))))</f>
        <v>40963</v>
      </c>
      <c r="Q69" s="129">
        <v>40973</v>
      </c>
      <c r="R69" s="129">
        <v>40949</v>
      </c>
      <c r="S69" s="139" t="s">
        <v>11</v>
      </c>
      <c r="T69" s="115" t="s">
        <v>3828</v>
      </c>
      <c r="U69" s="139" t="s">
        <v>14</v>
      </c>
      <c r="V69" s="139" t="s">
        <v>1917</v>
      </c>
      <c r="W69" s="139" t="s">
        <v>1920</v>
      </c>
      <c r="X69" s="139" t="s">
        <v>2848</v>
      </c>
      <c r="Y69" s="112" t="s">
        <v>2979</v>
      </c>
      <c r="Z69" s="112" t="s">
        <v>530</v>
      </c>
      <c r="AA69" s="139" t="s">
        <v>2848</v>
      </c>
    </row>
    <row r="70" spans="1:27" ht="17.25" customHeight="1">
      <c r="A70" s="69">
        <f>IF(priority(Main[[#This Row],[Comments]])&lt;&gt;0, priority(Main[[#This Row],[Comments]]),"")</f>
        <v>17</v>
      </c>
      <c r="B70" s="63" t="s">
        <v>3571</v>
      </c>
      <c r="C70" s="148" t="s">
        <v>3520</v>
      </c>
      <c r="D70" s="62" t="s">
        <v>3846</v>
      </c>
      <c r="E70" s="129">
        <v>40946.686157407406</v>
      </c>
      <c r="F70" s="129">
        <v>41122</v>
      </c>
      <c r="G70" s="69">
        <f>IF(stdProdLT(Main[[#This Row],[Comments]])=0.1,"N/A",IF(stdProdLT(Main[[#This Row],[Comments]])=0,"",stdProdLT(Main[[#This Row],[Comments]])))</f>
        <v>126</v>
      </c>
      <c r="H70" s="138">
        <f>IF(Main[[#This Row],[In Stock Date]]="N/A", "N/A",IF(AND(Main[[#This Row],[In Stock Date]]&lt;&gt;"",Main[[#This Row],[Revised Due Date]]&lt;&gt;"",Main[[#This Row],[In Stock Date]]&lt;&gt;""),Main[[#This Row],[In Stock Date]]-Main[[#This Row],[Revised Due Date]],""))</f>
        <v>140</v>
      </c>
      <c r="I70" s="139" t="s">
        <v>912</v>
      </c>
      <c r="J70" s="139" t="s">
        <v>52</v>
      </c>
      <c r="K70" s="139" t="s">
        <v>1921</v>
      </c>
      <c r="L70" s="129">
        <v>40948</v>
      </c>
      <c r="M70" s="114">
        <f>IF(Main[[#This Row],[Tech Start Date]]&lt;1/1/1990,"",IF(Main[[#This Row],[Class]]="C",WORKDAY(Main[[#This Row],[Tech Start Date]],9),IF(Main[[#This Row],[Class]]="B", WORKDAY(Main[[#This Row],[Tech Start Date]],6),IF(Main[[#This Row],[Class]]="A",WORKDAY(Main[[#This Row],[Tech Start Date]],2),""))))</f>
        <v>40956</v>
      </c>
      <c r="N70" s="114">
        <f>IF(Main[[#This Row],[Tech Start Date]]&lt;1/1/1990,"",IF(Main[[#This Row],[Class]]="C",WORKDAY(Main[[#This Row],[Tech Start Date]],19),IF(Main[[#This Row],[Class]]="B", WORKDAY(Main[[#This Row],[Tech Start Date]],12),IF(Main[[#This Row],[Class]]="A",WORKDAY(Main[[#This Row],[Tech Start Date]],4),""))))</f>
        <v>40966</v>
      </c>
      <c r="O70" s="114">
        <f>IF(Main[[#This Row],[Tech Start Date]]&lt;1/1/1990,"",IF(Main[[#This Row],[Class]]="C",WORKDAY(Main[[#This Row],[Tech Start Date]],23),IF(Main[[#This Row],[Class]]="B", WORKDAY(Main[[#This Row],[Tech Start Date]],15),IF(Main[[#This Row],[Class]]="A",WORKDAY(Main[[#This Row],[Tech Start Date]],5),""))))</f>
        <v>40969</v>
      </c>
      <c r="P70" s="114">
        <f>IF(Main[[#This Row],[Tech Start Date]]&lt;1/1/1990,"",IF(Main[[#This Row],[Class]]="C",WORKDAY(Main[[#This Row],[Tech Start Date]],28),IF(Main[[#This Row],[Class]]="B", WORKDAY(Main[[#This Row],[Tech Start Date]],19),IF(Main[[#This Row],[Class]]="A",WORKDAY(Main[[#This Row],[Tech Start Date]],9),""))))</f>
        <v>40975</v>
      </c>
      <c r="Q70" s="129"/>
      <c r="R70" s="129">
        <v>40982</v>
      </c>
      <c r="S70" s="139" t="s">
        <v>11</v>
      </c>
      <c r="T70" s="115" t="s">
        <v>3847</v>
      </c>
      <c r="U70" s="139" t="s">
        <v>29</v>
      </c>
      <c r="V70" s="139" t="s">
        <v>1914</v>
      </c>
      <c r="W70" s="139" t="s">
        <v>1920</v>
      </c>
      <c r="X70" s="139" t="s">
        <v>2839</v>
      </c>
      <c r="Y70" s="112" t="s">
        <v>2970</v>
      </c>
      <c r="Z70" s="112" t="s">
        <v>129</v>
      </c>
      <c r="AA70" s="139" t="s">
        <v>2839</v>
      </c>
    </row>
    <row r="71" spans="1:27" ht="17.25" customHeight="1">
      <c r="A71" s="69">
        <f>IF(priority(Main[[#This Row],[Comments]])&lt;&gt;0, priority(Main[[#This Row],[Comments]]),"")</f>
        <v>17</v>
      </c>
      <c r="B71" s="63" t="s">
        <v>3334</v>
      </c>
      <c r="C71" s="148" t="s">
        <v>2354</v>
      </c>
      <c r="D71" s="113" t="s">
        <v>3980</v>
      </c>
      <c r="E71" s="129">
        <v>40939.118807870371</v>
      </c>
      <c r="F71" s="129">
        <v>41030</v>
      </c>
      <c r="G71" s="69">
        <f>IF(stdProdLT(Main[[#This Row],[Comments]])=0.1,"N/A",IF(stdProdLT(Main[[#This Row],[Comments]])=0,"",stdProdLT(Main[[#This Row],[Comments]])))</f>
        <v>98</v>
      </c>
      <c r="H71" s="138">
        <f>IF(Main[[#This Row],[In Stock Date]]="N/A", "N/A",IF(AND(Main[[#This Row],[In Stock Date]]&lt;&gt;"",Main[[#This Row],[Revised Due Date]]&lt;&gt;"",Main[[#This Row],[In Stock Date]]&lt;&gt;""),Main[[#This Row],[In Stock Date]]-Main[[#This Row],[Revised Due Date]],""))</f>
        <v>47</v>
      </c>
      <c r="I71" s="139" t="s">
        <v>2208</v>
      </c>
      <c r="J71" s="139" t="s">
        <v>75</v>
      </c>
      <c r="K71" s="139" t="s">
        <v>1921</v>
      </c>
      <c r="L71" s="129">
        <v>40954</v>
      </c>
      <c r="M71" s="114">
        <f>IF(Main[[#This Row],[Tech Start Date]]&lt;1/1/1990,"",IF(Main[[#This Row],[Class]]="C",WORKDAY(Main[[#This Row],[Tech Start Date]],9),IF(Main[[#This Row],[Class]]="B", WORKDAY(Main[[#This Row],[Tech Start Date]],6),IF(Main[[#This Row],[Class]]="A",WORKDAY(Main[[#This Row],[Tech Start Date]],2),""))))</f>
        <v>40962</v>
      </c>
      <c r="N71" s="114">
        <f>IF(Main[[#This Row],[Tech Start Date]]&lt;1/1/1990,"",IF(Main[[#This Row],[Class]]="C",WORKDAY(Main[[#This Row],[Tech Start Date]],19),IF(Main[[#This Row],[Class]]="B", WORKDAY(Main[[#This Row],[Tech Start Date]],12),IF(Main[[#This Row],[Class]]="A",WORKDAY(Main[[#This Row],[Tech Start Date]],4),""))))</f>
        <v>40970</v>
      </c>
      <c r="O71" s="114">
        <f>IF(Main[[#This Row],[Tech Start Date]]&lt;1/1/1990,"",IF(Main[[#This Row],[Class]]="C",WORKDAY(Main[[#This Row],[Tech Start Date]],23),IF(Main[[#This Row],[Class]]="B", WORKDAY(Main[[#This Row],[Tech Start Date]],15),IF(Main[[#This Row],[Class]]="A",WORKDAY(Main[[#This Row],[Tech Start Date]],5),""))))</f>
        <v>40975</v>
      </c>
      <c r="P71" s="114">
        <f>IF(Main[[#This Row],[Tech Start Date]]&lt;1/1/1990,"",IF(Main[[#This Row],[Class]]="C",WORKDAY(Main[[#This Row],[Tech Start Date]],28),IF(Main[[#This Row],[Class]]="B", WORKDAY(Main[[#This Row],[Tech Start Date]],19),IF(Main[[#This Row],[Class]]="A",WORKDAY(Main[[#This Row],[Tech Start Date]],9),""))))</f>
        <v>40981</v>
      </c>
      <c r="Q71" s="129">
        <v>40890</v>
      </c>
      <c r="R71" s="129">
        <v>40983</v>
      </c>
      <c r="S71" s="139" t="s">
        <v>11</v>
      </c>
      <c r="T71" s="115" t="s">
        <v>3858</v>
      </c>
      <c r="U71" s="139" t="s">
        <v>29</v>
      </c>
      <c r="V71" s="139" t="s">
        <v>1924</v>
      </c>
      <c r="W71" s="139" t="s">
        <v>1922</v>
      </c>
      <c r="X71" s="139" t="s">
        <v>2843</v>
      </c>
      <c r="Y71" s="112" t="s">
        <v>4</v>
      </c>
      <c r="Z71" s="112" t="s">
        <v>530</v>
      </c>
      <c r="AA71" s="139" t="s">
        <v>2843</v>
      </c>
    </row>
    <row r="72" spans="1:27" ht="17.25" customHeight="1">
      <c r="A72" s="69">
        <f>IF(priority(Main[[#This Row],[Comments]])&lt;&gt;0, priority(Main[[#This Row],[Comments]]),"")</f>
        <v>18</v>
      </c>
      <c r="B72" s="63" t="s">
        <v>2780</v>
      </c>
      <c r="C72" s="148" t="s">
        <v>2721</v>
      </c>
      <c r="D72" s="113" t="s">
        <v>2781</v>
      </c>
      <c r="E72" s="129">
        <v>40968.365127314813</v>
      </c>
      <c r="F72" s="129">
        <v>41061</v>
      </c>
      <c r="G72" s="69">
        <f>IF(stdProdLT(Main[[#This Row],[Comments]])=0.1,"N/A",IF(stdProdLT(Main[[#This Row],[Comments]])=0,"",stdProdLT(Main[[#This Row],[Comments]])))</f>
        <v>168</v>
      </c>
      <c r="H72" s="138" t="str">
        <f>IF(Main[[#This Row],[In Stock Date]]="N/A", "N/A",IF(AND(Main[[#This Row],[In Stock Date]]&lt;&gt;"",Main[[#This Row],[Revised Due Date]]&lt;&gt;"",Main[[#This Row],[In Stock Date]]&lt;&gt;""),Main[[#This Row],[In Stock Date]]-Main[[#This Row],[Revised Due Date]],""))</f>
        <v/>
      </c>
      <c r="I72" s="139" t="s">
        <v>4</v>
      </c>
      <c r="J72" s="139" t="s">
        <v>4</v>
      </c>
      <c r="K72" s="139" t="s">
        <v>4</v>
      </c>
      <c r="L72" s="129"/>
      <c r="M72" s="114" t="str">
        <f>IF(Main[[#This Row],[Tech Start Date]]&lt;1/1/1990,"",IF(Main[[#This Row],[Class]]="C",WORKDAY(Main[[#This Row],[Tech Start Date]],9),IF(Main[[#This Row],[Class]]="B", WORKDAY(Main[[#This Row],[Tech Start Date]],6),IF(Main[[#This Row],[Class]]="A",WORKDAY(Main[[#This Row],[Tech Start Date]],2),""))))</f>
        <v/>
      </c>
      <c r="N72" s="114" t="str">
        <f>IF(Main[[#This Row],[Tech Start Date]]&lt;1/1/1990,"",IF(Main[[#This Row],[Class]]="C",WORKDAY(Main[[#This Row],[Tech Start Date]],19),IF(Main[[#This Row],[Class]]="B", WORKDAY(Main[[#This Row],[Tech Start Date]],12),IF(Main[[#This Row],[Class]]="A",WORKDAY(Main[[#This Row],[Tech Start Date]],4),""))))</f>
        <v/>
      </c>
      <c r="O72" s="114" t="str">
        <f>IF(Main[[#This Row],[Tech Start Date]]&lt;1/1/1990,"",IF(Main[[#This Row],[Class]]="C",WORKDAY(Main[[#This Row],[Tech Start Date]],23),IF(Main[[#This Row],[Class]]="B", WORKDAY(Main[[#This Row],[Tech Start Date]],15),IF(Main[[#This Row],[Class]]="A",WORKDAY(Main[[#This Row],[Tech Start Date]],5),""))))</f>
        <v/>
      </c>
      <c r="P72" s="114" t="str">
        <f>IF(Main[[#This Row],[Tech Start Date]]&lt;1/1/1990,"",IF(Main[[#This Row],[Class]]="C",WORKDAY(Main[[#This Row],[Tech Start Date]],28),IF(Main[[#This Row],[Class]]="B", WORKDAY(Main[[#This Row],[Tech Start Date]],19),IF(Main[[#This Row],[Class]]="A",WORKDAY(Main[[#This Row],[Tech Start Date]],9),""))))</f>
        <v/>
      </c>
      <c r="Q72" s="129"/>
      <c r="R72" s="129"/>
      <c r="S72" s="139" t="s">
        <v>11</v>
      </c>
      <c r="T72" s="115" t="s">
        <v>3937</v>
      </c>
      <c r="U72" s="139" t="s">
        <v>7</v>
      </c>
      <c r="V72" s="139" t="s">
        <v>1917</v>
      </c>
      <c r="W72" s="139" t="s">
        <v>1919</v>
      </c>
      <c r="X72" s="139" t="s">
        <v>2893</v>
      </c>
      <c r="Y72" s="112" t="s">
        <v>3055</v>
      </c>
      <c r="Z72" s="112" t="s">
        <v>4</v>
      </c>
      <c r="AA72" s="139" t="s">
        <v>2893</v>
      </c>
    </row>
    <row r="73" spans="1:27" ht="17.25" customHeight="1">
      <c r="A73" s="69">
        <f>IF(priority(Main[[#This Row],[Comments]])&lt;&gt;0, priority(Main[[#This Row],[Comments]]),"")</f>
        <v>18</v>
      </c>
      <c r="B73" s="63" t="s">
        <v>1233</v>
      </c>
      <c r="C73" s="148" t="s">
        <v>294</v>
      </c>
      <c r="D73" s="113" t="s">
        <v>2310</v>
      </c>
      <c r="E73" s="129">
        <v>40466.671342592592</v>
      </c>
      <c r="F73" s="129"/>
      <c r="G73" s="69" t="str">
        <f>IF(stdProdLT(Main[[#This Row],[Comments]])=0.1,"N/A",IF(stdProdLT(Main[[#This Row],[Comments]])=0,"",stdProdLT(Main[[#This Row],[Comments]])))</f>
        <v/>
      </c>
      <c r="H73" s="138" t="str">
        <f>IF(Main[[#This Row],[In Stock Date]]="N/A", "N/A",IF(AND(Main[[#This Row],[In Stock Date]]&lt;&gt;"",Main[[#This Row],[Revised Due Date]]&lt;&gt;"",Main[[#This Row],[In Stock Date]]&lt;&gt;""),Main[[#This Row],[In Stock Date]]-Main[[#This Row],[Revised Due Date]],""))</f>
        <v/>
      </c>
      <c r="I73" s="139" t="s">
        <v>4</v>
      </c>
      <c r="J73" s="139" t="s">
        <v>28</v>
      </c>
      <c r="K73" s="139" t="s">
        <v>4</v>
      </c>
      <c r="L73" s="129"/>
      <c r="M73" s="114" t="str">
        <f>IF(Main[[#This Row],[Tech Start Date]]&lt;1/1/1990,"",IF(Main[[#This Row],[Class]]="C",WORKDAY(Main[[#This Row],[Tech Start Date]],9),IF(Main[[#This Row],[Class]]="B", WORKDAY(Main[[#This Row],[Tech Start Date]],6),IF(Main[[#This Row],[Class]]="A",WORKDAY(Main[[#This Row],[Tech Start Date]],2),""))))</f>
        <v/>
      </c>
      <c r="N73" s="114" t="str">
        <f>IF(Main[[#This Row],[Tech Start Date]]&lt;1/1/1990,"",IF(Main[[#This Row],[Class]]="C",WORKDAY(Main[[#This Row],[Tech Start Date]],19),IF(Main[[#This Row],[Class]]="B", WORKDAY(Main[[#This Row],[Tech Start Date]],12),IF(Main[[#This Row],[Class]]="A",WORKDAY(Main[[#This Row],[Tech Start Date]],4),""))))</f>
        <v/>
      </c>
      <c r="O73" s="114" t="str">
        <f>IF(Main[[#This Row],[Tech Start Date]]&lt;1/1/1990,"",IF(Main[[#This Row],[Class]]="C",WORKDAY(Main[[#This Row],[Tech Start Date]],23),IF(Main[[#This Row],[Class]]="B", WORKDAY(Main[[#This Row],[Tech Start Date]],15),IF(Main[[#This Row],[Class]]="A",WORKDAY(Main[[#This Row],[Tech Start Date]],5),""))))</f>
        <v/>
      </c>
      <c r="P73" s="114" t="str">
        <f>IF(Main[[#This Row],[Tech Start Date]]&lt;1/1/1990,"",IF(Main[[#This Row],[Class]]="C",WORKDAY(Main[[#This Row],[Tech Start Date]],28),IF(Main[[#This Row],[Class]]="B", WORKDAY(Main[[#This Row],[Tech Start Date]],19),IF(Main[[#This Row],[Class]]="A",WORKDAY(Main[[#This Row],[Tech Start Date]],9),""))))</f>
        <v/>
      </c>
      <c r="Q73" s="129"/>
      <c r="R73" s="129"/>
      <c r="S73" s="139" t="s">
        <v>6</v>
      </c>
      <c r="T73" s="115" t="s">
        <v>2657</v>
      </c>
      <c r="U73" s="139" t="s">
        <v>7</v>
      </c>
      <c r="V73" s="139" t="s">
        <v>1914</v>
      </c>
      <c r="W73" s="139" t="s">
        <v>1922</v>
      </c>
      <c r="X73" s="139" t="s">
        <v>883</v>
      </c>
      <c r="Y73" s="112" t="s">
        <v>2963</v>
      </c>
      <c r="Z73" s="112" t="s">
        <v>129</v>
      </c>
      <c r="AA73" s="139" t="s">
        <v>883</v>
      </c>
    </row>
    <row r="74" spans="1:27" ht="17.25" customHeight="1">
      <c r="A74" s="69">
        <f>IF(priority(Main[[#This Row],[Comments]])&lt;&gt;0, priority(Main[[#This Row],[Comments]]),"")</f>
        <v>18</v>
      </c>
      <c r="B74" s="63" t="s">
        <v>2534</v>
      </c>
      <c r="C74" s="148" t="s">
        <v>3240</v>
      </c>
      <c r="D74" s="62" t="s">
        <v>3815</v>
      </c>
      <c r="E74" s="129">
        <v>40848.481932870367</v>
      </c>
      <c r="F74" s="129">
        <v>41153</v>
      </c>
      <c r="G74" s="69">
        <f>IF(stdProdLT(Main[[#This Row],[Comments]])=0.1,"N/A",IF(stdProdLT(Main[[#This Row],[Comments]])=0,"",stdProdLT(Main[[#This Row],[Comments]])))</f>
        <v>126</v>
      </c>
      <c r="H74" s="138">
        <f>IF(Main[[#This Row],[In Stock Date]]="N/A", "N/A",IF(AND(Main[[#This Row],[In Stock Date]]&lt;&gt;"",Main[[#This Row],[Revised Due Date]]&lt;&gt;"",Main[[#This Row],[In Stock Date]]&lt;&gt;""),Main[[#This Row],[In Stock Date]]-Main[[#This Row],[Revised Due Date]],""))</f>
        <v>183</v>
      </c>
      <c r="I74" s="139" t="s">
        <v>399</v>
      </c>
      <c r="J74" s="139" t="s">
        <v>51</v>
      </c>
      <c r="K74" s="139" t="s">
        <v>1921</v>
      </c>
      <c r="L74" s="129">
        <v>40918</v>
      </c>
      <c r="M74" s="114">
        <f>IF(Main[[#This Row],[Tech Start Date]]&lt;1/1/1990,"",IF(Main[[#This Row],[Class]]="C",WORKDAY(Main[[#This Row],[Tech Start Date]],9),IF(Main[[#This Row],[Class]]="B", WORKDAY(Main[[#This Row],[Tech Start Date]],6),IF(Main[[#This Row],[Class]]="A",WORKDAY(Main[[#This Row],[Tech Start Date]],2),""))))</f>
        <v>40926</v>
      </c>
      <c r="N74" s="114">
        <f>IF(Main[[#This Row],[Tech Start Date]]&lt;1/1/1990,"",IF(Main[[#This Row],[Class]]="C",WORKDAY(Main[[#This Row],[Tech Start Date]],19),IF(Main[[#This Row],[Class]]="B", WORKDAY(Main[[#This Row],[Tech Start Date]],12),IF(Main[[#This Row],[Class]]="A",WORKDAY(Main[[#This Row],[Tech Start Date]],4),""))))</f>
        <v>40934</v>
      </c>
      <c r="O74" s="114">
        <f>IF(Main[[#This Row],[Tech Start Date]]&lt;1/1/1990,"",IF(Main[[#This Row],[Class]]="C",WORKDAY(Main[[#This Row],[Tech Start Date]],23),IF(Main[[#This Row],[Class]]="B", WORKDAY(Main[[#This Row],[Tech Start Date]],15),IF(Main[[#This Row],[Class]]="A",WORKDAY(Main[[#This Row],[Tech Start Date]],5),""))))</f>
        <v>40939</v>
      </c>
      <c r="P74" s="114">
        <f>IF(Main[[#This Row],[Tech Start Date]]&lt;1/1/1990,"",IF(Main[[#This Row],[Class]]="C",WORKDAY(Main[[#This Row],[Tech Start Date]],28),IF(Main[[#This Row],[Class]]="B", WORKDAY(Main[[#This Row],[Tech Start Date]],19),IF(Main[[#This Row],[Class]]="A",WORKDAY(Main[[#This Row],[Tech Start Date]],9),""))))</f>
        <v>40945</v>
      </c>
      <c r="Q74" s="129">
        <v>41153</v>
      </c>
      <c r="R74" s="129">
        <v>40970</v>
      </c>
      <c r="S74" s="139" t="s">
        <v>11</v>
      </c>
      <c r="T74" s="115" t="s">
        <v>3816</v>
      </c>
      <c r="U74" s="139" t="s">
        <v>29</v>
      </c>
      <c r="V74" s="139" t="s">
        <v>1914</v>
      </c>
      <c r="W74" s="139" t="s">
        <v>1920</v>
      </c>
      <c r="X74" s="139" t="s">
        <v>2909</v>
      </c>
      <c r="Y74" s="112" t="s">
        <v>2930</v>
      </c>
      <c r="Z74" s="112" t="s">
        <v>129</v>
      </c>
      <c r="AA74" s="139" t="s">
        <v>2909</v>
      </c>
    </row>
    <row r="75" spans="1:27" ht="17.25" customHeight="1">
      <c r="A75" s="69">
        <f>IF(priority(Main[[#This Row],[Comments]])&lt;&gt;0, priority(Main[[#This Row],[Comments]]),"")</f>
        <v>19</v>
      </c>
      <c r="B75" s="63" t="s">
        <v>2720</v>
      </c>
      <c r="C75" s="148" t="s">
        <v>2721</v>
      </c>
      <c r="D75" s="113" t="s">
        <v>3611</v>
      </c>
      <c r="E75" s="129">
        <v>40968.374976851854</v>
      </c>
      <c r="F75" s="129">
        <v>41061</v>
      </c>
      <c r="G75" s="69">
        <f>IF(stdProdLT(Main[[#This Row],[Comments]])=0.1,"N/A",IF(stdProdLT(Main[[#This Row],[Comments]])=0,"",stdProdLT(Main[[#This Row],[Comments]])))</f>
        <v>168</v>
      </c>
      <c r="H75" s="138" t="str">
        <f>IF(Main[[#This Row],[In Stock Date]]="N/A", "N/A",IF(AND(Main[[#This Row],[In Stock Date]]&lt;&gt;"",Main[[#This Row],[Revised Due Date]]&lt;&gt;"",Main[[#This Row],[In Stock Date]]&lt;&gt;""),Main[[#This Row],[In Stock Date]]-Main[[#This Row],[Revised Due Date]],""))</f>
        <v/>
      </c>
      <c r="I75" s="139" t="s">
        <v>4</v>
      </c>
      <c r="J75" s="139" t="s">
        <v>4</v>
      </c>
      <c r="K75" s="139" t="s">
        <v>4</v>
      </c>
      <c r="L75" s="129"/>
      <c r="M75" s="114" t="str">
        <f>IF(Main[[#This Row],[Tech Start Date]]&lt;1/1/1990,"",IF(Main[[#This Row],[Class]]="C",WORKDAY(Main[[#This Row],[Tech Start Date]],9),IF(Main[[#This Row],[Class]]="B", WORKDAY(Main[[#This Row],[Tech Start Date]],6),IF(Main[[#This Row],[Class]]="A",WORKDAY(Main[[#This Row],[Tech Start Date]],2),""))))</f>
        <v/>
      </c>
      <c r="N75" s="114" t="str">
        <f>IF(Main[[#This Row],[Tech Start Date]]&lt;1/1/1990,"",IF(Main[[#This Row],[Class]]="C",WORKDAY(Main[[#This Row],[Tech Start Date]],19),IF(Main[[#This Row],[Class]]="B", WORKDAY(Main[[#This Row],[Tech Start Date]],12),IF(Main[[#This Row],[Class]]="A",WORKDAY(Main[[#This Row],[Tech Start Date]],4),""))))</f>
        <v/>
      </c>
      <c r="O75" s="114" t="str">
        <f>IF(Main[[#This Row],[Tech Start Date]]&lt;1/1/1990,"",IF(Main[[#This Row],[Class]]="C",WORKDAY(Main[[#This Row],[Tech Start Date]],23),IF(Main[[#This Row],[Class]]="B", WORKDAY(Main[[#This Row],[Tech Start Date]],15),IF(Main[[#This Row],[Class]]="A",WORKDAY(Main[[#This Row],[Tech Start Date]],5),""))))</f>
        <v/>
      </c>
      <c r="P75" s="114" t="str">
        <f>IF(Main[[#This Row],[Tech Start Date]]&lt;1/1/1990,"",IF(Main[[#This Row],[Class]]="C",WORKDAY(Main[[#This Row],[Tech Start Date]],28),IF(Main[[#This Row],[Class]]="B", WORKDAY(Main[[#This Row],[Tech Start Date]],19),IF(Main[[#This Row],[Class]]="A",WORKDAY(Main[[#This Row],[Tech Start Date]],9),""))))</f>
        <v/>
      </c>
      <c r="Q75" s="129"/>
      <c r="R75" s="129"/>
      <c r="S75" s="139" t="s">
        <v>11</v>
      </c>
      <c r="T75" s="115" t="s">
        <v>3934</v>
      </c>
      <c r="U75" s="139" t="s">
        <v>7</v>
      </c>
      <c r="V75" s="139" t="s">
        <v>1917</v>
      </c>
      <c r="W75" s="139" t="s">
        <v>1919</v>
      </c>
      <c r="X75" s="139" t="s">
        <v>2893</v>
      </c>
      <c r="Y75" s="112" t="s">
        <v>3055</v>
      </c>
      <c r="Z75" s="112" t="s">
        <v>4</v>
      </c>
      <c r="AA75" s="139" t="s">
        <v>2893</v>
      </c>
    </row>
    <row r="76" spans="1:27" ht="17.25" customHeight="1">
      <c r="A76" s="69">
        <f>IF(priority(Main[[#This Row],[Comments]])&lt;&gt;0, priority(Main[[#This Row],[Comments]]),"")</f>
        <v>19</v>
      </c>
      <c r="B76" s="63" t="s">
        <v>1581</v>
      </c>
      <c r="C76" s="148" t="s">
        <v>122</v>
      </c>
      <c r="D76" s="113" t="s">
        <v>661</v>
      </c>
      <c r="E76" s="129"/>
      <c r="F76" s="129">
        <v>40704</v>
      </c>
      <c r="G76" s="69" t="str">
        <f>IF(stdProdLT(Main[[#This Row],[Comments]])=0.1,"N/A",IF(stdProdLT(Main[[#This Row],[Comments]])=0,"",stdProdLT(Main[[#This Row],[Comments]])))</f>
        <v/>
      </c>
      <c r="H76" s="138" t="str">
        <f>IF(Main[[#This Row],[In Stock Date]]="N/A", "N/A",IF(AND(Main[[#This Row],[In Stock Date]]&lt;&gt;"",Main[[#This Row],[Revised Due Date]]&lt;&gt;"",Main[[#This Row],[In Stock Date]]&lt;&gt;""),Main[[#This Row],[In Stock Date]]-Main[[#This Row],[Revised Due Date]],""))</f>
        <v/>
      </c>
      <c r="I76" s="139" t="s">
        <v>4</v>
      </c>
      <c r="J76" s="139" t="s">
        <v>28</v>
      </c>
      <c r="K76" s="139" t="s">
        <v>1923</v>
      </c>
      <c r="L76" s="129"/>
      <c r="M76" s="114" t="str">
        <f>IF(Main[[#This Row],[Tech Start Date]]&lt;1/1/1990,"",IF(Main[[#This Row],[Class]]="C",WORKDAY(Main[[#This Row],[Tech Start Date]],9),IF(Main[[#This Row],[Class]]="B", WORKDAY(Main[[#This Row],[Tech Start Date]],6),IF(Main[[#This Row],[Class]]="A",WORKDAY(Main[[#This Row],[Tech Start Date]],2),""))))</f>
        <v/>
      </c>
      <c r="N76" s="114" t="str">
        <f>IF(Main[[#This Row],[Tech Start Date]]&lt;1/1/1990,"",IF(Main[[#This Row],[Class]]="C",WORKDAY(Main[[#This Row],[Tech Start Date]],19),IF(Main[[#This Row],[Class]]="B", WORKDAY(Main[[#This Row],[Tech Start Date]],12),IF(Main[[#This Row],[Class]]="A",WORKDAY(Main[[#This Row],[Tech Start Date]],4),""))))</f>
        <v/>
      </c>
      <c r="O76" s="114" t="str">
        <f>IF(Main[[#This Row],[Tech Start Date]]&lt;1/1/1990,"",IF(Main[[#This Row],[Class]]="C",WORKDAY(Main[[#This Row],[Tech Start Date]],23),IF(Main[[#This Row],[Class]]="B", WORKDAY(Main[[#This Row],[Tech Start Date]],15),IF(Main[[#This Row],[Class]]="A",WORKDAY(Main[[#This Row],[Tech Start Date]],5),""))))</f>
        <v/>
      </c>
      <c r="P76" s="114" t="str">
        <f>IF(Main[[#This Row],[Tech Start Date]]&lt;1/1/1990,"",IF(Main[[#This Row],[Class]]="C",WORKDAY(Main[[#This Row],[Tech Start Date]],28),IF(Main[[#This Row],[Class]]="B", WORKDAY(Main[[#This Row],[Tech Start Date]],19),IF(Main[[#This Row],[Class]]="A",WORKDAY(Main[[#This Row],[Tech Start Date]],9),""))))</f>
        <v/>
      </c>
      <c r="Q76" s="129">
        <v>40704</v>
      </c>
      <c r="R76" s="129"/>
      <c r="S76" s="139" t="s">
        <v>11</v>
      </c>
      <c r="T76" s="115" t="s">
        <v>1979</v>
      </c>
      <c r="U76" s="139" t="s">
        <v>14</v>
      </c>
      <c r="V76" s="139" t="s">
        <v>1914</v>
      </c>
      <c r="W76" s="139" t="s">
        <v>1916</v>
      </c>
      <c r="X76" s="139" t="s">
        <v>2852</v>
      </c>
      <c r="Y76" s="112" t="s">
        <v>2990</v>
      </c>
      <c r="Z76" s="112" t="s">
        <v>129</v>
      </c>
      <c r="AA76" s="139" t="s">
        <v>2852</v>
      </c>
    </row>
    <row r="77" spans="1:27" ht="17.25" customHeight="1">
      <c r="A77" s="69">
        <f>IF(priority(Main[[#This Row],[Comments]])&lt;&gt;0, priority(Main[[#This Row],[Comments]]),"")</f>
        <v>19</v>
      </c>
      <c r="B77" s="63" t="s">
        <v>3306</v>
      </c>
      <c r="C77" s="148" t="s">
        <v>3260</v>
      </c>
      <c r="D77" s="62" t="s">
        <v>3480</v>
      </c>
      <c r="E77" s="129">
        <v>40934.65960648148</v>
      </c>
      <c r="F77" s="129">
        <v>41065</v>
      </c>
      <c r="G77" s="69">
        <f>IF(stdProdLT(Main[[#This Row],[Comments]])=0.1,"N/A",IF(stdProdLT(Main[[#This Row],[Comments]])=0,"",stdProdLT(Main[[#This Row],[Comments]])))</f>
        <v>84</v>
      </c>
      <c r="H77" s="138">
        <f>IF(Main[[#This Row],[In Stock Date]]="N/A", "N/A",IF(AND(Main[[#This Row],[In Stock Date]]&lt;&gt;"",Main[[#This Row],[Revised Due Date]]&lt;&gt;"",Main[[#This Row],[In Stock Date]]&lt;&gt;""),Main[[#This Row],[In Stock Date]]-Main[[#This Row],[Revised Due Date]],""))</f>
        <v>82</v>
      </c>
      <c r="I77" s="139" t="s">
        <v>894</v>
      </c>
      <c r="J77" s="139" t="s">
        <v>28</v>
      </c>
      <c r="K77" s="139" t="s">
        <v>1921</v>
      </c>
      <c r="L77" s="129">
        <v>40954</v>
      </c>
      <c r="M77" s="114">
        <f>IF(Main[[#This Row],[Tech Start Date]]&lt;1/1/1990,"",IF(Main[[#This Row],[Class]]="C",WORKDAY(Main[[#This Row],[Tech Start Date]],9),IF(Main[[#This Row],[Class]]="B", WORKDAY(Main[[#This Row],[Tech Start Date]],6),IF(Main[[#This Row],[Class]]="A",WORKDAY(Main[[#This Row],[Tech Start Date]],2),""))))</f>
        <v>40962</v>
      </c>
      <c r="N77" s="114">
        <f>IF(Main[[#This Row],[Tech Start Date]]&lt;1/1/1990,"",IF(Main[[#This Row],[Class]]="C",WORKDAY(Main[[#This Row],[Tech Start Date]],19),IF(Main[[#This Row],[Class]]="B", WORKDAY(Main[[#This Row],[Tech Start Date]],12),IF(Main[[#This Row],[Class]]="A",WORKDAY(Main[[#This Row],[Tech Start Date]],4),""))))</f>
        <v>40970</v>
      </c>
      <c r="O77" s="114">
        <f>IF(Main[[#This Row],[Tech Start Date]]&lt;1/1/1990,"",IF(Main[[#This Row],[Class]]="C",WORKDAY(Main[[#This Row],[Tech Start Date]],23),IF(Main[[#This Row],[Class]]="B", WORKDAY(Main[[#This Row],[Tech Start Date]],15),IF(Main[[#This Row],[Class]]="A",WORKDAY(Main[[#This Row],[Tech Start Date]],5),""))))</f>
        <v>40975</v>
      </c>
      <c r="P77" s="114">
        <f>IF(Main[[#This Row],[Tech Start Date]]&lt;1/1/1990,"",IF(Main[[#This Row],[Class]]="C",WORKDAY(Main[[#This Row],[Tech Start Date]],28),IF(Main[[#This Row],[Class]]="B", WORKDAY(Main[[#This Row],[Tech Start Date]],19),IF(Main[[#This Row],[Class]]="A",WORKDAY(Main[[#This Row],[Tech Start Date]],9),""))))</f>
        <v>40981</v>
      </c>
      <c r="Q77" s="129">
        <v>40983</v>
      </c>
      <c r="R77" s="129">
        <v>40983</v>
      </c>
      <c r="S77" s="139" t="s">
        <v>11</v>
      </c>
      <c r="T77" s="115" t="s">
        <v>3854</v>
      </c>
      <c r="U77" s="139" t="s">
        <v>29</v>
      </c>
      <c r="V77" s="139" t="s">
        <v>1914</v>
      </c>
      <c r="W77" s="139" t="s">
        <v>1922</v>
      </c>
      <c r="X77" s="139" t="s">
        <v>2829</v>
      </c>
      <c r="Y77" s="112" t="s">
        <v>2951</v>
      </c>
      <c r="Z77" s="112" t="s">
        <v>129</v>
      </c>
      <c r="AA77" s="139" t="s">
        <v>2829</v>
      </c>
    </row>
    <row r="78" spans="1:27" ht="17.25" customHeight="1">
      <c r="A78" s="69">
        <f>IF(priority(Main[[#This Row],[Comments]])&lt;&gt;0, priority(Main[[#This Row],[Comments]]),"")</f>
        <v>20</v>
      </c>
      <c r="B78" s="63" t="s">
        <v>1901</v>
      </c>
      <c r="C78" s="148" t="s">
        <v>952</v>
      </c>
      <c r="D78" s="113" t="s">
        <v>2037</v>
      </c>
      <c r="E78" s="129"/>
      <c r="F78" s="129"/>
      <c r="G78" s="69">
        <f>IF(stdProdLT(Main[[#This Row],[Comments]])=0.1,"N/A",IF(stdProdLT(Main[[#This Row],[Comments]])=0,"",stdProdLT(Main[[#This Row],[Comments]])))</f>
        <v>112</v>
      </c>
      <c r="H78" s="138" t="str">
        <f>IF(Main[[#This Row],[In Stock Date]]="N/A", "N/A",IF(AND(Main[[#This Row],[In Stock Date]]&lt;&gt;"",Main[[#This Row],[Revised Due Date]]&lt;&gt;"",Main[[#This Row],[In Stock Date]]&lt;&gt;""),Main[[#This Row],[In Stock Date]]-Main[[#This Row],[Revised Due Date]],""))</f>
        <v/>
      </c>
      <c r="I78" s="139" t="s">
        <v>50</v>
      </c>
      <c r="J78" s="139" t="s">
        <v>52</v>
      </c>
      <c r="K78" s="139" t="s">
        <v>1927</v>
      </c>
      <c r="L78" s="129"/>
      <c r="M78" s="114" t="str">
        <f>IF(Main[[#This Row],[Tech Start Date]]&lt;1/1/1990,"",IF(Main[[#This Row],[Class]]="C",WORKDAY(Main[[#This Row],[Tech Start Date]],9),IF(Main[[#This Row],[Class]]="B", WORKDAY(Main[[#This Row],[Tech Start Date]],6),IF(Main[[#This Row],[Class]]="A",WORKDAY(Main[[#This Row],[Tech Start Date]],2),""))))</f>
        <v/>
      </c>
      <c r="N78" s="114" t="str">
        <f>IF(Main[[#This Row],[Tech Start Date]]&lt;1/1/1990,"",IF(Main[[#This Row],[Class]]="C",WORKDAY(Main[[#This Row],[Tech Start Date]],19),IF(Main[[#This Row],[Class]]="B", WORKDAY(Main[[#This Row],[Tech Start Date]],12),IF(Main[[#This Row],[Class]]="A",WORKDAY(Main[[#This Row],[Tech Start Date]],4),""))))</f>
        <v/>
      </c>
      <c r="O78" s="114" t="str">
        <f>IF(Main[[#This Row],[Tech Start Date]]&lt;1/1/1990,"",IF(Main[[#This Row],[Class]]="C",WORKDAY(Main[[#This Row],[Tech Start Date]],23),IF(Main[[#This Row],[Class]]="B", WORKDAY(Main[[#This Row],[Tech Start Date]],15),IF(Main[[#This Row],[Class]]="A",WORKDAY(Main[[#This Row],[Tech Start Date]],5),""))))</f>
        <v/>
      </c>
      <c r="P78" s="114" t="str">
        <f>IF(Main[[#This Row],[Tech Start Date]]&lt;1/1/1990,"",IF(Main[[#This Row],[Class]]="C",WORKDAY(Main[[#This Row],[Tech Start Date]],28),IF(Main[[#This Row],[Class]]="B", WORKDAY(Main[[#This Row],[Tech Start Date]],19),IF(Main[[#This Row],[Class]]="A",WORKDAY(Main[[#This Row],[Tech Start Date]],9),""))))</f>
        <v/>
      </c>
      <c r="Q78" s="129">
        <v>40598</v>
      </c>
      <c r="R78" s="129">
        <v>40786</v>
      </c>
      <c r="S78" s="139" t="s">
        <v>11</v>
      </c>
      <c r="T78" s="115" t="s">
        <v>2123</v>
      </c>
      <c r="U78" s="139" t="s">
        <v>14</v>
      </c>
      <c r="V78" s="139" t="s">
        <v>1915</v>
      </c>
      <c r="W78" s="139" t="s">
        <v>1916</v>
      </c>
      <c r="X78" s="139" t="s">
        <v>2816</v>
      </c>
      <c r="Y78" s="112" t="s">
        <v>2928</v>
      </c>
      <c r="Z78" s="112" t="s">
        <v>2053</v>
      </c>
      <c r="AA78" s="139" t="s">
        <v>2816</v>
      </c>
    </row>
    <row r="79" spans="1:27" ht="17.25" customHeight="1">
      <c r="A79" s="69">
        <f>IF(priority(Main[[#This Row],[Comments]])&lt;&gt;0, priority(Main[[#This Row],[Comments]]),"")</f>
        <v>20</v>
      </c>
      <c r="B79" s="63" t="s">
        <v>1953</v>
      </c>
      <c r="C79" s="148" t="s">
        <v>4</v>
      </c>
      <c r="D79" s="113" t="s">
        <v>2269</v>
      </c>
      <c r="E79" s="129">
        <v>40722.471516203703</v>
      </c>
      <c r="F79" s="129"/>
      <c r="G79" s="69" t="str">
        <f>IF(stdProdLT(Main[[#This Row],[Comments]])=0.1,"N/A",IF(stdProdLT(Main[[#This Row],[Comments]])=0,"",stdProdLT(Main[[#This Row],[Comments]])))</f>
        <v>N/A</v>
      </c>
      <c r="H79" s="138" t="str">
        <f>IF(Main[[#This Row],[In Stock Date]]="N/A", "N/A",IF(AND(Main[[#This Row],[In Stock Date]]&lt;&gt;"",Main[[#This Row],[Revised Due Date]]&lt;&gt;"",Main[[#This Row],[In Stock Date]]&lt;&gt;""),Main[[#This Row],[In Stock Date]]-Main[[#This Row],[Revised Due Date]],""))</f>
        <v/>
      </c>
      <c r="I79" s="139" t="s">
        <v>912</v>
      </c>
      <c r="J79" s="139" t="s">
        <v>21</v>
      </c>
      <c r="K79" s="139" t="s">
        <v>1923</v>
      </c>
      <c r="L79" s="129"/>
      <c r="M79" s="114" t="str">
        <f>IF(Main[[#This Row],[Tech Start Date]]&lt;1/1/1990,"",IF(Main[[#This Row],[Class]]="C",WORKDAY(Main[[#This Row],[Tech Start Date]],9),IF(Main[[#This Row],[Class]]="B", WORKDAY(Main[[#This Row],[Tech Start Date]],6),IF(Main[[#This Row],[Class]]="A",WORKDAY(Main[[#This Row],[Tech Start Date]],2),""))))</f>
        <v/>
      </c>
      <c r="N79" s="114" t="str">
        <f>IF(Main[[#This Row],[Tech Start Date]]&lt;1/1/1990,"",IF(Main[[#This Row],[Class]]="C",WORKDAY(Main[[#This Row],[Tech Start Date]],19),IF(Main[[#This Row],[Class]]="B", WORKDAY(Main[[#This Row],[Tech Start Date]],12),IF(Main[[#This Row],[Class]]="A",WORKDAY(Main[[#This Row],[Tech Start Date]],4),""))))</f>
        <v/>
      </c>
      <c r="O79" s="114" t="str">
        <f>IF(Main[[#This Row],[Tech Start Date]]&lt;1/1/1990,"",IF(Main[[#This Row],[Class]]="C",WORKDAY(Main[[#This Row],[Tech Start Date]],23),IF(Main[[#This Row],[Class]]="B", WORKDAY(Main[[#This Row],[Tech Start Date]],15),IF(Main[[#This Row],[Class]]="A",WORKDAY(Main[[#This Row],[Tech Start Date]],5),""))))</f>
        <v/>
      </c>
      <c r="P79" s="114" t="str">
        <f>IF(Main[[#This Row],[Tech Start Date]]&lt;1/1/1990,"",IF(Main[[#This Row],[Class]]="C",WORKDAY(Main[[#This Row],[Tech Start Date]],28),IF(Main[[#This Row],[Class]]="B", WORKDAY(Main[[#This Row],[Tech Start Date]],19),IF(Main[[#This Row],[Class]]="A",WORKDAY(Main[[#This Row],[Tech Start Date]],9),""))))</f>
        <v/>
      </c>
      <c r="Q79" s="129">
        <v>40753</v>
      </c>
      <c r="R79" s="129">
        <v>40756</v>
      </c>
      <c r="S79" s="139" t="s">
        <v>6</v>
      </c>
      <c r="T79" s="115" t="s">
        <v>2656</v>
      </c>
      <c r="U79" s="139" t="s">
        <v>29</v>
      </c>
      <c r="V79" s="139" t="s">
        <v>1914</v>
      </c>
      <c r="W79" s="139" t="s">
        <v>1918</v>
      </c>
      <c r="X79" s="139" t="s">
        <v>2818</v>
      </c>
      <c r="Y79" s="112" t="s">
        <v>2929</v>
      </c>
      <c r="Z79" s="112" t="s">
        <v>129</v>
      </c>
      <c r="AA79" s="139" t="s">
        <v>2818</v>
      </c>
    </row>
    <row r="80" spans="1:27" ht="17.25" customHeight="1">
      <c r="A80" s="69">
        <f>IF(priority(Main[[#This Row],[Comments]])&lt;&gt;0, priority(Main[[#This Row],[Comments]]),"")</f>
        <v>20</v>
      </c>
      <c r="B80" s="63" t="s">
        <v>2642</v>
      </c>
      <c r="C80" s="148" t="s">
        <v>53</v>
      </c>
      <c r="D80" s="113" t="s">
        <v>2643</v>
      </c>
      <c r="E80" s="129"/>
      <c r="F80" s="129"/>
      <c r="G80" s="69" t="str">
        <f>IF(stdProdLT(Main[[#This Row],[Comments]])=0.1,"N/A",IF(stdProdLT(Main[[#This Row],[Comments]])=0,"",stdProdLT(Main[[#This Row],[Comments]])))</f>
        <v>N/A</v>
      </c>
      <c r="H80" s="138" t="str">
        <f>IF(Main[[#This Row],[In Stock Date]]="N/A", "N/A",IF(AND(Main[[#This Row],[In Stock Date]]&lt;&gt;"",Main[[#This Row],[Revised Due Date]]&lt;&gt;"",Main[[#This Row],[In Stock Date]]&lt;&gt;""),Main[[#This Row],[In Stock Date]]-Main[[#This Row],[Revised Due Date]],""))</f>
        <v/>
      </c>
      <c r="I80" s="139" t="s">
        <v>941</v>
      </c>
      <c r="J80" s="139" t="s">
        <v>28</v>
      </c>
      <c r="K80" s="139" t="s">
        <v>1921</v>
      </c>
      <c r="L80" s="129">
        <v>40854</v>
      </c>
      <c r="M80" s="114">
        <f>IF(Main[[#This Row],[Tech Start Date]]&lt;1/1/1990,"",IF(Main[[#This Row],[Class]]="C",WORKDAY(Main[[#This Row],[Tech Start Date]],9),IF(Main[[#This Row],[Class]]="B", WORKDAY(Main[[#This Row],[Tech Start Date]],6),IF(Main[[#This Row],[Class]]="A",WORKDAY(Main[[#This Row],[Tech Start Date]],2),""))))</f>
        <v>40862</v>
      </c>
      <c r="N80" s="114">
        <f>IF(Main[[#This Row],[Tech Start Date]]&lt;1/1/1990,"",IF(Main[[#This Row],[Class]]="C",WORKDAY(Main[[#This Row],[Tech Start Date]],19),IF(Main[[#This Row],[Class]]="B", WORKDAY(Main[[#This Row],[Tech Start Date]],12),IF(Main[[#This Row],[Class]]="A",WORKDAY(Main[[#This Row],[Tech Start Date]],4),""))))</f>
        <v>40870</v>
      </c>
      <c r="O80" s="114">
        <f>IF(Main[[#This Row],[Tech Start Date]]&lt;1/1/1990,"",IF(Main[[#This Row],[Class]]="C",WORKDAY(Main[[#This Row],[Tech Start Date]],23),IF(Main[[#This Row],[Class]]="B", WORKDAY(Main[[#This Row],[Tech Start Date]],15),IF(Main[[#This Row],[Class]]="A",WORKDAY(Main[[#This Row],[Tech Start Date]],5),""))))</f>
        <v>40875</v>
      </c>
      <c r="P80" s="114">
        <f>IF(Main[[#This Row],[Tech Start Date]]&lt;1/1/1990,"",IF(Main[[#This Row],[Class]]="C",WORKDAY(Main[[#This Row],[Tech Start Date]],28),IF(Main[[#This Row],[Class]]="B", WORKDAY(Main[[#This Row],[Tech Start Date]],19),IF(Main[[#This Row],[Class]]="A",WORKDAY(Main[[#This Row],[Tech Start Date]],9),""))))</f>
        <v>40879</v>
      </c>
      <c r="Q80" s="129">
        <v>40883</v>
      </c>
      <c r="R80" s="129">
        <v>40877</v>
      </c>
      <c r="S80" s="139" t="s">
        <v>11</v>
      </c>
      <c r="T80" s="115" t="s">
        <v>2644</v>
      </c>
      <c r="U80" s="139" t="s">
        <v>14</v>
      </c>
      <c r="V80" s="139" t="s">
        <v>1915</v>
      </c>
      <c r="W80" s="139" t="s">
        <v>1916</v>
      </c>
      <c r="X80" s="139" t="s">
        <v>2816</v>
      </c>
      <c r="Y80" s="112" t="s">
        <v>2993</v>
      </c>
      <c r="Z80" s="112" t="s">
        <v>2053</v>
      </c>
      <c r="AA80" s="139" t="s">
        <v>2816</v>
      </c>
    </row>
    <row r="81" spans="1:27" ht="17.25" customHeight="1">
      <c r="A81" s="69">
        <f>IF(priority(Main[[#This Row],[Comments]])&lt;&gt;0, priority(Main[[#This Row],[Comments]]),"")</f>
        <v>20</v>
      </c>
      <c r="B81" s="63" t="s">
        <v>3259</v>
      </c>
      <c r="C81" s="148" t="s">
        <v>3260</v>
      </c>
      <c r="D81" s="62" t="s">
        <v>3330</v>
      </c>
      <c r="E81" s="129">
        <v>40934.707789351851</v>
      </c>
      <c r="F81" s="129">
        <v>41065</v>
      </c>
      <c r="G81" s="69">
        <f>IF(stdProdLT(Main[[#This Row],[Comments]])=0.1,"N/A",IF(stdProdLT(Main[[#This Row],[Comments]])=0,"",stdProdLT(Main[[#This Row],[Comments]])))</f>
        <v>84</v>
      </c>
      <c r="H81" s="138">
        <f>IF(Main[[#This Row],[In Stock Date]]="N/A", "N/A",IF(AND(Main[[#This Row],[In Stock Date]]&lt;&gt;"",Main[[#This Row],[Revised Due Date]]&lt;&gt;"",Main[[#This Row],[In Stock Date]]&lt;&gt;""),Main[[#This Row],[In Stock Date]]-Main[[#This Row],[Revised Due Date]],""))</f>
        <v>82</v>
      </c>
      <c r="I81" s="139" t="s">
        <v>894</v>
      </c>
      <c r="J81" s="139" t="s">
        <v>4</v>
      </c>
      <c r="K81" s="139" t="s">
        <v>1927</v>
      </c>
      <c r="L81" s="129">
        <v>40956</v>
      </c>
      <c r="M81" s="114">
        <f>IF(Main[[#This Row],[Tech Start Date]]&lt;1/1/1990,"",IF(Main[[#This Row],[Class]]="C",WORKDAY(Main[[#This Row],[Tech Start Date]],9),IF(Main[[#This Row],[Class]]="B", WORKDAY(Main[[#This Row],[Tech Start Date]],6),IF(Main[[#This Row],[Class]]="A",WORKDAY(Main[[#This Row],[Tech Start Date]],2),""))))</f>
        <v>40969</v>
      </c>
      <c r="N81" s="114">
        <f>IF(Main[[#This Row],[Tech Start Date]]&lt;1/1/1990,"",IF(Main[[#This Row],[Class]]="C",WORKDAY(Main[[#This Row],[Tech Start Date]],19),IF(Main[[#This Row],[Class]]="B", WORKDAY(Main[[#This Row],[Tech Start Date]],12),IF(Main[[#This Row],[Class]]="A",WORKDAY(Main[[#This Row],[Tech Start Date]],4),""))))</f>
        <v>40983</v>
      </c>
      <c r="O81" s="114">
        <f>IF(Main[[#This Row],[Tech Start Date]]&lt;1/1/1990,"",IF(Main[[#This Row],[Class]]="C",WORKDAY(Main[[#This Row],[Tech Start Date]],23),IF(Main[[#This Row],[Class]]="B", WORKDAY(Main[[#This Row],[Tech Start Date]],15),IF(Main[[#This Row],[Class]]="A",WORKDAY(Main[[#This Row],[Tech Start Date]],5),""))))</f>
        <v>40989</v>
      </c>
      <c r="P81" s="114">
        <f>IF(Main[[#This Row],[Tech Start Date]]&lt;1/1/1990,"",IF(Main[[#This Row],[Class]]="C",WORKDAY(Main[[#This Row],[Tech Start Date]],28),IF(Main[[#This Row],[Class]]="B", WORKDAY(Main[[#This Row],[Tech Start Date]],19),IF(Main[[#This Row],[Class]]="A",WORKDAY(Main[[#This Row],[Tech Start Date]],9),""))))</f>
        <v>40996</v>
      </c>
      <c r="Q81" s="129">
        <v>40945</v>
      </c>
      <c r="R81" s="129">
        <v>40983</v>
      </c>
      <c r="S81" s="139" t="s">
        <v>11</v>
      </c>
      <c r="T81" s="115" t="s">
        <v>3867</v>
      </c>
      <c r="U81" s="139" t="s">
        <v>29</v>
      </c>
      <c r="V81" s="139" t="s">
        <v>1914</v>
      </c>
      <c r="W81" s="139" t="s">
        <v>1922</v>
      </c>
      <c r="X81" s="139" t="s">
        <v>2829</v>
      </c>
      <c r="Y81" s="112" t="s">
        <v>2951</v>
      </c>
      <c r="Z81" s="112" t="s">
        <v>129</v>
      </c>
      <c r="AA81" s="139" t="s">
        <v>2829</v>
      </c>
    </row>
    <row r="82" spans="1:27" ht="17.25" customHeight="1">
      <c r="A82" s="69">
        <f>IF(priority(Main[[#This Row],[Comments]])&lt;&gt;0, priority(Main[[#This Row],[Comments]]),"")</f>
        <v>20</v>
      </c>
      <c r="B82" s="63" t="s">
        <v>3899</v>
      </c>
      <c r="C82" s="148" t="s">
        <v>31</v>
      </c>
      <c r="D82" s="113" t="s">
        <v>3900</v>
      </c>
      <c r="E82" s="129">
        <v>40960.080937500003</v>
      </c>
      <c r="F82" s="129">
        <v>41091</v>
      </c>
      <c r="G82" s="69">
        <f>IF(stdProdLT(Main[[#This Row],[Comments]])=0.1,"N/A",IF(stdProdLT(Main[[#This Row],[Comments]])=0,"",stdProdLT(Main[[#This Row],[Comments]])))</f>
        <v>140</v>
      </c>
      <c r="H82" s="138">
        <f>IF(Main[[#This Row],[In Stock Date]]="N/A", "N/A",IF(AND(Main[[#This Row],[In Stock Date]]&lt;&gt;"",Main[[#This Row],[Revised Due Date]]&lt;&gt;"",Main[[#This Row],[In Stock Date]]&lt;&gt;""),Main[[#This Row],[In Stock Date]]-Main[[#This Row],[Revised Due Date]],""))</f>
        <v>96</v>
      </c>
      <c r="I82" s="139" t="s">
        <v>239</v>
      </c>
      <c r="J82" s="139" t="s">
        <v>21</v>
      </c>
      <c r="K82" s="140" t="s">
        <v>1921</v>
      </c>
      <c r="L82" s="129">
        <v>40960</v>
      </c>
      <c r="M82" s="114">
        <f>IF(Main[[#This Row],[Tech Start Date]]&lt;1/1/1990,"",IF(Main[[#This Row],[Class]]="C",WORKDAY(Main[[#This Row],[Tech Start Date]],9),IF(Main[[#This Row],[Class]]="B", WORKDAY(Main[[#This Row],[Tech Start Date]],6),IF(Main[[#This Row],[Class]]="A",WORKDAY(Main[[#This Row],[Tech Start Date]],2),""))))</f>
        <v>40968</v>
      </c>
      <c r="N82" s="114">
        <f>IF(Main[[#This Row],[Tech Start Date]]&lt;1/1/1990,"",IF(Main[[#This Row],[Class]]="C",WORKDAY(Main[[#This Row],[Tech Start Date]],19),IF(Main[[#This Row],[Class]]="B", WORKDAY(Main[[#This Row],[Tech Start Date]],12),IF(Main[[#This Row],[Class]]="A",WORKDAY(Main[[#This Row],[Tech Start Date]],4),""))))</f>
        <v>40976</v>
      </c>
      <c r="O82" s="114">
        <f>IF(Main[[#This Row],[Tech Start Date]]&lt;1/1/1990,"",IF(Main[[#This Row],[Class]]="C",WORKDAY(Main[[#This Row],[Tech Start Date]],23),IF(Main[[#This Row],[Class]]="B", WORKDAY(Main[[#This Row],[Tech Start Date]],15),IF(Main[[#This Row],[Class]]="A",WORKDAY(Main[[#This Row],[Tech Start Date]],5),""))))</f>
        <v>40981</v>
      </c>
      <c r="P82" s="114">
        <f>IF(Main[[#This Row],[Tech Start Date]]&lt;1/1/1990,"",IF(Main[[#This Row],[Class]]="C",WORKDAY(Main[[#This Row],[Tech Start Date]],28),IF(Main[[#This Row],[Class]]="B", WORKDAY(Main[[#This Row],[Tech Start Date]],19),IF(Main[[#This Row],[Class]]="A",WORKDAY(Main[[#This Row],[Tech Start Date]],9),""))))</f>
        <v>40987</v>
      </c>
      <c r="Q82" s="129">
        <v>40995</v>
      </c>
      <c r="R82" s="129">
        <v>40995</v>
      </c>
      <c r="S82" s="139" t="s">
        <v>11</v>
      </c>
      <c r="T82" s="115" t="s">
        <v>3901</v>
      </c>
      <c r="U82" s="139" t="s">
        <v>29</v>
      </c>
      <c r="V82" s="139" t="s">
        <v>1924</v>
      </c>
      <c r="W82" s="139" t="s">
        <v>1919</v>
      </c>
      <c r="X82" s="139" t="s">
        <v>2845</v>
      </c>
      <c r="Y82" s="112" t="s">
        <v>3902</v>
      </c>
      <c r="Z82" s="112" t="s">
        <v>69</v>
      </c>
      <c r="AA82" s="139" t="s">
        <v>2845</v>
      </c>
    </row>
    <row r="83" spans="1:27" ht="17.25" customHeight="1">
      <c r="A83" s="69">
        <f>IF(priority(Main[[#This Row],[Comments]])&lt;&gt;0, priority(Main[[#This Row],[Comments]]),"")</f>
        <v>21</v>
      </c>
      <c r="B83" s="63" t="s">
        <v>3850</v>
      </c>
      <c r="C83" s="148" t="s">
        <v>3851</v>
      </c>
      <c r="D83" s="62" t="s">
        <v>3852</v>
      </c>
      <c r="E83" s="129">
        <v>40953.697708333333</v>
      </c>
      <c r="F83" s="129">
        <v>41154</v>
      </c>
      <c r="G83" s="69">
        <f>IF(stdProdLT(Main[[#This Row],[Comments]])=0.1,"N/A",IF(stdProdLT(Main[[#This Row],[Comments]])=0,"",stdProdLT(Main[[#This Row],[Comments]])))</f>
        <v>126</v>
      </c>
      <c r="H83" s="138">
        <f>IF(Main[[#This Row],[In Stock Date]]="N/A", "N/A",IF(AND(Main[[#This Row],[In Stock Date]]&lt;&gt;"",Main[[#This Row],[Revised Due Date]]&lt;&gt;"",Main[[#This Row],[In Stock Date]]&lt;&gt;""),Main[[#This Row],[In Stock Date]]-Main[[#This Row],[Revised Due Date]],""))</f>
        <v>165</v>
      </c>
      <c r="I83" s="139" t="s">
        <v>561</v>
      </c>
      <c r="J83" s="139" t="s">
        <v>28</v>
      </c>
      <c r="K83" s="139" t="s">
        <v>1921</v>
      </c>
      <c r="L83" s="129">
        <v>40954</v>
      </c>
      <c r="M83" s="114">
        <f>IF(Main[[#This Row],[Tech Start Date]]&lt;1/1/1990,"",IF(Main[[#This Row],[Class]]="C",WORKDAY(Main[[#This Row],[Tech Start Date]],9),IF(Main[[#This Row],[Class]]="B", WORKDAY(Main[[#This Row],[Tech Start Date]],6),IF(Main[[#This Row],[Class]]="A",WORKDAY(Main[[#This Row],[Tech Start Date]],2),""))))</f>
        <v>40962</v>
      </c>
      <c r="N83" s="114">
        <f>IF(Main[[#This Row],[Tech Start Date]]&lt;1/1/1990,"",IF(Main[[#This Row],[Class]]="C",WORKDAY(Main[[#This Row],[Tech Start Date]],19),IF(Main[[#This Row],[Class]]="B", WORKDAY(Main[[#This Row],[Tech Start Date]],12),IF(Main[[#This Row],[Class]]="A",WORKDAY(Main[[#This Row],[Tech Start Date]],4),""))))</f>
        <v>40970</v>
      </c>
      <c r="O83" s="114">
        <f>IF(Main[[#This Row],[Tech Start Date]]&lt;1/1/1990,"",IF(Main[[#This Row],[Class]]="C",WORKDAY(Main[[#This Row],[Tech Start Date]],23),IF(Main[[#This Row],[Class]]="B", WORKDAY(Main[[#This Row],[Tech Start Date]],15),IF(Main[[#This Row],[Class]]="A",WORKDAY(Main[[#This Row],[Tech Start Date]],5),""))))</f>
        <v>40975</v>
      </c>
      <c r="P83" s="114">
        <f>IF(Main[[#This Row],[Tech Start Date]]&lt;1/1/1990,"",IF(Main[[#This Row],[Class]]="C",WORKDAY(Main[[#This Row],[Tech Start Date]],28),IF(Main[[#This Row],[Class]]="B", WORKDAY(Main[[#This Row],[Tech Start Date]],19),IF(Main[[#This Row],[Class]]="A",WORKDAY(Main[[#This Row],[Tech Start Date]],9),""))))</f>
        <v>40981</v>
      </c>
      <c r="Q83" s="129"/>
      <c r="R83" s="129">
        <v>40989</v>
      </c>
      <c r="S83" s="139" t="s">
        <v>11</v>
      </c>
      <c r="T83" s="115" t="s">
        <v>3853</v>
      </c>
      <c r="U83" s="139" t="s">
        <v>29</v>
      </c>
      <c r="V83" s="139" t="s">
        <v>1914</v>
      </c>
      <c r="W83" s="139" t="s">
        <v>1920</v>
      </c>
      <c r="X83" s="139" t="s">
        <v>2852</v>
      </c>
      <c r="Y83" s="112" t="s">
        <v>2990</v>
      </c>
      <c r="Z83" s="112" t="s">
        <v>129</v>
      </c>
      <c r="AA83" s="139" t="s">
        <v>2852</v>
      </c>
    </row>
    <row r="84" spans="1:27" ht="17.25" customHeight="1">
      <c r="A84" s="69">
        <f>IF(priority(Main[[#This Row],[Comments]])&lt;&gt;0, priority(Main[[#This Row],[Comments]]),"")</f>
        <v>22</v>
      </c>
      <c r="B84" s="63" t="s">
        <v>1680</v>
      </c>
      <c r="C84" s="148" t="s">
        <v>4</v>
      </c>
      <c r="D84" s="113" t="s">
        <v>2308</v>
      </c>
      <c r="E84" s="129">
        <v>40715.570891203701</v>
      </c>
      <c r="F84" s="129"/>
      <c r="G84" s="69" t="str">
        <f>IF(stdProdLT(Main[[#This Row],[Comments]])=0.1,"N/A",IF(stdProdLT(Main[[#This Row],[Comments]])=0,"",stdProdLT(Main[[#This Row],[Comments]])))</f>
        <v>N/A</v>
      </c>
      <c r="H84" s="138" t="str">
        <f>IF(Main[[#This Row],[In Stock Date]]="N/A", "N/A",IF(AND(Main[[#This Row],[In Stock Date]]&lt;&gt;"",Main[[#This Row],[Revised Due Date]]&lt;&gt;"",Main[[#This Row],[In Stock Date]]&lt;&gt;""),Main[[#This Row],[In Stock Date]]-Main[[#This Row],[Revised Due Date]],""))</f>
        <v/>
      </c>
      <c r="I84" s="139" t="s">
        <v>912</v>
      </c>
      <c r="J84" s="139" t="s">
        <v>52</v>
      </c>
      <c r="K84" s="139" t="s">
        <v>4</v>
      </c>
      <c r="L84" s="129"/>
      <c r="M84" s="114" t="str">
        <f>IF(Main[[#This Row],[Tech Start Date]]&lt;1/1/1990,"",IF(Main[[#This Row],[Class]]="C",WORKDAY(Main[[#This Row],[Tech Start Date]],9),IF(Main[[#This Row],[Class]]="B", WORKDAY(Main[[#This Row],[Tech Start Date]],6),IF(Main[[#This Row],[Class]]="A",WORKDAY(Main[[#This Row],[Tech Start Date]],2),""))))</f>
        <v/>
      </c>
      <c r="N84" s="114" t="str">
        <f>IF(Main[[#This Row],[Tech Start Date]]&lt;1/1/1990,"",IF(Main[[#This Row],[Class]]="C",WORKDAY(Main[[#This Row],[Tech Start Date]],19),IF(Main[[#This Row],[Class]]="B", WORKDAY(Main[[#This Row],[Tech Start Date]],12),IF(Main[[#This Row],[Class]]="A",WORKDAY(Main[[#This Row],[Tech Start Date]],4),""))))</f>
        <v/>
      </c>
      <c r="O84" s="114" t="str">
        <f>IF(Main[[#This Row],[Tech Start Date]]&lt;1/1/1990,"",IF(Main[[#This Row],[Class]]="C",WORKDAY(Main[[#This Row],[Tech Start Date]],23),IF(Main[[#This Row],[Class]]="B", WORKDAY(Main[[#This Row],[Tech Start Date]],15),IF(Main[[#This Row],[Class]]="A",WORKDAY(Main[[#This Row],[Tech Start Date]],5),""))))</f>
        <v/>
      </c>
      <c r="P84" s="114" t="str">
        <f>IF(Main[[#This Row],[Tech Start Date]]&lt;1/1/1990,"",IF(Main[[#This Row],[Class]]="C",WORKDAY(Main[[#This Row],[Tech Start Date]],28),IF(Main[[#This Row],[Class]]="B", WORKDAY(Main[[#This Row],[Tech Start Date]],19),IF(Main[[#This Row],[Class]]="A",WORKDAY(Main[[#This Row],[Tech Start Date]],9),""))))</f>
        <v/>
      </c>
      <c r="Q84" s="129">
        <v>40733</v>
      </c>
      <c r="R84" s="129">
        <v>40756</v>
      </c>
      <c r="S84" s="139" t="s">
        <v>6</v>
      </c>
      <c r="T84" s="115" t="s">
        <v>2562</v>
      </c>
      <c r="U84" s="139" t="s">
        <v>29</v>
      </c>
      <c r="V84" s="139" t="s">
        <v>1914</v>
      </c>
      <c r="W84" s="139" t="s">
        <v>1918</v>
      </c>
      <c r="X84" s="139" t="s">
        <v>2836</v>
      </c>
      <c r="Y84" s="112" t="s">
        <v>2965</v>
      </c>
      <c r="Z84" s="112" t="s">
        <v>4</v>
      </c>
      <c r="AA84" s="139" t="s">
        <v>2836</v>
      </c>
    </row>
    <row r="85" spans="1:27" ht="17.25" customHeight="1">
      <c r="A85" s="69">
        <f>IF(priority(Main[[#This Row],[Comments]])&lt;&gt;0, priority(Main[[#This Row],[Comments]]),"")</f>
        <v>22</v>
      </c>
      <c r="B85" s="63" t="s">
        <v>3855</v>
      </c>
      <c r="C85" s="148" t="s">
        <v>3851</v>
      </c>
      <c r="D85" s="62" t="s">
        <v>3856</v>
      </c>
      <c r="E85" s="129">
        <v>40953.687349537038</v>
      </c>
      <c r="F85" s="129">
        <v>41154</v>
      </c>
      <c r="G85" s="69">
        <f>IF(stdProdLT(Main[[#This Row],[Comments]])=0.1,"N/A",IF(stdProdLT(Main[[#This Row],[Comments]])=0,"",stdProdLT(Main[[#This Row],[Comments]])))</f>
        <v>126</v>
      </c>
      <c r="H85" s="138">
        <f>IF(Main[[#This Row],[In Stock Date]]="N/A", "N/A",IF(AND(Main[[#This Row],[In Stock Date]]&lt;&gt;"",Main[[#This Row],[Revised Due Date]]&lt;&gt;"",Main[[#This Row],[In Stock Date]]&lt;&gt;""),Main[[#This Row],[In Stock Date]]-Main[[#This Row],[Revised Due Date]],""))</f>
        <v>165</v>
      </c>
      <c r="I85" s="139" t="s">
        <v>912</v>
      </c>
      <c r="J85" s="139" t="s">
        <v>52</v>
      </c>
      <c r="K85" s="139" t="s">
        <v>1921</v>
      </c>
      <c r="L85" s="129">
        <v>40954</v>
      </c>
      <c r="M85" s="114">
        <f>IF(Main[[#This Row],[Tech Start Date]]&lt;1/1/1990,"",IF(Main[[#This Row],[Class]]="C",WORKDAY(Main[[#This Row],[Tech Start Date]],9),IF(Main[[#This Row],[Class]]="B", WORKDAY(Main[[#This Row],[Tech Start Date]],6),IF(Main[[#This Row],[Class]]="A",WORKDAY(Main[[#This Row],[Tech Start Date]],2),""))))</f>
        <v>40962</v>
      </c>
      <c r="N85" s="114">
        <f>IF(Main[[#This Row],[Tech Start Date]]&lt;1/1/1990,"",IF(Main[[#This Row],[Class]]="C",WORKDAY(Main[[#This Row],[Tech Start Date]],19),IF(Main[[#This Row],[Class]]="B", WORKDAY(Main[[#This Row],[Tech Start Date]],12),IF(Main[[#This Row],[Class]]="A",WORKDAY(Main[[#This Row],[Tech Start Date]],4),""))))</f>
        <v>40970</v>
      </c>
      <c r="O85" s="114">
        <f>IF(Main[[#This Row],[Tech Start Date]]&lt;1/1/1990,"",IF(Main[[#This Row],[Class]]="C",WORKDAY(Main[[#This Row],[Tech Start Date]],23),IF(Main[[#This Row],[Class]]="B", WORKDAY(Main[[#This Row],[Tech Start Date]],15),IF(Main[[#This Row],[Class]]="A",WORKDAY(Main[[#This Row],[Tech Start Date]],5),""))))</f>
        <v>40975</v>
      </c>
      <c r="P85" s="114">
        <f>IF(Main[[#This Row],[Tech Start Date]]&lt;1/1/1990,"",IF(Main[[#This Row],[Class]]="C",WORKDAY(Main[[#This Row],[Tech Start Date]],28),IF(Main[[#This Row],[Class]]="B", WORKDAY(Main[[#This Row],[Tech Start Date]],19),IF(Main[[#This Row],[Class]]="A",WORKDAY(Main[[#This Row],[Tech Start Date]],9),""))))</f>
        <v>40981</v>
      </c>
      <c r="Q85" s="129"/>
      <c r="R85" s="129">
        <v>40989</v>
      </c>
      <c r="S85" s="139" t="s">
        <v>11</v>
      </c>
      <c r="T85" s="115" t="s">
        <v>3857</v>
      </c>
      <c r="U85" s="139" t="s">
        <v>29</v>
      </c>
      <c r="V85" s="139" t="s">
        <v>1914</v>
      </c>
      <c r="W85" s="139" t="s">
        <v>1920</v>
      </c>
      <c r="X85" s="139" t="s">
        <v>2852</v>
      </c>
      <c r="Y85" s="112" t="s">
        <v>2990</v>
      </c>
      <c r="Z85" s="112" t="s">
        <v>129</v>
      </c>
      <c r="AA85" s="139" t="s">
        <v>2852</v>
      </c>
    </row>
    <row r="86" spans="1:27" ht="17.25" customHeight="1">
      <c r="A86" s="69">
        <f>IF(priority(Main[[#This Row],[Comments]])&lt;&gt;0, priority(Main[[#This Row],[Comments]]),"")</f>
        <v>23</v>
      </c>
      <c r="B86" s="63" t="s">
        <v>3204</v>
      </c>
      <c r="C86" s="148" t="s">
        <v>3205</v>
      </c>
      <c r="D86" s="62" t="s">
        <v>3368</v>
      </c>
      <c r="E86" s="129">
        <v>40920.494050925925</v>
      </c>
      <c r="F86" s="129">
        <v>41197</v>
      </c>
      <c r="G86" s="69">
        <f>IF(stdProdLT(Main[[#This Row],[Comments]])=0.1,"N/A",IF(stdProdLT(Main[[#This Row],[Comments]])=0,"",stdProdLT(Main[[#This Row],[Comments]])))</f>
        <v>126</v>
      </c>
      <c r="H86" s="138">
        <f>IF(Main[[#This Row],[In Stock Date]]="N/A", "N/A",IF(AND(Main[[#This Row],[In Stock Date]]&lt;&gt;"",Main[[#This Row],[Revised Due Date]]&lt;&gt;"",Main[[#This Row],[In Stock Date]]&lt;&gt;""),Main[[#This Row],[In Stock Date]]-Main[[#This Row],[Revised Due Date]],""))</f>
        <v>220</v>
      </c>
      <c r="I86" s="139" t="s">
        <v>912</v>
      </c>
      <c r="J86" s="139" t="s">
        <v>52</v>
      </c>
      <c r="K86" s="139" t="s">
        <v>1921</v>
      </c>
      <c r="L86" s="129">
        <v>40921</v>
      </c>
      <c r="M86" s="114">
        <f>IF(Main[[#This Row],[Tech Start Date]]&lt;1/1/1990,"",IF(Main[[#This Row],[Class]]="C",WORKDAY(Main[[#This Row],[Tech Start Date]],9),IF(Main[[#This Row],[Class]]="B", WORKDAY(Main[[#This Row],[Tech Start Date]],6),IF(Main[[#This Row],[Class]]="A",WORKDAY(Main[[#This Row],[Tech Start Date]],2),""))))</f>
        <v>40931</v>
      </c>
      <c r="N86" s="114">
        <f>IF(Main[[#This Row],[Tech Start Date]]&lt;1/1/1990,"",IF(Main[[#This Row],[Class]]="C",WORKDAY(Main[[#This Row],[Tech Start Date]],19),IF(Main[[#This Row],[Class]]="B", WORKDAY(Main[[#This Row],[Tech Start Date]],12),IF(Main[[#This Row],[Class]]="A",WORKDAY(Main[[#This Row],[Tech Start Date]],4),""))))</f>
        <v>40939</v>
      </c>
      <c r="O86" s="114">
        <f>IF(Main[[#This Row],[Tech Start Date]]&lt;1/1/1990,"",IF(Main[[#This Row],[Class]]="C",WORKDAY(Main[[#This Row],[Tech Start Date]],23),IF(Main[[#This Row],[Class]]="B", WORKDAY(Main[[#This Row],[Tech Start Date]],15),IF(Main[[#This Row],[Class]]="A",WORKDAY(Main[[#This Row],[Tech Start Date]],5),""))))</f>
        <v>40942</v>
      </c>
      <c r="P86" s="114">
        <f>IF(Main[[#This Row],[Tech Start Date]]&lt;1/1/1990,"",IF(Main[[#This Row],[Class]]="C",WORKDAY(Main[[#This Row],[Tech Start Date]],28),IF(Main[[#This Row],[Class]]="B", WORKDAY(Main[[#This Row],[Tech Start Date]],19),IF(Main[[#This Row],[Class]]="A",WORKDAY(Main[[#This Row],[Tech Start Date]],9),""))))</f>
        <v>40948</v>
      </c>
      <c r="Q86" s="129">
        <v>41197</v>
      </c>
      <c r="R86" s="129">
        <v>40977</v>
      </c>
      <c r="S86" s="139" t="s">
        <v>11</v>
      </c>
      <c r="T86" s="115" t="s">
        <v>3820</v>
      </c>
      <c r="U86" s="139" t="s">
        <v>29</v>
      </c>
      <c r="V86" s="139" t="s">
        <v>1914</v>
      </c>
      <c r="W86" s="139" t="s">
        <v>1920</v>
      </c>
      <c r="X86" s="139" t="s">
        <v>2852</v>
      </c>
      <c r="Y86" s="112" t="s">
        <v>2990</v>
      </c>
      <c r="Z86" s="112" t="s">
        <v>129</v>
      </c>
      <c r="AA86" s="139" t="s">
        <v>2852</v>
      </c>
    </row>
    <row r="87" spans="1:27" ht="17.25" customHeight="1">
      <c r="A87" s="69">
        <f>IF(priority(Main[[#This Row],[Comments]])&lt;&gt;0, priority(Main[[#This Row],[Comments]]),"")</f>
        <v>23</v>
      </c>
      <c r="B87" s="63" t="s">
        <v>3890</v>
      </c>
      <c r="C87" s="148" t="s">
        <v>33</v>
      </c>
      <c r="D87" s="113" t="s">
        <v>3891</v>
      </c>
      <c r="E87" s="129">
        <v>40953.124837962961</v>
      </c>
      <c r="F87" s="129">
        <v>41000</v>
      </c>
      <c r="G87" s="69" t="str">
        <f>IF(stdProdLT(Main[[#This Row],[Comments]])=0.1,"N/A",IF(stdProdLT(Main[[#This Row],[Comments]])=0,"",stdProdLT(Main[[#This Row],[Comments]])))</f>
        <v>N/A</v>
      </c>
      <c r="H87" s="138">
        <f>IF(Main[[#This Row],[In Stock Date]]="N/A", "N/A",IF(AND(Main[[#This Row],[In Stock Date]]&lt;&gt;"",Main[[#This Row],[Revised Due Date]]&lt;&gt;"",Main[[#This Row],[In Stock Date]]&lt;&gt;""),Main[[#This Row],[In Stock Date]]-Main[[#This Row],[Revised Due Date]],""))</f>
        <v>30</v>
      </c>
      <c r="I87" s="139" t="s">
        <v>306</v>
      </c>
      <c r="J87" s="139" t="s">
        <v>75</v>
      </c>
      <c r="K87" s="139" t="s">
        <v>1923</v>
      </c>
      <c r="L87" s="129">
        <v>40960</v>
      </c>
      <c r="M87" s="114">
        <f>IF(Main[[#This Row],[Tech Start Date]]&lt;1/1/1990,"",IF(Main[[#This Row],[Class]]="C",WORKDAY(Main[[#This Row],[Tech Start Date]],9),IF(Main[[#This Row],[Class]]="B", WORKDAY(Main[[#This Row],[Tech Start Date]],6),IF(Main[[#This Row],[Class]]="A",WORKDAY(Main[[#This Row],[Tech Start Date]],2),""))))</f>
        <v>40962</v>
      </c>
      <c r="N87" s="114">
        <f>IF(Main[[#This Row],[Tech Start Date]]&lt;1/1/1990,"",IF(Main[[#This Row],[Class]]="C",WORKDAY(Main[[#This Row],[Tech Start Date]],19),IF(Main[[#This Row],[Class]]="B", WORKDAY(Main[[#This Row],[Tech Start Date]],12),IF(Main[[#This Row],[Class]]="A",WORKDAY(Main[[#This Row],[Tech Start Date]],4),""))))</f>
        <v>40966</v>
      </c>
      <c r="O87" s="114">
        <f>IF(Main[[#This Row],[Tech Start Date]]&lt;1/1/1990,"",IF(Main[[#This Row],[Class]]="C",WORKDAY(Main[[#This Row],[Tech Start Date]],23),IF(Main[[#This Row],[Class]]="B", WORKDAY(Main[[#This Row],[Tech Start Date]],15),IF(Main[[#This Row],[Class]]="A",WORKDAY(Main[[#This Row],[Tech Start Date]],5),""))))</f>
        <v>40967</v>
      </c>
      <c r="P87" s="114">
        <f>IF(Main[[#This Row],[Tech Start Date]]&lt;1/1/1990,"",IF(Main[[#This Row],[Class]]="C",WORKDAY(Main[[#This Row],[Tech Start Date]],28),IF(Main[[#This Row],[Class]]="B", WORKDAY(Main[[#This Row],[Tech Start Date]],19),IF(Main[[#This Row],[Class]]="A",WORKDAY(Main[[#This Row],[Tech Start Date]],9),""))))</f>
        <v>40973</v>
      </c>
      <c r="Q87" s="129">
        <v>40967</v>
      </c>
      <c r="R87" s="129">
        <v>40970</v>
      </c>
      <c r="S87" s="139" t="s">
        <v>11</v>
      </c>
      <c r="T87" s="115" t="s">
        <v>3892</v>
      </c>
      <c r="U87" s="139" t="s">
        <v>29</v>
      </c>
      <c r="V87" s="139" t="s">
        <v>1924</v>
      </c>
      <c r="W87" s="139" t="s">
        <v>1919</v>
      </c>
      <c r="X87" s="139" t="s">
        <v>2875</v>
      </c>
      <c r="Y87" s="112" t="s">
        <v>3021</v>
      </c>
      <c r="Z87" s="112" t="s">
        <v>530</v>
      </c>
      <c r="AA87" s="139" t="s">
        <v>2875</v>
      </c>
    </row>
    <row r="88" spans="1:27" ht="17.25" customHeight="1">
      <c r="A88" s="69">
        <f>IF(priority(Main[[#This Row],[Comments]])&lt;&gt;0, priority(Main[[#This Row],[Comments]]),"")</f>
        <v>24</v>
      </c>
      <c r="B88" s="63" t="s">
        <v>1556</v>
      </c>
      <c r="C88" s="148" t="s">
        <v>4</v>
      </c>
      <c r="D88" s="113" t="s">
        <v>2299</v>
      </c>
      <c r="E88" s="129">
        <v>40710.712175925924</v>
      </c>
      <c r="F88" s="129"/>
      <c r="G88" s="69" t="str">
        <f>IF(stdProdLT(Main[[#This Row],[Comments]])=0.1,"N/A",IF(stdProdLT(Main[[#This Row],[Comments]])=0,"",stdProdLT(Main[[#This Row],[Comments]])))</f>
        <v>N/A</v>
      </c>
      <c r="H88" s="138" t="str">
        <f>IF(Main[[#This Row],[In Stock Date]]="N/A", "N/A",IF(AND(Main[[#This Row],[In Stock Date]]&lt;&gt;"",Main[[#This Row],[Revised Due Date]]&lt;&gt;"",Main[[#This Row],[In Stock Date]]&lt;&gt;""),Main[[#This Row],[In Stock Date]]-Main[[#This Row],[Revised Due Date]],""))</f>
        <v/>
      </c>
      <c r="I88" s="139" t="s">
        <v>912</v>
      </c>
      <c r="J88" s="139" t="s">
        <v>4</v>
      </c>
      <c r="K88" s="139" t="s">
        <v>4</v>
      </c>
      <c r="L88" s="129"/>
      <c r="M88" s="114" t="str">
        <f>IF(Main[[#This Row],[Tech Start Date]]&lt;1/1/1990,"",IF(Main[[#This Row],[Class]]="C",WORKDAY(Main[[#This Row],[Tech Start Date]],9),IF(Main[[#This Row],[Class]]="B", WORKDAY(Main[[#This Row],[Tech Start Date]],6),IF(Main[[#This Row],[Class]]="A",WORKDAY(Main[[#This Row],[Tech Start Date]],2),""))))</f>
        <v/>
      </c>
      <c r="N88" s="114" t="str">
        <f>IF(Main[[#This Row],[Tech Start Date]]&lt;1/1/1990,"",IF(Main[[#This Row],[Class]]="C",WORKDAY(Main[[#This Row],[Tech Start Date]],19),IF(Main[[#This Row],[Class]]="B", WORKDAY(Main[[#This Row],[Tech Start Date]],12),IF(Main[[#This Row],[Class]]="A",WORKDAY(Main[[#This Row],[Tech Start Date]],4),""))))</f>
        <v/>
      </c>
      <c r="O88" s="114" t="str">
        <f>IF(Main[[#This Row],[Tech Start Date]]&lt;1/1/1990,"",IF(Main[[#This Row],[Class]]="C",WORKDAY(Main[[#This Row],[Tech Start Date]],23),IF(Main[[#This Row],[Class]]="B", WORKDAY(Main[[#This Row],[Tech Start Date]],15),IF(Main[[#This Row],[Class]]="A",WORKDAY(Main[[#This Row],[Tech Start Date]],5),""))))</f>
        <v/>
      </c>
      <c r="P88" s="114" t="str">
        <f>IF(Main[[#This Row],[Tech Start Date]]&lt;1/1/1990,"",IF(Main[[#This Row],[Class]]="C",WORKDAY(Main[[#This Row],[Tech Start Date]],28),IF(Main[[#This Row],[Class]]="B", WORKDAY(Main[[#This Row],[Tech Start Date]],19),IF(Main[[#This Row],[Class]]="A",WORKDAY(Main[[#This Row],[Tech Start Date]],9),""))))</f>
        <v/>
      </c>
      <c r="Q88" s="129"/>
      <c r="R88" s="129">
        <v>40756</v>
      </c>
      <c r="S88" s="139" t="s">
        <v>6</v>
      </c>
      <c r="T88" s="115" t="s">
        <v>2261</v>
      </c>
      <c r="U88" s="139" t="s">
        <v>29</v>
      </c>
      <c r="V88" s="139" t="s">
        <v>1914</v>
      </c>
      <c r="W88" s="139" t="s">
        <v>1918</v>
      </c>
      <c r="X88" s="139" t="s">
        <v>2866</v>
      </c>
      <c r="Y88" s="112" t="s">
        <v>3000</v>
      </c>
      <c r="Z88" s="112" t="s">
        <v>4</v>
      </c>
      <c r="AA88" s="139" t="s">
        <v>2866</v>
      </c>
    </row>
    <row r="89" spans="1:27" ht="17.25" customHeight="1">
      <c r="A89" s="69">
        <f>IF(priority(Main[[#This Row],[Comments]])&lt;&gt;0, priority(Main[[#This Row],[Comments]]),"")</f>
        <v>24</v>
      </c>
      <c r="B89" s="63" t="s">
        <v>3366</v>
      </c>
      <c r="C89" s="148" t="s">
        <v>2674</v>
      </c>
      <c r="D89" s="113" t="s">
        <v>3842</v>
      </c>
      <c r="E89" s="129">
        <v>40939.753379629627</v>
      </c>
      <c r="F89" s="129">
        <v>41013</v>
      </c>
      <c r="G89" s="69" t="str">
        <f>IF(stdProdLT(Main[[#This Row],[Comments]])=0.1,"N/A",IF(stdProdLT(Main[[#This Row],[Comments]])=0,"",stdProdLT(Main[[#This Row],[Comments]])))</f>
        <v>N/A</v>
      </c>
      <c r="H89" s="138">
        <f>IF(Main[[#This Row],[In Stock Date]]="N/A", "N/A",IF(AND(Main[[#This Row],[In Stock Date]]&lt;&gt;"",Main[[#This Row],[Revised Due Date]]&lt;&gt;"",Main[[#This Row],[In Stock Date]]&lt;&gt;""),Main[[#This Row],[In Stock Date]]-Main[[#This Row],[Revised Due Date]],""))</f>
        <v>46</v>
      </c>
      <c r="I89" s="139" t="s">
        <v>2208</v>
      </c>
      <c r="J89" s="139" t="s">
        <v>75</v>
      </c>
      <c r="K89" s="139" t="s">
        <v>1923</v>
      </c>
      <c r="L89" s="129">
        <v>40946</v>
      </c>
      <c r="M89" s="114">
        <f>IF(Main[[#This Row],[Tech Start Date]]&lt;1/1/1990,"",IF(Main[[#This Row],[Class]]="C",WORKDAY(Main[[#This Row],[Tech Start Date]],9),IF(Main[[#This Row],[Class]]="B", WORKDAY(Main[[#This Row],[Tech Start Date]],6),IF(Main[[#This Row],[Class]]="A",WORKDAY(Main[[#This Row],[Tech Start Date]],2),""))))</f>
        <v>40948</v>
      </c>
      <c r="N89" s="114">
        <f>IF(Main[[#This Row],[Tech Start Date]]&lt;1/1/1990,"",IF(Main[[#This Row],[Class]]="C",WORKDAY(Main[[#This Row],[Tech Start Date]],19),IF(Main[[#This Row],[Class]]="B", WORKDAY(Main[[#This Row],[Tech Start Date]],12),IF(Main[[#This Row],[Class]]="A",WORKDAY(Main[[#This Row],[Tech Start Date]],4),""))))</f>
        <v>40952</v>
      </c>
      <c r="O89" s="114">
        <f>IF(Main[[#This Row],[Tech Start Date]]&lt;1/1/1990,"",IF(Main[[#This Row],[Class]]="C",WORKDAY(Main[[#This Row],[Tech Start Date]],23),IF(Main[[#This Row],[Class]]="B", WORKDAY(Main[[#This Row],[Tech Start Date]],15),IF(Main[[#This Row],[Class]]="A",WORKDAY(Main[[#This Row],[Tech Start Date]],5),""))))</f>
        <v>40953</v>
      </c>
      <c r="P89" s="114">
        <f>IF(Main[[#This Row],[Tech Start Date]]&lt;1/1/1990,"",IF(Main[[#This Row],[Class]]="C",WORKDAY(Main[[#This Row],[Tech Start Date]],28),IF(Main[[#This Row],[Class]]="B", WORKDAY(Main[[#This Row],[Tech Start Date]],19),IF(Main[[#This Row],[Class]]="A",WORKDAY(Main[[#This Row],[Tech Start Date]],9),""))))</f>
        <v>40959</v>
      </c>
      <c r="Q89" s="129">
        <v>40915</v>
      </c>
      <c r="R89" s="129">
        <v>40967</v>
      </c>
      <c r="S89" s="139" t="s">
        <v>11</v>
      </c>
      <c r="T89" s="115" t="s">
        <v>3843</v>
      </c>
      <c r="U89" s="139" t="s">
        <v>29</v>
      </c>
      <c r="V89" s="139" t="s">
        <v>1924</v>
      </c>
      <c r="W89" s="139" t="s">
        <v>1922</v>
      </c>
      <c r="X89" s="139" t="s">
        <v>3367</v>
      </c>
      <c r="Y89" s="112" t="s">
        <v>4</v>
      </c>
      <c r="Z89" s="112" t="s">
        <v>530</v>
      </c>
      <c r="AA89" s="139" t="s">
        <v>3367</v>
      </c>
    </row>
    <row r="90" spans="1:27" ht="17.25" customHeight="1">
      <c r="A90" s="69">
        <f>IF(priority(Main[[#This Row],[Comments]])&lt;&gt;0, priority(Main[[#This Row],[Comments]]),"")</f>
        <v>24</v>
      </c>
      <c r="B90" s="63" t="s">
        <v>3872</v>
      </c>
      <c r="C90" s="148" t="s">
        <v>3873</v>
      </c>
      <c r="D90" s="62" t="s">
        <v>3874</v>
      </c>
      <c r="E90" s="129">
        <v>40953.469097222223</v>
      </c>
      <c r="F90" s="129">
        <v>41183</v>
      </c>
      <c r="G90" s="69">
        <f>IF(stdProdLT(Main[[#This Row],[Comments]])=0.1,"N/A",IF(stdProdLT(Main[[#This Row],[Comments]])=0,"",stdProdLT(Main[[#This Row],[Comments]])))</f>
        <v>84</v>
      </c>
      <c r="H90" s="138">
        <f>IF(Main[[#This Row],[In Stock Date]]="N/A", "N/A",IF(AND(Main[[#This Row],[In Stock Date]]&lt;&gt;"",Main[[#This Row],[Revised Due Date]]&lt;&gt;"",Main[[#This Row],[In Stock Date]]&lt;&gt;""),Main[[#This Row],[In Stock Date]]-Main[[#This Row],[Revised Due Date]],""))</f>
        <v>209</v>
      </c>
      <c r="I90" s="139" t="s">
        <v>937</v>
      </c>
      <c r="J90" s="139" t="s">
        <v>28</v>
      </c>
      <c r="K90" s="139" t="s">
        <v>1923</v>
      </c>
      <c r="L90" s="129">
        <v>40959</v>
      </c>
      <c r="M90" s="114">
        <f>IF(Main[[#This Row],[Tech Start Date]]&lt;1/1/1990,"",IF(Main[[#This Row],[Class]]="C",WORKDAY(Main[[#This Row],[Tech Start Date]],9),IF(Main[[#This Row],[Class]]="B", WORKDAY(Main[[#This Row],[Tech Start Date]],6),IF(Main[[#This Row],[Class]]="A",WORKDAY(Main[[#This Row],[Tech Start Date]],2),""))))</f>
        <v>40961</v>
      </c>
      <c r="N90" s="114">
        <f>IF(Main[[#This Row],[Tech Start Date]]&lt;1/1/1990,"",IF(Main[[#This Row],[Class]]="C",WORKDAY(Main[[#This Row],[Tech Start Date]],19),IF(Main[[#This Row],[Class]]="B", WORKDAY(Main[[#This Row],[Tech Start Date]],12),IF(Main[[#This Row],[Class]]="A",WORKDAY(Main[[#This Row],[Tech Start Date]],4),""))))</f>
        <v>40963</v>
      </c>
      <c r="O90" s="114">
        <f>IF(Main[[#This Row],[Tech Start Date]]&lt;1/1/1990,"",IF(Main[[#This Row],[Class]]="C",WORKDAY(Main[[#This Row],[Tech Start Date]],23),IF(Main[[#This Row],[Class]]="B", WORKDAY(Main[[#This Row],[Tech Start Date]],15),IF(Main[[#This Row],[Class]]="A",WORKDAY(Main[[#This Row],[Tech Start Date]],5),""))))</f>
        <v>40966</v>
      </c>
      <c r="P90" s="114">
        <f>IF(Main[[#This Row],[Tech Start Date]]&lt;1/1/1990,"",IF(Main[[#This Row],[Class]]="C",WORKDAY(Main[[#This Row],[Tech Start Date]],28),IF(Main[[#This Row],[Class]]="B", WORKDAY(Main[[#This Row],[Tech Start Date]],19),IF(Main[[#This Row],[Class]]="A",WORKDAY(Main[[#This Row],[Tech Start Date]],9),""))))</f>
        <v>40970</v>
      </c>
      <c r="Q90" s="129"/>
      <c r="R90" s="129">
        <v>40974</v>
      </c>
      <c r="S90" s="139" t="s">
        <v>11</v>
      </c>
      <c r="T90" s="115" t="s">
        <v>3875</v>
      </c>
      <c r="U90" s="139" t="s">
        <v>534</v>
      </c>
      <c r="V90" s="139" t="s">
        <v>1914</v>
      </c>
      <c r="W90" s="139" t="s">
        <v>1919</v>
      </c>
      <c r="X90" s="139" t="s">
        <v>2817</v>
      </c>
      <c r="Y90" s="112" t="s">
        <v>3130</v>
      </c>
      <c r="Z90" s="112" t="s">
        <v>129</v>
      </c>
      <c r="AA90" s="139" t="s">
        <v>2817</v>
      </c>
    </row>
    <row r="91" spans="1:27" ht="17.25" customHeight="1">
      <c r="A91" s="69">
        <f>IF(priority(Main[[#This Row],[Comments]])&lt;&gt;0, priority(Main[[#This Row],[Comments]]),"")</f>
        <v>25</v>
      </c>
      <c r="B91" s="63" t="s">
        <v>3230</v>
      </c>
      <c r="C91" s="148" t="s">
        <v>2768</v>
      </c>
      <c r="D91" s="113" t="s">
        <v>2811</v>
      </c>
      <c r="E91" s="129"/>
      <c r="F91" s="129"/>
      <c r="G91" s="69">
        <f>IF(stdProdLT(Main[[#This Row],[Comments]])=0.1,"N/A",IF(stdProdLT(Main[[#This Row],[Comments]])=0,"",stdProdLT(Main[[#This Row],[Comments]])))</f>
        <v>98</v>
      </c>
      <c r="H91" s="138" t="str">
        <f>IF(Main[[#This Row],[In Stock Date]]="N/A", "N/A",IF(AND(Main[[#This Row],[In Stock Date]]&lt;&gt;"",Main[[#This Row],[Revised Due Date]]&lt;&gt;"",Main[[#This Row],[In Stock Date]]&lt;&gt;""),Main[[#This Row],[In Stock Date]]-Main[[#This Row],[Revised Due Date]],""))</f>
        <v/>
      </c>
      <c r="I91" s="139" t="s">
        <v>4</v>
      </c>
      <c r="J91" s="139" t="s">
        <v>4</v>
      </c>
      <c r="K91" s="139" t="s">
        <v>4</v>
      </c>
      <c r="L91" s="129"/>
      <c r="M91" s="114" t="str">
        <f>IF(Main[[#This Row],[Tech Start Date]]&lt;1/1/1990,"",IF(Main[[#This Row],[Class]]="C",WORKDAY(Main[[#This Row],[Tech Start Date]],9),IF(Main[[#This Row],[Class]]="B", WORKDAY(Main[[#This Row],[Tech Start Date]],6),IF(Main[[#This Row],[Class]]="A",WORKDAY(Main[[#This Row],[Tech Start Date]],2),""))))</f>
        <v/>
      </c>
      <c r="N91" s="114" t="str">
        <f>IF(Main[[#This Row],[Tech Start Date]]&lt;1/1/1990,"",IF(Main[[#This Row],[Class]]="C",WORKDAY(Main[[#This Row],[Tech Start Date]],19),IF(Main[[#This Row],[Class]]="B", WORKDAY(Main[[#This Row],[Tech Start Date]],12),IF(Main[[#This Row],[Class]]="A",WORKDAY(Main[[#This Row],[Tech Start Date]],4),""))))</f>
        <v/>
      </c>
      <c r="O91" s="114" t="str">
        <f>IF(Main[[#This Row],[Tech Start Date]]&lt;1/1/1990,"",IF(Main[[#This Row],[Class]]="C",WORKDAY(Main[[#This Row],[Tech Start Date]],23),IF(Main[[#This Row],[Class]]="B", WORKDAY(Main[[#This Row],[Tech Start Date]],15),IF(Main[[#This Row],[Class]]="A",WORKDAY(Main[[#This Row],[Tech Start Date]],5),""))))</f>
        <v/>
      </c>
      <c r="P91" s="114" t="str">
        <f>IF(Main[[#This Row],[Tech Start Date]]&lt;1/1/1990,"",IF(Main[[#This Row],[Class]]="C",WORKDAY(Main[[#This Row],[Tech Start Date]],28),IF(Main[[#This Row],[Class]]="B", WORKDAY(Main[[#This Row],[Tech Start Date]],19),IF(Main[[#This Row],[Class]]="A",WORKDAY(Main[[#This Row],[Tech Start Date]],9),""))))</f>
        <v/>
      </c>
      <c r="Q91" s="129">
        <v>40889</v>
      </c>
      <c r="R91" s="129"/>
      <c r="S91" s="139" t="s">
        <v>11</v>
      </c>
      <c r="T91" s="115" t="s">
        <v>3223</v>
      </c>
      <c r="U91" s="139" t="s">
        <v>12</v>
      </c>
      <c r="V91" s="139" t="s">
        <v>1914</v>
      </c>
      <c r="W91" s="139" t="s">
        <v>1920</v>
      </c>
      <c r="X91" s="139" t="s">
        <v>3231</v>
      </c>
      <c r="Y91" s="112" t="s">
        <v>4</v>
      </c>
      <c r="Z91" s="112" t="s">
        <v>4</v>
      </c>
      <c r="AA91" s="139" t="s">
        <v>2854</v>
      </c>
    </row>
    <row r="92" spans="1:27" ht="17.25" customHeight="1">
      <c r="A92" s="69">
        <f>IF(priority(Main[[#This Row],[Comments]])&lt;&gt;0, priority(Main[[#This Row],[Comments]]),"")</f>
        <v>26</v>
      </c>
      <c r="B92" s="63" t="s">
        <v>2691</v>
      </c>
      <c r="C92" s="148" t="s">
        <v>2692</v>
      </c>
      <c r="D92" s="62" t="s">
        <v>3229</v>
      </c>
      <c r="E92" s="129">
        <v>40899.118032407408</v>
      </c>
      <c r="F92" s="129">
        <v>41122</v>
      </c>
      <c r="G92" s="69">
        <f>IF(stdProdLT(Main[[#This Row],[Comments]])=0.1,"N/A",IF(stdProdLT(Main[[#This Row],[Comments]])=0,"",stdProdLT(Main[[#This Row],[Comments]])))</f>
        <v>84</v>
      </c>
      <c r="H92" s="138">
        <f>IF(Main[[#This Row],[In Stock Date]]="N/A", "N/A",IF(AND(Main[[#This Row],[In Stock Date]]&lt;&gt;"",Main[[#This Row],[Revised Due Date]]&lt;&gt;"",Main[[#This Row],[In Stock Date]]&lt;&gt;""),Main[[#This Row],[In Stock Date]]-Main[[#This Row],[Revised Due Date]],""))</f>
        <v>138</v>
      </c>
      <c r="I92" s="139" t="s">
        <v>894</v>
      </c>
      <c r="J92" s="139" t="s">
        <v>52</v>
      </c>
      <c r="K92" s="139" t="s">
        <v>1927</v>
      </c>
      <c r="L92" s="129"/>
      <c r="M92" s="114" t="str">
        <f>IF(Main[[#This Row],[Tech Start Date]]&lt;1/1/1990,"",IF(Main[[#This Row],[Class]]="C",WORKDAY(Main[[#This Row],[Tech Start Date]],9),IF(Main[[#This Row],[Class]]="B", WORKDAY(Main[[#This Row],[Tech Start Date]],6),IF(Main[[#This Row],[Class]]="A",WORKDAY(Main[[#This Row],[Tech Start Date]],2),""))))</f>
        <v/>
      </c>
      <c r="N92" s="114" t="str">
        <f>IF(Main[[#This Row],[Tech Start Date]]&lt;1/1/1990,"",IF(Main[[#This Row],[Class]]="C",WORKDAY(Main[[#This Row],[Tech Start Date]],19),IF(Main[[#This Row],[Class]]="B", WORKDAY(Main[[#This Row],[Tech Start Date]],12),IF(Main[[#This Row],[Class]]="A",WORKDAY(Main[[#This Row],[Tech Start Date]],4),""))))</f>
        <v/>
      </c>
      <c r="O92" s="114" t="str">
        <f>IF(Main[[#This Row],[Tech Start Date]]&lt;1/1/1990,"",IF(Main[[#This Row],[Class]]="C",WORKDAY(Main[[#This Row],[Tech Start Date]],23),IF(Main[[#This Row],[Class]]="B", WORKDAY(Main[[#This Row],[Tech Start Date]],15),IF(Main[[#This Row],[Class]]="A",WORKDAY(Main[[#This Row],[Tech Start Date]],5),""))))</f>
        <v/>
      </c>
      <c r="P92" s="114" t="str">
        <f>IF(Main[[#This Row],[Tech Start Date]]&lt;1/1/1990,"",IF(Main[[#This Row],[Class]]="C",WORKDAY(Main[[#This Row],[Tech Start Date]],28),IF(Main[[#This Row],[Class]]="B", WORKDAY(Main[[#This Row],[Tech Start Date]],19),IF(Main[[#This Row],[Class]]="A",WORKDAY(Main[[#This Row],[Tech Start Date]],9),""))))</f>
        <v/>
      </c>
      <c r="Q92" s="129">
        <v>40960</v>
      </c>
      <c r="R92" s="129">
        <v>40984</v>
      </c>
      <c r="S92" s="139" t="s">
        <v>11</v>
      </c>
      <c r="T92" s="115" t="s">
        <v>3600</v>
      </c>
      <c r="U92" s="139" t="s">
        <v>29</v>
      </c>
      <c r="V92" s="139" t="s">
        <v>1914</v>
      </c>
      <c r="W92" s="139" t="s">
        <v>1920</v>
      </c>
      <c r="X92" s="139" t="s">
        <v>2835</v>
      </c>
      <c r="Y92" s="112" t="s">
        <v>4</v>
      </c>
      <c r="Z92" s="112" t="s">
        <v>912</v>
      </c>
      <c r="AA92" s="139" t="s">
        <v>2835</v>
      </c>
    </row>
    <row r="93" spans="1:27" ht="17.25" customHeight="1">
      <c r="A93" s="69">
        <f>IF(priority(Main[[#This Row],[Comments]])&lt;&gt;0, priority(Main[[#This Row],[Comments]]),"")</f>
        <v>26</v>
      </c>
      <c r="B93" s="63" t="s">
        <v>1460</v>
      </c>
      <c r="C93" s="148" t="s">
        <v>4</v>
      </c>
      <c r="D93" s="113" t="s">
        <v>2312</v>
      </c>
      <c r="E93" s="129">
        <v>40702.622164351851</v>
      </c>
      <c r="F93" s="129"/>
      <c r="G93" s="69" t="str">
        <f>IF(stdProdLT(Main[[#This Row],[Comments]])=0.1,"N/A",IF(stdProdLT(Main[[#This Row],[Comments]])=0,"",stdProdLT(Main[[#This Row],[Comments]])))</f>
        <v>N/A</v>
      </c>
      <c r="H93" s="138" t="str">
        <f>IF(Main[[#This Row],[In Stock Date]]="N/A", "N/A",IF(AND(Main[[#This Row],[In Stock Date]]&lt;&gt;"",Main[[#This Row],[Revised Due Date]]&lt;&gt;"",Main[[#This Row],[In Stock Date]]&lt;&gt;""),Main[[#This Row],[In Stock Date]]-Main[[#This Row],[Revised Due Date]],""))</f>
        <v/>
      </c>
      <c r="I93" s="139" t="s">
        <v>912</v>
      </c>
      <c r="J93" s="139" t="s">
        <v>52</v>
      </c>
      <c r="K93" s="139" t="s">
        <v>4</v>
      </c>
      <c r="L93" s="129"/>
      <c r="M93" s="114" t="str">
        <f>IF(Main[[#This Row],[Tech Start Date]]&lt;1/1/1990,"",IF(Main[[#This Row],[Class]]="C",WORKDAY(Main[[#This Row],[Tech Start Date]],9),IF(Main[[#This Row],[Class]]="B", WORKDAY(Main[[#This Row],[Tech Start Date]],6),IF(Main[[#This Row],[Class]]="A",WORKDAY(Main[[#This Row],[Tech Start Date]],2),""))))</f>
        <v/>
      </c>
      <c r="N93" s="114" t="str">
        <f>IF(Main[[#This Row],[Tech Start Date]]&lt;1/1/1990,"",IF(Main[[#This Row],[Class]]="C",WORKDAY(Main[[#This Row],[Tech Start Date]],19),IF(Main[[#This Row],[Class]]="B", WORKDAY(Main[[#This Row],[Tech Start Date]],12),IF(Main[[#This Row],[Class]]="A",WORKDAY(Main[[#This Row],[Tech Start Date]],4),""))))</f>
        <v/>
      </c>
      <c r="O93" s="114" t="str">
        <f>IF(Main[[#This Row],[Tech Start Date]]&lt;1/1/1990,"",IF(Main[[#This Row],[Class]]="C",WORKDAY(Main[[#This Row],[Tech Start Date]],23),IF(Main[[#This Row],[Class]]="B", WORKDAY(Main[[#This Row],[Tech Start Date]],15),IF(Main[[#This Row],[Class]]="A",WORKDAY(Main[[#This Row],[Tech Start Date]],5),""))))</f>
        <v/>
      </c>
      <c r="P93" s="114" t="str">
        <f>IF(Main[[#This Row],[Tech Start Date]]&lt;1/1/1990,"",IF(Main[[#This Row],[Class]]="C",WORKDAY(Main[[#This Row],[Tech Start Date]],28),IF(Main[[#This Row],[Class]]="B", WORKDAY(Main[[#This Row],[Tech Start Date]],19),IF(Main[[#This Row],[Class]]="A",WORKDAY(Main[[#This Row],[Tech Start Date]],9),""))))</f>
        <v/>
      </c>
      <c r="Q93" s="129"/>
      <c r="R93" s="129">
        <v>40756</v>
      </c>
      <c r="S93" s="139" t="s">
        <v>6</v>
      </c>
      <c r="T93" s="115" t="s">
        <v>2260</v>
      </c>
      <c r="U93" s="139" t="s">
        <v>29</v>
      </c>
      <c r="V93" s="139" t="s">
        <v>1914</v>
      </c>
      <c r="W93" s="139" t="s">
        <v>1918</v>
      </c>
      <c r="X93" s="139" t="s">
        <v>912</v>
      </c>
      <c r="Y93" s="112" t="s">
        <v>3057</v>
      </c>
      <c r="Z93" s="112" t="s">
        <v>4</v>
      </c>
      <c r="AA93" s="139" t="s">
        <v>912</v>
      </c>
    </row>
    <row r="94" spans="1:27" ht="17.25" customHeight="1">
      <c r="A94" s="69">
        <f>IF(priority(Main[[#This Row],[Comments]])&lt;&gt;0, priority(Main[[#This Row],[Comments]]),"")</f>
        <v>26</v>
      </c>
      <c r="B94" s="63" t="s">
        <v>1904</v>
      </c>
      <c r="C94" s="148" t="s">
        <v>954</v>
      </c>
      <c r="D94" s="113" t="s">
        <v>2021</v>
      </c>
      <c r="E94" s="129"/>
      <c r="F94" s="129"/>
      <c r="G94" s="69">
        <f>IF(stdProdLT(Main[[#This Row],[Comments]])=0.1,"N/A",IF(stdProdLT(Main[[#This Row],[Comments]])=0,"",stdProdLT(Main[[#This Row],[Comments]])))</f>
        <v>112</v>
      </c>
      <c r="H94" s="138" t="str">
        <f>IF(Main[[#This Row],[In Stock Date]]="N/A", "N/A",IF(AND(Main[[#This Row],[In Stock Date]]&lt;&gt;"",Main[[#This Row],[Revised Due Date]]&lt;&gt;"",Main[[#This Row],[In Stock Date]]&lt;&gt;""),Main[[#This Row],[In Stock Date]]-Main[[#This Row],[Revised Due Date]],""))</f>
        <v/>
      </c>
      <c r="I94" s="139" t="s">
        <v>4</v>
      </c>
      <c r="J94" s="139" t="s">
        <v>52</v>
      </c>
      <c r="K94" s="139" t="s">
        <v>1927</v>
      </c>
      <c r="L94" s="129">
        <v>40694</v>
      </c>
      <c r="M94" s="114">
        <f>IF(Main[[#This Row],[Tech Start Date]]&lt;1/1/1990,"",IF(Main[[#This Row],[Class]]="C",WORKDAY(Main[[#This Row],[Tech Start Date]],9),IF(Main[[#This Row],[Class]]="B", WORKDAY(Main[[#This Row],[Tech Start Date]],6),IF(Main[[#This Row],[Class]]="A",WORKDAY(Main[[#This Row],[Tech Start Date]],2),""))))</f>
        <v>40707</v>
      </c>
      <c r="N94" s="114">
        <f>IF(Main[[#This Row],[Tech Start Date]]&lt;1/1/1990,"",IF(Main[[#This Row],[Class]]="C",WORKDAY(Main[[#This Row],[Tech Start Date]],19),IF(Main[[#This Row],[Class]]="B", WORKDAY(Main[[#This Row],[Tech Start Date]],12),IF(Main[[#This Row],[Class]]="A",WORKDAY(Main[[#This Row],[Tech Start Date]],4),""))))</f>
        <v>40721</v>
      </c>
      <c r="O94" s="114">
        <f>IF(Main[[#This Row],[Tech Start Date]]&lt;1/1/1990,"",IF(Main[[#This Row],[Class]]="C",WORKDAY(Main[[#This Row],[Tech Start Date]],23),IF(Main[[#This Row],[Class]]="B", WORKDAY(Main[[#This Row],[Tech Start Date]],15),IF(Main[[#This Row],[Class]]="A",WORKDAY(Main[[#This Row],[Tech Start Date]],5),""))))</f>
        <v>40725</v>
      </c>
      <c r="P94" s="114">
        <f>IF(Main[[#This Row],[Tech Start Date]]&lt;1/1/1990,"",IF(Main[[#This Row],[Class]]="C",WORKDAY(Main[[#This Row],[Tech Start Date]],28),IF(Main[[#This Row],[Class]]="B", WORKDAY(Main[[#This Row],[Tech Start Date]],19),IF(Main[[#This Row],[Class]]="A",WORKDAY(Main[[#This Row],[Tech Start Date]],9),""))))</f>
        <v>40732</v>
      </c>
      <c r="Q94" s="129">
        <v>40723</v>
      </c>
      <c r="R94" s="129">
        <v>40753</v>
      </c>
      <c r="S94" s="139" t="s">
        <v>11</v>
      </c>
      <c r="T94" s="115" t="s">
        <v>2003</v>
      </c>
      <c r="U94" s="139" t="s">
        <v>14</v>
      </c>
      <c r="V94" s="139" t="s">
        <v>1914</v>
      </c>
      <c r="W94" s="139" t="s">
        <v>1916</v>
      </c>
      <c r="X94" s="139" t="s">
        <v>2883</v>
      </c>
      <c r="Y94" s="112" t="s">
        <v>3152</v>
      </c>
      <c r="Z94" s="112" t="s">
        <v>3160</v>
      </c>
      <c r="AA94" s="139" t="s">
        <v>2883</v>
      </c>
    </row>
    <row r="95" spans="1:27" ht="17.25" customHeight="1">
      <c r="A95" s="69">
        <f>IF(priority(Main[[#This Row],[Comments]])&lt;&gt;0, priority(Main[[#This Row],[Comments]]),"")</f>
        <v>26</v>
      </c>
      <c r="B95" s="63" t="s">
        <v>1435</v>
      </c>
      <c r="C95" s="148" t="s">
        <v>131</v>
      </c>
      <c r="D95" s="113" t="s">
        <v>2005</v>
      </c>
      <c r="E95" s="129"/>
      <c r="F95" s="129">
        <v>40939</v>
      </c>
      <c r="G95" s="69">
        <f>IF(stdProdLT(Main[[#This Row],[Comments]])=0.1,"N/A",IF(stdProdLT(Main[[#This Row],[Comments]])=0,"",stdProdLT(Main[[#This Row],[Comments]])))</f>
        <v>126</v>
      </c>
      <c r="H95" s="138">
        <f>IF(Main[[#This Row],[In Stock Date]]="N/A", "N/A",IF(AND(Main[[#This Row],[In Stock Date]]&lt;&gt;"",Main[[#This Row],[Revised Due Date]]&lt;&gt;"",Main[[#This Row],[In Stock Date]]&lt;&gt;""),Main[[#This Row],[In Stock Date]]-Main[[#This Row],[Revised Due Date]],""))</f>
        <v>154</v>
      </c>
      <c r="I95" s="139" t="s">
        <v>126</v>
      </c>
      <c r="J95" s="139" t="s">
        <v>28</v>
      </c>
      <c r="K95" s="139" t="s">
        <v>1927</v>
      </c>
      <c r="L95" s="129">
        <v>40736</v>
      </c>
      <c r="M95" s="114">
        <f>IF(Main[[#This Row],[Tech Start Date]]&lt;1/1/1990,"",IF(Main[[#This Row],[Class]]="C",WORKDAY(Main[[#This Row],[Tech Start Date]],9),IF(Main[[#This Row],[Class]]="B", WORKDAY(Main[[#This Row],[Tech Start Date]],6),IF(Main[[#This Row],[Class]]="A",WORKDAY(Main[[#This Row],[Tech Start Date]],2),""))))</f>
        <v>40749</v>
      </c>
      <c r="N95" s="114">
        <f>IF(Main[[#This Row],[Tech Start Date]]&lt;1/1/1990,"",IF(Main[[#This Row],[Class]]="C",WORKDAY(Main[[#This Row],[Tech Start Date]],19),IF(Main[[#This Row],[Class]]="B", WORKDAY(Main[[#This Row],[Tech Start Date]],12),IF(Main[[#This Row],[Class]]="A",WORKDAY(Main[[#This Row],[Tech Start Date]],4),""))))</f>
        <v>40763</v>
      </c>
      <c r="O95" s="114">
        <f>IF(Main[[#This Row],[Tech Start Date]]&lt;1/1/1990,"",IF(Main[[#This Row],[Class]]="C",WORKDAY(Main[[#This Row],[Tech Start Date]],23),IF(Main[[#This Row],[Class]]="B", WORKDAY(Main[[#This Row],[Tech Start Date]],15),IF(Main[[#This Row],[Class]]="A",WORKDAY(Main[[#This Row],[Tech Start Date]],5),""))))</f>
        <v>40767</v>
      </c>
      <c r="P95" s="114">
        <f>IF(Main[[#This Row],[Tech Start Date]]&lt;1/1/1990,"",IF(Main[[#This Row],[Class]]="C",WORKDAY(Main[[#This Row],[Tech Start Date]],28),IF(Main[[#This Row],[Class]]="B", WORKDAY(Main[[#This Row],[Tech Start Date]],19),IF(Main[[#This Row],[Class]]="A",WORKDAY(Main[[#This Row],[Tech Start Date]],9),""))))</f>
        <v>40774</v>
      </c>
      <c r="Q95" s="129">
        <v>40799</v>
      </c>
      <c r="R95" s="129">
        <v>40785</v>
      </c>
      <c r="S95" s="139" t="s">
        <v>11</v>
      </c>
      <c r="T95" s="115" t="s">
        <v>2006</v>
      </c>
      <c r="U95" s="139" t="s">
        <v>14</v>
      </c>
      <c r="V95" s="139" t="s">
        <v>1914</v>
      </c>
      <c r="W95" s="139" t="s">
        <v>1925</v>
      </c>
      <c r="X95" s="139" t="s">
        <v>2852</v>
      </c>
      <c r="Y95" s="112" t="s">
        <v>3134</v>
      </c>
      <c r="Z95" s="112" t="s">
        <v>129</v>
      </c>
      <c r="AA95" s="139" t="s">
        <v>2852</v>
      </c>
    </row>
    <row r="96" spans="1:27" ht="17.25" customHeight="1">
      <c r="A96" s="69">
        <f>IF(priority(Main[[#This Row],[Comments]])&lt;&gt;0, priority(Main[[#This Row],[Comments]]),"")</f>
        <v>27</v>
      </c>
      <c r="B96" s="63" t="s">
        <v>3879</v>
      </c>
      <c r="C96" s="148" t="s">
        <v>3869</v>
      </c>
      <c r="D96" s="62" t="s">
        <v>3880</v>
      </c>
      <c r="E96" s="129">
        <v>40955.592650462961</v>
      </c>
      <c r="F96" s="129">
        <v>41173</v>
      </c>
      <c r="G96" s="69">
        <f>IF(stdProdLT(Main[[#This Row],[Comments]])=0.1,"N/A",IF(stdProdLT(Main[[#This Row],[Comments]])=0,"",stdProdLT(Main[[#This Row],[Comments]])))</f>
        <v>126</v>
      </c>
      <c r="H96" s="138">
        <f>IF(Main[[#This Row],[In Stock Date]]="N/A", "N/A",IF(AND(Main[[#This Row],[In Stock Date]]&lt;&gt;"",Main[[#This Row],[Revised Due Date]]&lt;&gt;"",Main[[#This Row],[In Stock Date]]&lt;&gt;""),Main[[#This Row],[In Stock Date]]-Main[[#This Row],[Revised Due Date]],""))</f>
        <v>179</v>
      </c>
      <c r="I96" s="139" t="s">
        <v>561</v>
      </c>
      <c r="J96" s="139" t="s">
        <v>28</v>
      </c>
      <c r="K96" s="139" t="s">
        <v>1921</v>
      </c>
      <c r="L96" s="129">
        <v>40959</v>
      </c>
      <c r="M96" s="114">
        <f>IF(Main[[#This Row],[Tech Start Date]]&lt;1/1/1990,"",IF(Main[[#This Row],[Class]]="C",WORKDAY(Main[[#This Row],[Tech Start Date]],9),IF(Main[[#This Row],[Class]]="B", WORKDAY(Main[[#This Row],[Tech Start Date]],6),IF(Main[[#This Row],[Class]]="A",WORKDAY(Main[[#This Row],[Tech Start Date]],2),""))))</f>
        <v>40967</v>
      </c>
      <c r="N96" s="114">
        <f>IF(Main[[#This Row],[Tech Start Date]]&lt;1/1/1990,"",IF(Main[[#This Row],[Class]]="C",WORKDAY(Main[[#This Row],[Tech Start Date]],19),IF(Main[[#This Row],[Class]]="B", WORKDAY(Main[[#This Row],[Tech Start Date]],12),IF(Main[[#This Row],[Class]]="A",WORKDAY(Main[[#This Row],[Tech Start Date]],4),""))))</f>
        <v>40975</v>
      </c>
      <c r="O96" s="114">
        <f>IF(Main[[#This Row],[Tech Start Date]]&lt;1/1/1990,"",IF(Main[[#This Row],[Class]]="C",WORKDAY(Main[[#This Row],[Tech Start Date]],23),IF(Main[[#This Row],[Class]]="B", WORKDAY(Main[[#This Row],[Tech Start Date]],15),IF(Main[[#This Row],[Class]]="A",WORKDAY(Main[[#This Row],[Tech Start Date]],5),""))))</f>
        <v>40980</v>
      </c>
      <c r="P96" s="114">
        <f>IF(Main[[#This Row],[Tech Start Date]]&lt;1/1/1990,"",IF(Main[[#This Row],[Class]]="C",WORKDAY(Main[[#This Row],[Tech Start Date]],28),IF(Main[[#This Row],[Class]]="B", WORKDAY(Main[[#This Row],[Tech Start Date]],19),IF(Main[[#This Row],[Class]]="A",WORKDAY(Main[[#This Row],[Tech Start Date]],9),""))))</f>
        <v>40984</v>
      </c>
      <c r="Q96" s="129"/>
      <c r="R96" s="129">
        <v>40994</v>
      </c>
      <c r="S96" s="139" t="s">
        <v>11</v>
      </c>
      <c r="T96" s="115" t="s">
        <v>3881</v>
      </c>
      <c r="U96" s="139" t="s">
        <v>29</v>
      </c>
      <c r="V96" s="139" t="s">
        <v>1914</v>
      </c>
      <c r="W96" s="139" t="s">
        <v>1920</v>
      </c>
      <c r="X96" s="139" t="s">
        <v>2852</v>
      </c>
      <c r="Y96" s="112" t="s">
        <v>2990</v>
      </c>
      <c r="Z96" s="112" t="s">
        <v>129</v>
      </c>
      <c r="AA96" s="139" t="s">
        <v>2852</v>
      </c>
    </row>
    <row r="97" spans="1:27" ht="17.25" customHeight="1">
      <c r="A97" s="69">
        <f>IF(priority(Main[[#This Row],[Comments]])&lt;&gt;0, priority(Main[[#This Row],[Comments]]),"")</f>
        <v>28</v>
      </c>
      <c r="B97" s="63" t="s">
        <v>1017</v>
      </c>
      <c r="C97" s="148" t="s">
        <v>4</v>
      </c>
      <c r="D97" s="113" t="s">
        <v>2307</v>
      </c>
      <c r="E97" s="129">
        <v>40603.481041666666</v>
      </c>
      <c r="F97" s="129"/>
      <c r="G97" s="69" t="str">
        <f>IF(stdProdLT(Main[[#This Row],[Comments]])=0.1,"N/A",IF(stdProdLT(Main[[#This Row],[Comments]])=0,"",stdProdLT(Main[[#This Row],[Comments]])))</f>
        <v/>
      </c>
      <c r="H97" s="138" t="str">
        <f>IF(Main[[#This Row],[In Stock Date]]="N/A", "N/A",IF(AND(Main[[#This Row],[In Stock Date]]&lt;&gt;"",Main[[#This Row],[Revised Due Date]]&lt;&gt;"",Main[[#This Row],[In Stock Date]]&lt;&gt;""),Main[[#This Row],[In Stock Date]]-Main[[#This Row],[Revised Due Date]],""))</f>
        <v/>
      </c>
      <c r="I97" s="139" t="s">
        <v>912</v>
      </c>
      <c r="J97" s="139" t="s">
        <v>52</v>
      </c>
      <c r="K97" s="139" t="s">
        <v>1923</v>
      </c>
      <c r="L97" s="129"/>
      <c r="M97" s="114" t="str">
        <f>IF(Main[[#This Row],[Tech Start Date]]&lt;1/1/1990,"",IF(Main[[#This Row],[Class]]="C",WORKDAY(Main[[#This Row],[Tech Start Date]],9),IF(Main[[#This Row],[Class]]="B", WORKDAY(Main[[#This Row],[Tech Start Date]],6),IF(Main[[#This Row],[Class]]="A",WORKDAY(Main[[#This Row],[Tech Start Date]],2),""))))</f>
        <v/>
      </c>
      <c r="N97" s="114" t="str">
        <f>IF(Main[[#This Row],[Tech Start Date]]&lt;1/1/1990,"",IF(Main[[#This Row],[Class]]="C",WORKDAY(Main[[#This Row],[Tech Start Date]],19),IF(Main[[#This Row],[Class]]="B", WORKDAY(Main[[#This Row],[Tech Start Date]],12),IF(Main[[#This Row],[Class]]="A",WORKDAY(Main[[#This Row],[Tech Start Date]],4),""))))</f>
        <v/>
      </c>
      <c r="O97" s="114" t="str">
        <f>IF(Main[[#This Row],[Tech Start Date]]&lt;1/1/1990,"",IF(Main[[#This Row],[Class]]="C",WORKDAY(Main[[#This Row],[Tech Start Date]],23),IF(Main[[#This Row],[Class]]="B", WORKDAY(Main[[#This Row],[Tech Start Date]],15),IF(Main[[#This Row],[Class]]="A",WORKDAY(Main[[#This Row],[Tech Start Date]],5),""))))</f>
        <v/>
      </c>
      <c r="P97" s="114" t="str">
        <f>IF(Main[[#This Row],[Tech Start Date]]&lt;1/1/1990,"",IF(Main[[#This Row],[Class]]="C",WORKDAY(Main[[#This Row],[Tech Start Date]],28),IF(Main[[#This Row],[Class]]="B", WORKDAY(Main[[#This Row],[Tech Start Date]],19),IF(Main[[#This Row],[Class]]="A",WORKDAY(Main[[#This Row],[Tech Start Date]],9),""))))</f>
        <v/>
      </c>
      <c r="Q97" s="129">
        <v>40637</v>
      </c>
      <c r="R97" s="129"/>
      <c r="S97" s="139" t="s">
        <v>6</v>
      </c>
      <c r="T97" s="115" t="s">
        <v>2655</v>
      </c>
      <c r="U97" s="139" t="s">
        <v>29</v>
      </c>
      <c r="V97" s="139" t="s">
        <v>1914</v>
      </c>
      <c r="W97" s="139" t="s">
        <v>1916</v>
      </c>
      <c r="X97" s="139" t="s">
        <v>2822</v>
      </c>
      <c r="Y97" s="112" t="s">
        <v>2938</v>
      </c>
      <c r="Z97" s="112" t="s">
        <v>129</v>
      </c>
      <c r="AA97" s="139" t="s">
        <v>2822</v>
      </c>
    </row>
    <row r="98" spans="1:27" ht="17.25" customHeight="1">
      <c r="A98" s="69">
        <f>IF(priority(Main[[#This Row],[Comments]])&lt;&gt;0, priority(Main[[#This Row],[Comments]]),"")</f>
        <v>28</v>
      </c>
      <c r="B98" s="63" t="s">
        <v>3868</v>
      </c>
      <c r="C98" s="148" t="s">
        <v>3869</v>
      </c>
      <c r="D98" s="62" t="s">
        <v>3870</v>
      </c>
      <c r="E98" s="129">
        <v>40953.707939814813</v>
      </c>
      <c r="F98" s="129">
        <v>41173</v>
      </c>
      <c r="G98" s="69">
        <f>IF(stdProdLT(Main[[#This Row],[Comments]])=0.1,"N/A",IF(stdProdLT(Main[[#This Row],[Comments]])=0,"",stdProdLT(Main[[#This Row],[Comments]])))</f>
        <v>126</v>
      </c>
      <c r="H98" s="138">
        <f>IF(Main[[#This Row],[In Stock Date]]="N/A", "N/A",IF(AND(Main[[#This Row],[In Stock Date]]&lt;&gt;"",Main[[#This Row],[Revised Due Date]]&lt;&gt;"",Main[[#This Row],[In Stock Date]]&lt;&gt;""),Main[[#This Row],[In Stock Date]]-Main[[#This Row],[Revised Due Date]],""))</f>
        <v>179</v>
      </c>
      <c r="I98" s="139" t="s">
        <v>561</v>
      </c>
      <c r="J98" s="139" t="s">
        <v>28</v>
      </c>
      <c r="K98" s="139" t="s">
        <v>1921</v>
      </c>
      <c r="L98" s="129">
        <v>40959</v>
      </c>
      <c r="M98" s="114">
        <f>IF(Main[[#This Row],[Tech Start Date]]&lt;1/1/1990,"",IF(Main[[#This Row],[Class]]="C",WORKDAY(Main[[#This Row],[Tech Start Date]],9),IF(Main[[#This Row],[Class]]="B", WORKDAY(Main[[#This Row],[Tech Start Date]],6),IF(Main[[#This Row],[Class]]="A",WORKDAY(Main[[#This Row],[Tech Start Date]],2),""))))</f>
        <v>40967</v>
      </c>
      <c r="N98" s="114">
        <f>IF(Main[[#This Row],[Tech Start Date]]&lt;1/1/1990,"",IF(Main[[#This Row],[Class]]="C",WORKDAY(Main[[#This Row],[Tech Start Date]],19),IF(Main[[#This Row],[Class]]="B", WORKDAY(Main[[#This Row],[Tech Start Date]],12),IF(Main[[#This Row],[Class]]="A",WORKDAY(Main[[#This Row],[Tech Start Date]],4),""))))</f>
        <v>40975</v>
      </c>
      <c r="O98" s="114">
        <f>IF(Main[[#This Row],[Tech Start Date]]&lt;1/1/1990,"",IF(Main[[#This Row],[Class]]="C",WORKDAY(Main[[#This Row],[Tech Start Date]],23),IF(Main[[#This Row],[Class]]="B", WORKDAY(Main[[#This Row],[Tech Start Date]],15),IF(Main[[#This Row],[Class]]="A",WORKDAY(Main[[#This Row],[Tech Start Date]],5),""))))</f>
        <v>40980</v>
      </c>
      <c r="P98" s="114">
        <f>IF(Main[[#This Row],[Tech Start Date]]&lt;1/1/1990,"",IF(Main[[#This Row],[Class]]="C",WORKDAY(Main[[#This Row],[Tech Start Date]],28),IF(Main[[#This Row],[Class]]="B", WORKDAY(Main[[#This Row],[Tech Start Date]],19),IF(Main[[#This Row],[Class]]="A",WORKDAY(Main[[#This Row],[Tech Start Date]],9),""))))</f>
        <v>40984</v>
      </c>
      <c r="Q98" s="129"/>
      <c r="R98" s="129">
        <v>40994</v>
      </c>
      <c r="S98" s="139" t="s">
        <v>11</v>
      </c>
      <c r="T98" s="115" t="s">
        <v>3871</v>
      </c>
      <c r="U98" s="139" t="s">
        <v>29</v>
      </c>
      <c r="V98" s="139" t="s">
        <v>1914</v>
      </c>
      <c r="W98" s="139" t="s">
        <v>1920</v>
      </c>
      <c r="X98" s="139" t="s">
        <v>2852</v>
      </c>
      <c r="Y98" s="112" t="s">
        <v>2990</v>
      </c>
      <c r="Z98" s="112" t="s">
        <v>129</v>
      </c>
      <c r="AA98" s="139" t="s">
        <v>2852</v>
      </c>
    </row>
    <row r="99" spans="1:27" ht="17.25" customHeight="1">
      <c r="A99" s="69">
        <f>IF(priority(Main[[#This Row],[Comments]])&lt;&gt;0, priority(Main[[#This Row],[Comments]]),"")</f>
        <v>29</v>
      </c>
      <c r="B99" s="63" t="s">
        <v>2767</v>
      </c>
      <c r="C99" s="148" t="s">
        <v>2768</v>
      </c>
      <c r="D99" s="62" t="s">
        <v>3888</v>
      </c>
      <c r="E99" s="129">
        <v>40885.00640046296</v>
      </c>
      <c r="F99" s="129"/>
      <c r="G99" s="69">
        <f>IF(stdProdLT(Main[[#This Row],[Comments]])=0.1,"N/A",IF(stdProdLT(Main[[#This Row],[Comments]])=0,"",stdProdLT(Main[[#This Row],[Comments]])))</f>
        <v>98</v>
      </c>
      <c r="H99" s="138" t="str">
        <f>IF(Main[[#This Row],[In Stock Date]]="N/A", "N/A",IF(AND(Main[[#This Row],[In Stock Date]]&lt;&gt;"",Main[[#This Row],[Revised Due Date]]&lt;&gt;"",Main[[#This Row],[In Stock Date]]&lt;&gt;""),Main[[#This Row],[In Stock Date]]-Main[[#This Row],[Revised Due Date]],""))</f>
        <v/>
      </c>
      <c r="I99" s="139" t="s">
        <v>889</v>
      </c>
      <c r="J99" s="139" t="s">
        <v>4</v>
      </c>
      <c r="K99" s="139" t="s">
        <v>1927</v>
      </c>
      <c r="L99" s="129">
        <v>40960</v>
      </c>
      <c r="M99" s="114">
        <f>IF(Main[[#This Row],[Tech Start Date]]&lt;1/1/1990,"",IF(Main[[#This Row],[Class]]="C",WORKDAY(Main[[#This Row],[Tech Start Date]],9),IF(Main[[#This Row],[Class]]="B", WORKDAY(Main[[#This Row],[Tech Start Date]],6),IF(Main[[#This Row],[Class]]="A",WORKDAY(Main[[#This Row],[Tech Start Date]],2),""))))</f>
        <v>40973</v>
      </c>
      <c r="N99" s="114">
        <f>IF(Main[[#This Row],[Tech Start Date]]&lt;1/1/1990,"",IF(Main[[#This Row],[Class]]="C",WORKDAY(Main[[#This Row],[Tech Start Date]],19),IF(Main[[#This Row],[Class]]="B", WORKDAY(Main[[#This Row],[Tech Start Date]],12),IF(Main[[#This Row],[Class]]="A",WORKDAY(Main[[#This Row],[Tech Start Date]],4),""))))</f>
        <v>40987</v>
      </c>
      <c r="O99" s="114">
        <f>IF(Main[[#This Row],[Tech Start Date]]&lt;1/1/1990,"",IF(Main[[#This Row],[Class]]="C",WORKDAY(Main[[#This Row],[Tech Start Date]],23),IF(Main[[#This Row],[Class]]="B", WORKDAY(Main[[#This Row],[Tech Start Date]],15),IF(Main[[#This Row],[Class]]="A",WORKDAY(Main[[#This Row],[Tech Start Date]],5),""))))</f>
        <v>40991</v>
      </c>
      <c r="P99" s="114">
        <f>IF(Main[[#This Row],[Tech Start Date]]&lt;1/1/1990,"",IF(Main[[#This Row],[Class]]="C",WORKDAY(Main[[#This Row],[Tech Start Date]],28),IF(Main[[#This Row],[Class]]="B", WORKDAY(Main[[#This Row],[Tech Start Date]],19),IF(Main[[#This Row],[Class]]="A",WORKDAY(Main[[#This Row],[Tech Start Date]],9),""))))</f>
        <v>40998</v>
      </c>
      <c r="Q99" s="129">
        <v>40889</v>
      </c>
      <c r="R99" s="129">
        <v>40988</v>
      </c>
      <c r="S99" s="139" t="s">
        <v>11</v>
      </c>
      <c r="T99" s="115" t="s">
        <v>3889</v>
      </c>
      <c r="U99" s="139" t="s">
        <v>29</v>
      </c>
      <c r="V99" s="139" t="s">
        <v>1914</v>
      </c>
      <c r="W99" s="139" t="s">
        <v>1920</v>
      </c>
      <c r="X99" s="139" t="s">
        <v>2854</v>
      </c>
      <c r="Y99" s="112" t="s">
        <v>4</v>
      </c>
      <c r="Z99" s="112" t="s">
        <v>877</v>
      </c>
      <c r="AA99" s="139" t="s">
        <v>2854</v>
      </c>
    </row>
    <row r="100" spans="1:27" ht="17.25" customHeight="1">
      <c r="A100" s="69">
        <f>IF(priority(Main[[#This Row],[Comments]])&lt;&gt;0, priority(Main[[#This Row],[Comments]]),"")</f>
        <v>30</v>
      </c>
      <c r="B100" s="63" t="s">
        <v>1572</v>
      </c>
      <c r="C100" s="148" t="s">
        <v>1966</v>
      </c>
      <c r="D100" s="113" t="s">
        <v>653</v>
      </c>
      <c r="E100" s="129"/>
      <c r="F100" s="129"/>
      <c r="G100" s="69">
        <f>IF(stdProdLT(Main[[#This Row],[Comments]])=0.1,"N/A",IF(stdProdLT(Main[[#This Row],[Comments]])=0,"",stdProdLT(Main[[#This Row],[Comments]])))</f>
        <v>126</v>
      </c>
      <c r="H100" s="138" t="str">
        <f>IF(Main[[#This Row],[In Stock Date]]="N/A", "N/A",IF(AND(Main[[#This Row],[In Stock Date]]&lt;&gt;"",Main[[#This Row],[Revised Due Date]]&lt;&gt;"",Main[[#This Row],[In Stock Date]]&lt;&gt;""),Main[[#This Row],[In Stock Date]]-Main[[#This Row],[Revised Due Date]],""))</f>
        <v/>
      </c>
      <c r="I100" s="139" t="s">
        <v>4</v>
      </c>
      <c r="J100" s="139" t="s">
        <v>4</v>
      </c>
      <c r="K100" s="139" t="s">
        <v>4</v>
      </c>
      <c r="L100" s="129"/>
      <c r="M100" s="114" t="str">
        <f>IF(Main[[#This Row],[Tech Start Date]]&lt;1/1/1990,"",IF(Main[[#This Row],[Class]]="C",WORKDAY(Main[[#This Row],[Tech Start Date]],9),IF(Main[[#This Row],[Class]]="B", WORKDAY(Main[[#This Row],[Tech Start Date]],6),IF(Main[[#This Row],[Class]]="A",WORKDAY(Main[[#This Row],[Tech Start Date]],2),""))))</f>
        <v/>
      </c>
      <c r="N100" s="114" t="str">
        <f>IF(Main[[#This Row],[Tech Start Date]]&lt;1/1/1990,"",IF(Main[[#This Row],[Class]]="C",WORKDAY(Main[[#This Row],[Tech Start Date]],19),IF(Main[[#This Row],[Class]]="B", WORKDAY(Main[[#This Row],[Tech Start Date]],12),IF(Main[[#This Row],[Class]]="A",WORKDAY(Main[[#This Row],[Tech Start Date]],4),""))))</f>
        <v/>
      </c>
      <c r="O100" s="114" t="str">
        <f>IF(Main[[#This Row],[Tech Start Date]]&lt;1/1/1990,"",IF(Main[[#This Row],[Class]]="C",WORKDAY(Main[[#This Row],[Tech Start Date]],23),IF(Main[[#This Row],[Class]]="B", WORKDAY(Main[[#This Row],[Tech Start Date]],15),IF(Main[[#This Row],[Class]]="A",WORKDAY(Main[[#This Row],[Tech Start Date]],5),""))))</f>
        <v/>
      </c>
      <c r="P100" s="114" t="str">
        <f>IF(Main[[#This Row],[Tech Start Date]]&lt;1/1/1990,"",IF(Main[[#This Row],[Class]]="C",WORKDAY(Main[[#This Row],[Tech Start Date]],28),IF(Main[[#This Row],[Class]]="B", WORKDAY(Main[[#This Row],[Tech Start Date]],19),IF(Main[[#This Row],[Class]]="A",WORKDAY(Main[[#This Row],[Tech Start Date]],9),""))))</f>
        <v/>
      </c>
      <c r="Q100" s="129">
        <v>40710</v>
      </c>
      <c r="R100" s="129">
        <v>40778</v>
      </c>
      <c r="S100" s="139" t="s">
        <v>11</v>
      </c>
      <c r="T100" s="115" t="s">
        <v>1967</v>
      </c>
      <c r="U100" s="139" t="s">
        <v>14</v>
      </c>
      <c r="V100" s="139" t="s">
        <v>1914</v>
      </c>
      <c r="W100" s="139" t="s">
        <v>1916</v>
      </c>
      <c r="X100" s="139" t="s">
        <v>2857</v>
      </c>
      <c r="Y100" s="112" t="s">
        <v>2998</v>
      </c>
      <c r="Z100" s="112" t="s">
        <v>4</v>
      </c>
      <c r="AA100" s="139" t="s">
        <v>2857</v>
      </c>
    </row>
    <row r="101" spans="1:27" ht="17.25" customHeight="1">
      <c r="A101" s="69">
        <f>IF(priority(Main[[#This Row],[Comments]])&lt;&gt;0, priority(Main[[#This Row],[Comments]]),"")</f>
        <v>30</v>
      </c>
      <c r="B101" s="63" t="s">
        <v>1030</v>
      </c>
      <c r="C101" s="148" t="s">
        <v>37</v>
      </c>
      <c r="D101" s="113" t="s">
        <v>2306</v>
      </c>
      <c r="E101" s="129">
        <v>40578.593101851853</v>
      </c>
      <c r="F101" s="129">
        <v>40603</v>
      </c>
      <c r="G101" s="69" t="str">
        <f>IF(stdProdLT(Main[[#This Row],[Comments]])=0.1,"N/A",IF(stdProdLT(Main[[#This Row],[Comments]])=0,"",stdProdLT(Main[[#This Row],[Comments]])))</f>
        <v/>
      </c>
      <c r="H101" s="138" t="str">
        <f>IF(Main[[#This Row],[In Stock Date]]="N/A", "N/A",IF(AND(Main[[#This Row],[In Stock Date]]&lt;&gt;"",Main[[#This Row],[Revised Due Date]]&lt;&gt;"",Main[[#This Row],[In Stock Date]]&lt;&gt;""),Main[[#This Row],[In Stock Date]]-Main[[#This Row],[Revised Due Date]],""))</f>
        <v/>
      </c>
      <c r="I101" s="139" t="s">
        <v>50</v>
      </c>
      <c r="J101" s="139" t="s">
        <v>51</v>
      </c>
      <c r="K101" s="140" t="s">
        <v>1923</v>
      </c>
      <c r="L101" s="129"/>
      <c r="M101" s="114" t="str">
        <f>IF(Main[[#This Row],[Tech Start Date]]&lt;1/1/1990,"",IF(Main[[#This Row],[Class]]="C",WORKDAY(Main[[#This Row],[Tech Start Date]],9),IF(Main[[#This Row],[Class]]="B", WORKDAY(Main[[#This Row],[Tech Start Date]],6),IF(Main[[#This Row],[Class]]="A",WORKDAY(Main[[#This Row],[Tech Start Date]],2),""))))</f>
        <v/>
      </c>
      <c r="N101" s="114" t="str">
        <f>IF(Main[[#This Row],[Tech Start Date]]&lt;1/1/1990,"",IF(Main[[#This Row],[Class]]="C",WORKDAY(Main[[#This Row],[Tech Start Date]],19),IF(Main[[#This Row],[Class]]="B", WORKDAY(Main[[#This Row],[Tech Start Date]],12),IF(Main[[#This Row],[Class]]="A",WORKDAY(Main[[#This Row],[Tech Start Date]],4),""))))</f>
        <v/>
      </c>
      <c r="O101" s="114" t="str">
        <f>IF(Main[[#This Row],[Tech Start Date]]&lt;1/1/1990,"",IF(Main[[#This Row],[Class]]="C",WORKDAY(Main[[#This Row],[Tech Start Date]],23),IF(Main[[#This Row],[Class]]="B", WORKDAY(Main[[#This Row],[Tech Start Date]],15),IF(Main[[#This Row],[Class]]="A",WORKDAY(Main[[#This Row],[Tech Start Date]],5),""))))</f>
        <v/>
      </c>
      <c r="P101" s="114" t="str">
        <f>IF(Main[[#This Row],[Tech Start Date]]&lt;1/1/1990,"",IF(Main[[#This Row],[Class]]="C",WORKDAY(Main[[#This Row],[Tech Start Date]],28),IF(Main[[#This Row],[Class]]="B", WORKDAY(Main[[#This Row],[Tech Start Date]],19),IF(Main[[#This Row],[Class]]="A",WORKDAY(Main[[#This Row],[Tech Start Date]],9),""))))</f>
        <v/>
      </c>
      <c r="Q101" s="129">
        <v>40603</v>
      </c>
      <c r="R101" s="129"/>
      <c r="S101" s="139" t="s">
        <v>6</v>
      </c>
      <c r="T101" s="115" t="s">
        <v>2268</v>
      </c>
      <c r="U101" s="139" t="s">
        <v>29</v>
      </c>
      <c r="V101" s="139" t="s">
        <v>1914</v>
      </c>
      <c r="W101" s="139" t="s">
        <v>1925</v>
      </c>
      <c r="X101" s="139" t="s">
        <v>883</v>
      </c>
      <c r="Y101" s="112" t="s">
        <v>2963</v>
      </c>
      <c r="Z101" s="112" t="s">
        <v>129</v>
      </c>
      <c r="AA101" s="139" t="s">
        <v>883</v>
      </c>
    </row>
    <row r="102" spans="1:27" ht="17.25" customHeight="1">
      <c r="A102" s="69">
        <f>IF(priority(Main[[#This Row],[Comments]])&lt;&gt;0, priority(Main[[#This Row],[Comments]]),"")</f>
        <v>30</v>
      </c>
      <c r="B102" s="63" t="s">
        <v>2678</v>
      </c>
      <c r="C102" s="148" t="s">
        <v>116</v>
      </c>
      <c r="D102" s="62" t="s">
        <v>2813</v>
      </c>
      <c r="E102" s="129">
        <v>40763.500717592593</v>
      </c>
      <c r="F102" s="129">
        <v>41090</v>
      </c>
      <c r="G102" s="69" t="str">
        <f>IF(stdProdLT(Main[[#This Row],[Comments]])=0.1,"N/A",IF(stdProdLT(Main[[#This Row],[Comments]])=0,"",stdProdLT(Main[[#This Row],[Comments]])))</f>
        <v>N/A</v>
      </c>
      <c r="H102" s="138">
        <f>IF(Main[[#This Row],[In Stock Date]]="N/A", "N/A",IF(AND(Main[[#This Row],[In Stock Date]]&lt;&gt;"",Main[[#This Row],[Revised Due Date]]&lt;&gt;"",Main[[#This Row],[In Stock Date]]&lt;&gt;""),Main[[#This Row],[In Stock Date]]-Main[[#This Row],[Revised Due Date]],""))</f>
        <v>45</v>
      </c>
      <c r="I102" s="139" t="s">
        <v>889</v>
      </c>
      <c r="J102" s="139" t="s">
        <v>28</v>
      </c>
      <c r="K102" s="139" t="s">
        <v>1927</v>
      </c>
      <c r="L102" s="129">
        <v>40772</v>
      </c>
      <c r="M102" s="114">
        <f>IF(Main[[#This Row],[Tech Start Date]]&lt;1/1/1990,"",IF(Main[[#This Row],[Class]]="C",WORKDAY(Main[[#This Row],[Tech Start Date]],9),IF(Main[[#This Row],[Class]]="B", WORKDAY(Main[[#This Row],[Tech Start Date]],6),IF(Main[[#This Row],[Class]]="A",WORKDAY(Main[[#This Row],[Tech Start Date]],2),""))))</f>
        <v>40785</v>
      </c>
      <c r="N102" s="114">
        <f>IF(Main[[#This Row],[Tech Start Date]]&lt;1/1/1990,"",IF(Main[[#This Row],[Class]]="C",WORKDAY(Main[[#This Row],[Tech Start Date]],19),IF(Main[[#This Row],[Class]]="B", WORKDAY(Main[[#This Row],[Tech Start Date]],12),IF(Main[[#This Row],[Class]]="A",WORKDAY(Main[[#This Row],[Tech Start Date]],4),""))))</f>
        <v>40799</v>
      </c>
      <c r="O102" s="114">
        <f>IF(Main[[#This Row],[Tech Start Date]]&lt;1/1/1990,"",IF(Main[[#This Row],[Class]]="C",WORKDAY(Main[[#This Row],[Tech Start Date]],23),IF(Main[[#This Row],[Class]]="B", WORKDAY(Main[[#This Row],[Tech Start Date]],15),IF(Main[[#This Row],[Class]]="A",WORKDAY(Main[[#This Row],[Tech Start Date]],5),""))))</f>
        <v>40805</v>
      </c>
      <c r="P102" s="114">
        <f>IF(Main[[#This Row],[Tech Start Date]]&lt;1/1/1990,"",IF(Main[[#This Row],[Class]]="C",WORKDAY(Main[[#This Row],[Tech Start Date]],28),IF(Main[[#This Row],[Class]]="B", WORKDAY(Main[[#This Row],[Tech Start Date]],19),IF(Main[[#This Row],[Class]]="A",WORKDAY(Main[[#This Row],[Tech Start Date]],9),""))))</f>
        <v>40812</v>
      </c>
      <c r="Q102" s="129">
        <v>40687</v>
      </c>
      <c r="R102" s="129">
        <v>41045</v>
      </c>
      <c r="S102" s="139" t="s">
        <v>11</v>
      </c>
      <c r="T102" s="115" t="s">
        <v>3791</v>
      </c>
      <c r="U102" s="139" t="s">
        <v>29</v>
      </c>
      <c r="V102" s="139" t="s">
        <v>1914</v>
      </c>
      <c r="W102" s="139" t="s">
        <v>1919</v>
      </c>
      <c r="X102" s="139" t="s">
        <v>2843</v>
      </c>
      <c r="Y102" s="112" t="s">
        <v>3154</v>
      </c>
      <c r="Z102" s="112" t="s">
        <v>877</v>
      </c>
      <c r="AA102" s="139" t="s">
        <v>2843</v>
      </c>
    </row>
    <row r="103" spans="1:27" ht="17.25" customHeight="1">
      <c r="A103" s="69">
        <f>IF(priority(Main[[#This Row],[Comments]])&lt;&gt;0, priority(Main[[#This Row],[Comments]]),"")</f>
        <v>30</v>
      </c>
      <c r="B103" s="63" t="s">
        <v>3537</v>
      </c>
      <c r="C103" s="148" t="s">
        <v>3897</v>
      </c>
      <c r="D103" s="113" t="s">
        <v>3538</v>
      </c>
      <c r="E103" s="129"/>
      <c r="F103" s="129">
        <v>41153</v>
      </c>
      <c r="G103" s="69">
        <f>IF(stdProdLT(Main[[#This Row],[Comments]])=0.1,"N/A",IF(stdProdLT(Main[[#This Row],[Comments]])=0,"",stdProdLT(Main[[#This Row],[Comments]])))</f>
        <v>140</v>
      </c>
      <c r="H103" s="138">
        <f>IF(Main[[#This Row],[In Stock Date]]="N/A", "N/A",IF(AND(Main[[#This Row],[In Stock Date]]&lt;&gt;"",Main[[#This Row],[Revised Due Date]]&lt;&gt;"",Main[[#This Row],[In Stock Date]]&lt;&gt;""),Main[[#This Row],[In Stock Date]]-Main[[#This Row],[Revised Due Date]],""))</f>
        <v>158</v>
      </c>
      <c r="I103" s="139" t="s">
        <v>3981</v>
      </c>
      <c r="J103" s="139" t="s">
        <v>28</v>
      </c>
      <c r="K103" s="140" t="s">
        <v>1921</v>
      </c>
      <c r="L103" s="129">
        <v>40960</v>
      </c>
      <c r="M103" s="114">
        <f>IF(Main[[#This Row],[Tech Start Date]]&lt;1/1/1990,"",IF(Main[[#This Row],[Class]]="C",WORKDAY(Main[[#This Row],[Tech Start Date]],9),IF(Main[[#This Row],[Class]]="B", WORKDAY(Main[[#This Row],[Tech Start Date]],6),IF(Main[[#This Row],[Class]]="A",WORKDAY(Main[[#This Row],[Tech Start Date]],2),""))))</f>
        <v>40968</v>
      </c>
      <c r="N103" s="114">
        <f>IF(Main[[#This Row],[Tech Start Date]]&lt;1/1/1990,"",IF(Main[[#This Row],[Class]]="C",WORKDAY(Main[[#This Row],[Tech Start Date]],19),IF(Main[[#This Row],[Class]]="B", WORKDAY(Main[[#This Row],[Tech Start Date]],12),IF(Main[[#This Row],[Class]]="A",WORKDAY(Main[[#This Row],[Tech Start Date]],4),""))))</f>
        <v>40976</v>
      </c>
      <c r="O103" s="114">
        <f>IF(Main[[#This Row],[Tech Start Date]]&lt;1/1/1990,"",IF(Main[[#This Row],[Class]]="C",WORKDAY(Main[[#This Row],[Tech Start Date]],23),IF(Main[[#This Row],[Class]]="B", WORKDAY(Main[[#This Row],[Tech Start Date]],15),IF(Main[[#This Row],[Class]]="A",WORKDAY(Main[[#This Row],[Tech Start Date]],5),""))))</f>
        <v>40981</v>
      </c>
      <c r="P103" s="114">
        <f>IF(Main[[#This Row],[Tech Start Date]]&lt;1/1/1990,"",IF(Main[[#This Row],[Class]]="C",WORKDAY(Main[[#This Row],[Tech Start Date]],28),IF(Main[[#This Row],[Class]]="B", WORKDAY(Main[[#This Row],[Tech Start Date]],19),IF(Main[[#This Row],[Class]]="A",WORKDAY(Main[[#This Row],[Tech Start Date]],9),""))))</f>
        <v>40987</v>
      </c>
      <c r="Q103" s="129">
        <v>40995</v>
      </c>
      <c r="R103" s="129">
        <v>40995</v>
      </c>
      <c r="S103" s="139" t="s">
        <v>11</v>
      </c>
      <c r="T103" s="115" t="s">
        <v>3898</v>
      </c>
      <c r="U103" s="139" t="s">
        <v>14</v>
      </c>
      <c r="V103" s="139" t="s">
        <v>1924</v>
      </c>
      <c r="W103" s="139" t="s">
        <v>1925</v>
      </c>
      <c r="X103" s="139" t="s">
        <v>2846</v>
      </c>
      <c r="Y103" s="112" t="s">
        <v>4</v>
      </c>
      <c r="Z103" s="112" t="s">
        <v>530</v>
      </c>
      <c r="AA103" s="139" t="s">
        <v>2846</v>
      </c>
    </row>
    <row r="104" spans="1:27" ht="17.25" customHeight="1">
      <c r="A104" s="69">
        <f>IF(priority(Main[[#This Row],[Comments]])&lt;&gt;0, priority(Main[[#This Row],[Comments]]),"")</f>
        <v>31</v>
      </c>
      <c r="B104" s="63" t="s">
        <v>3957</v>
      </c>
      <c r="C104" s="148" t="s">
        <v>3897</v>
      </c>
      <c r="D104" s="113" t="s">
        <v>3958</v>
      </c>
      <c r="E104" s="129"/>
      <c r="F104" s="129">
        <v>41153</v>
      </c>
      <c r="G104" s="69">
        <f>IF(stdProdLT(Main[[#This Row],[Comments]])=0.1,"N/A",IF(stdProdLT(Main[[#This Row],[Comments]])=0,"",stdProdLT(Main[[#This Row],[Comments]])))</f>
        <v>168</v>
      </c>
      <c r="H104" s="138" t="str">
        <f>IF(Main[[#This Row],[In Stock Date]]="N/A", "N/A",IF(AND(Main[[#This Row],[In Stock Date]]&lt;&gt;"",Main[[#This Row],[Revised Due Date]]&lt;&gt;"",Main[[#This Row],[In Stock Date]]&lt;&gt;""),Main[[#This Row],[In Stock Date]]-Main[[#This Row],[Revised Due Date]],""))</f>
        <v/>
      </c>
      <c r="I104" s="139" t="s">
        <v>4</v>
      </c>
      <c r="J104" s="139" t="s">
        <v>52</v>
      </c>
      <c r="K104" s="139" t="s">
        <v>4</v>
      </c>
      <c r="L104" s="129"/>
      <c r="M104" s="114" t="str">
        <f>IF(Main[[#This Row],[Tech Start Date]]&lt;1/1/1990,"",IF(Main[[#This Row],[Class]]="C",WORKDAY(Main[[#This Row],[Tech Start Date]],9),IF(Main[[#This Row],[Class]]="B", WORKDAY(Main[[#This Row],[Tech Start Date]],6),IF(Main[[#This Row],[Class]]="A",WORKDAY(Main[[#This Row],[Tech Start Date]],2),""))))</f>
        <v/>
      </c>
      <c r="N104" s="114" t="str">
        <f>IF(Main[[#This Row],[Tech Start Date]]&lt;1/1/1990,"",IF(Main[[#This Row],[Class]]="C",WORKDAY(Main[[#This Row],[Tech Start Date]],19),IF(Main[[#This Row],[Class]]="B", WORKDAY(Main[[#This Row],[Tech Start Date]],12),IF(Main[[#This Row],[Class]]="A",WORKDAY(Main[[#This Row],[Tech Start Date]],4),""))))</f>
        <v/>
      </c>
      <c r="O104" s="114" t="str">
        <f>IF(Main[[#This Row],[Tech Start Date]]&lt;1/1/1990,"",IF(Main[[#This Row],[Class]]="C",WORKDAY(Main[[#This Row],[Tech Start Date]],23),IF(Main[[#This Row],[Class]]="B", WORKDAY(Main[[#This Row],[Tech Start Date]],15),IF(Main[[#This Row],[Class]]="A",WORKDAY(Main[[#This Row],[Tech Start Date]],5),""))))</f>
        <v/>
      </c>
      <c r="P104" s="114" t="str">
        <f>IF(Main[[#This Row],[Tech Start Date]]&lt;1/1/1990,"",IF(Main[[#This Row],[Class]]="C",WORKDAY(Main[[#This Row],[Tech Start Date]],28),IF(Main[[#This Row],[Class]]="B", WORKDAY(Main[[#This Row],[Tech Start Date]],19),IF(Main[[#This Row],[Class]]="A",WORKDAY(Main[[#This Row],[Tech Start Date]],9),""))))</f>
        <v/>
      </c>
      <c r="Q104" s="129">
        <v>41014</v>
      </c>
      <c r="R104" s="129"/>
      <c r="S104" s="139" t="s">
        <v>11</v>
      </c>
      <c r="T104" s="115" t="s">
        <v>3959</v>
      </c>
      <c r="U104" s="139" t="s">
        <v>14</v>
      </c>
      <c r="V104" s="139" t="s">
        <v>1917</v>
      </c>
      <c r="W104" s="139" t="s">
        <v>1922</v>
      </c>
      <c r="X104" s="139" t="s">
        <v>2848</v>
      </c>
      <c r="Y104" s="112" t="s">
        <v>4</v>
      </c>
      <c r="Z104" s="112" t="s">
        <v>530</v>
      </c>
      <c r="AA104" s="139" t="s">
        <v>2848</v>
      </c>
    </row>
    <row r="105" spans="1:27" ht="17.25" customHeight="1">
      <c r="A105" s="69">
        <f>IF(priority(Main[[#This Row],[Comments]])&lt;&gt;0, priority(Main[[#This Row],[Comments]]),"")</f>
        <v>31</v>
      </c>
      <c r="B105" s="63" t="s">
        <v>2152</v>
      </c>
      <c r="C105" s="148" t="s">
        <v>116</v>
      </c>
      <c r="D105" s="62" t="s">
        <v>2796</v>
      </c>
      <c r="E105" s="129">
        <v>40770.33797453704</v>
      </c>
      <c r="F105" s="129">
        <v>41044</v>
      </c>
      <c r="G105" s="69" t="str">
        <f>IF(stdProdLT(Main[[#This Row],[Comments]])=0.1,"N/A",IF(stdProdLT(Main[[#This Row],[Comments]])=0,"",stdProdLT(Main[[#This Row],[Comments]])))</f>
        <v>N/A</v>
      </c>
      <c r="H105" s="138">
        <f>IF(Main[[#This Row],[In Stock Date]]="N/A", "N/A",IF(AND(Main[[#This Row],[In Stock Date]]&lt;&gt;"",Main[[#This Row],[Revised Due Date]]&lt;&gt;"",Main[[#This Row],[In Stock Date]]&lt;&gt;""),Main[[#This Row],[In Stock Date]]-Main[[#This Row],[Revised Due Date]],""))</f>
        <v>46</v>
      </c>
      <c r="I105" s="139" t="s">
        <v>937</v>
      </c>
      <c r="J105" s="139" t="s">
        <v>21</v>
      </c>
      <c r="K105" s="139" t="s">
        <v>1927</v>
      </c>
      <c r="L105" s="129">
        <v>40778</v>
      </c>
      <c r="M105" s="114">
        <f>IF(Main[[#This Row],[Tech Start Date]]&lt;1/1/1990,"",IF(Main[[#This Row],[Class]]="C",WORKDAY(Main[[#This Row],[Tech Start Date]],9),IF(Main[[#This Row],[Class]]="B", WORKDAY(Main[[#This Row],[Tech Start Date]],6),IF(Main[[#This Row],[Class]]="A",WORKDAY(Main[[#This Row],[Tech Start Date]],2),""))))</f>
        <v>40791</v>
      </c>
      <c r="N105" s="114">
        <f>IF(Main[[#This Row],[Tech Start Date]]&lt;1/1/1990,"",IF(Main[[#This Row],[Class]]="C",WORKDAY(Main[[#This Row],[Tech Start Date]],19),IF(Main[[#This Row],[Class]]="B", WORKDAY(Main[[#This Row],[Tech Start Date]],12),IF(Main[[#This Row],[Class]]="A",WORKDAY(Main[[#This Row],[Tech Start Date]],4),""))))</f>
        <v>40805</v>
      </c>
      <c r="O105" s="114">
        <f>IF(Main[[#This Row],[Tech Start Date]]&lt;1/1/1990,"",IF(Main[[#This Row],[Class]]="C",WORKDAY(Main[[#This Row],[Tech Start Date]],23),IF(Main[[#This Row],[Class]]="B", WORKDAY(Main[[#This Row],[Tech Start Date]],15),IF(Main[[#This Row],[Class]]="A",WORKDAY(Main[[#This Row],[Tech Start Date]],5),""))))</f>
        <v>40809</v>
      </c>
      <c r="P105" s="114">
        <f>IF(Main[[#This Row],[Tech Start Date]]&lt;1/1/1990,"",IF(Main[[#This Row],[Class]]="C",WORKDAY(Main[[#This Row],[Tech Start Date]],28),IF(Main[[#This Row],[Class]]="B", WORKDAY(Main[[#This Row],[Tech Start Date]],19),IF(Main[[#This Row],[Class]]="A",WORKDAY(Main[[#This Row],[Tech Start Date]],9),""))))</f>
        <v>40816</v>
      </c>
      <c r="Q105" s="129">
        <v>40802</v>
      </c>
      <c r="R105" s="129">
        <v>40998</v>
      </c>
      <c r="S105" s="139" t="s">
        <v>11</v>
      </c>
      <c r="T105" s="115" t="s">
        <v>3792</v>
      </c>
      <c r="U105" s="139" t="s">
        <v>29</v>
      </c>
      <c r="V105" s="139" t="s">
        <v>1914</v>
      </c>
      <c r="W105" s="139" t="s">
        <v>1922</v>
      </c>
      <c r="X105" s="139" t="s">
        <v>2852</v>
      </c>
      <c r="Y105" s="112" t="s">
        <v>3134</v>
      </c>
      <c r="Z105" s="112" t="s">
        <v>129</v>
      </c>
      <c r="AA105" s="139" t="s">
        <v>2852</v>
      </c>
    </row>
    <row r="106" spans="1:27" ht="17.25" customHeight="1">
      <c r="A106" s="69">
        <f>IF(priority(Main[[#This Row],[Comments]])&lt;&gt;0, priority(Main[[#This Row],[Comments]]),"")</f>
        <v>32</v>
      </c>
      <c r="B106" s="63" t="s">
        <v>1074</v>
      </c>
      <c r="C106" s="148" t="s">
        <v>116</v>
      </c>
      <c r="D106" s="113" t="s">
        <v>117</v>
      </c>
      <c r="E106" s="129"/>
      <c r="F106" s="129"/>
      <c r="G106" s="69" t="str">
        <f>IF(stdProdLT(Main[[#This Row],[Comments]])=0.1,"N/A",IF(stdProdLT(Main[[#This Row],[Comments]])=0,"",stdProdLT(Main[[#This Row],[Comments]])))</f>
        <v/>
      </c>
      <c r="H106" s="138" t="str">
        <f>IF(Main[[#This Row],[In Stock Date]]="N/A", "N/A",IF(AND(Main[[#This Row],[In Stock Date]]&lt;&gt;"",Main[[#This Row],[Revised Due Date]]&lt;&gt;"",Main[[#This Row],[In Stock Date]]&lt;&gt;""),Main[[#This Row],[In Stock Date]]-Main[[#This Row],[Revised Due Date]],""))</f>
        <v/>
      </c>
      <c r="I106" s="139" t="s">
        <v>4</v>
      </c>
      <c r="J106" s="139" t="s">
        <v>4</v>
      </c>
      <c r="K106" s="139" t="s">
        <v>4</v>
      </c>
      <c r="L106" s="129"/>
      <c r="M106" s="114" t="str">
        <f>IF(Main[[#This Row],[Tech Start Date]]&lt;1/1/1990,"",IF(Main[[#This Row],[Class]]="C",WORKDAY(Main[[#This Row],[Tech Start Date]],9),IF(Main[[#This Row],[Class]]="B", WORKDAY(Main[[#This Row],[Tech Start Date]],6),IF(Main[[#This Row],[Class]]="A",WORKDAY(Main[[#This Row],[Tech Start Date]],2),""))))</f>
        <v/>
      </c>
      <c r="N106" s="114" t="str">
        <f>IF(Main[[#This Row],[Tech Start Date]]&lt;1/1/1990,"",IF(Main[[#This Row],[Class]]="C",WORKDAY(Main[[#This Row],[Tech Start Date]],19),IF(Main[[#This Row],[Class]]="B", WORKDAY(Main[[#This Row],[Tech Start Date]],12),IF(Main[[#This Row],[Class]]="A",WORKDAY(Main[[#This Row],[Tech Start Date]],4),""))))</f>
        <v/>
      </c>
      <c r="O106" s="114" t="str">
        <f>IF(Main[[#This Row],[Tech Start Date]]&lt;1/1/1990,"",IF(Main[[#This Row],[Class]]="C",WORKDAY(Main[[#This Row],[Tech Start Date]],23),IF(Main[[#This Row],[Class]]="B", WORKDAY(Main[[#This Row],[Tech Start Date]],15),IF(Main[[#This Row],[Class]]="A",WORKDAY(Main[[#This Row],[Tech Start Date]],5),""))))</f>
        <v/>
      </c>
      <c r="P106" s="114" t="str">
        <f>IF(Main[[#This Row],[Tech Start Date]]&lt;1/1/1990,"",IF(Main[[#This Row],[Class]]="C",WORKDAY(Main[[#This Row],[Tech Start Date]],28),IF(Main[[#This Row],[Class]]="B", WORKDAY(Main[[#This Row],[Tech Start Date]],19),IF(Main[[#This Row],[Class]]="A",WORKDAY(Main[[#This Row],[Tech Start Date]],9),""))))</f>
        <v/>
      </c>
      <c r="Q106" s="129">
        <v>40786</v>
      </c>
      <c r="R106" s="129"/>
      <c r="S106" s="139" t="s">
        <v>11</v>
      </c>
      <c r="T106" s="115" t="s">
        <v>118</v>
      </c>
      <c r="U106" s="139" t="s">
        <v>14</v>
      </c>
      <c r="V106" s="139" t="s">
        <v>1914</v>
      </c>
      <c r="W106" s="139" t="s">
        <v>1919</v>
      </c>
      <c r="X106" s="139" t="s">
        <v>2839</v>
      </c>
      <c r="Y106" s="112" t="s">
        <v>2970</v>
      </c>
      <c r="Z106" s="112" t="s">
        <v>4</v>
      </c>
      <c r="AA106" s="139" t="s">
        <v>2839</v>
      </c>
    </row>
    <row r="107" spans="1:27" ht="17.25" customHeight="1">
      <c r="A107" s="69">
        <f>IF(priority(Main[[#This Row],[Comments]])&lt;&gt;0, priority(Main[[#This Row],[Comments]]),"")</f>
        <v>32</v>
      </c>
      <c r="B107" s="63" t="s">
        <v>1066</v>
      </c>
      <c r="C107" s="148" t="s">
        <v>4</v>
      </c>
      <c r="D107" s="113" t="s">
        <v>2309</v>
      </c>
      <c r="E107" s="129">
        <v>40591.506215277775</v>
      </c>
      <c r="F107" s="129"/>
      <c r="G107" s="69" t="str">
        <f>IF(stdProdLT(Main[[#This Row],[Comments]])=0.1,"N/A",IF(stdProdLT(Main[[#This Row],[Comments]])=0,"",stdProdLT(Main[[#This Row],[Comments]])))</f>
        <v/>
      </c>
      <c r="H107" s="138" t="str">
        <f>IF(Main[[#This Row],[In Stock Date]]="N/A", "N/A",IF(AND(Main[[#This Row],[In Stock Date]]&lt;&gt;"",Main[[#This Row],[Revised Due Date]]&lt;&gt;"",Main[[#This Row],[In Stock Date]]&lt;&gt;""),Main[[#This Row],[In Stock Date]]-Main[[#This Row],[Revised Due Date]],""))</f>
        <v/>
      </c>
      <c r="I107" s="139" t="s">
        <v>912</v>
      </c>
      <c r="J107" s="139" t="s">
        <v>52</v>
      </c>
      <c r="K107" s="139" t="s">
        <v>1923</v>
      </c>
      <c r="L107" s="129"/>
      <c r="M107" s="114" t="str">
        <f>IF(Main[[#This Row],[Tech Start Date]]&lt;1/1/1990,"",IF(Main[[#This Row],[Class]]="C",WORKDAY(Main[[#This Row],[Tech Start Date]],9),IF(Main[[#This Row],[Class]]="B", WORKDAY(Main[[#This Row],[Tech Start Date]],6),IF(Main[[#This Row],[Class]]="A",WORKDAY(Main[[#This Row],[Tech Start Date]],2),""))))</f>
        <v/>
      </c>
      <c r="N107" s="114" t="str">
        <f>IF(Main[[#This Row],[Tech Start Date]]&lt;1/1/1990,"",IF(Main[[#This Row],[Class]]="C",WORKDAY(Main[[#This Row],[Tech Start Date]],19),IF(Main[[#This Row],[Class]]="B", WORKDAY(Main[[#This Row],[Tech Start Date]],12),IF(Main[[#This Row],[Class]]="A",WORKDAY(Main[[#This Row],[Tech Start Date]],4),""))))</f>
        <v/>
      </c>
      <c r="O107" s="114" t="str">
        <f>IF(Main[[#This Row],[Tech Start Date]]&lt;1/1/1990,"",IF(Main[[#This Row],[Class]]="C",WORKDAY(Main[[#This Row],[Tech Start Date]],23),IF(Main[[#This Row],[Class]]="B", WORKDAY(Main[[#This Row],[Tech Start Date]],15),IF(Main[[#This Row],[Class]]="A",WORKDAY(Main[[#This Row],[Tech Start Date]],5),""))))</f>
        <v/>
      </c>
      <c r="P107" s="114" t="str">
        <f>IF(Main[[#This Row],[Tech Start Date]]&lt;1/1/1990,"",IF(Main[[#This Row],[Class]]="C",WORKDAY(Main[[#This Row],[Tech Start Date]],28),IF(Main[[#This Row],[Class]]="B", WORKDAY(Main[[#This Row],[Tech Start Date]],19),IF(Main[[#This Row],[Class]]="A",WORKDAY(Main[[#This Row],[Tech Start Date]],9),""))))</f>
        <v/>
      </c>
      <c r="Q107" s="129">
        <v>40605</v>
      </c>
      <c r="R107" s="129"/>
      <c r="S107" s="139" t="s">
        <v>6</v>
      </c>
      <c r="T107" s="115" t="s">
        <v>118</v>
      </c>
      <c r="U107" s="139" t="s">
        <v>29</v>
      </c>
      <c r="V107" s="139" t="s">
        <v>1914</v>
      </c>
      <c r="W107" s="139" t="s">
        <v>1916</v>
      </c>
      <c r="X107" s="139" t="s">
        <v>2900</v>
      </c>
      <c r="Y107" s="112" t="s">
        <v>3074</v>
      </c>
      <c r="Z107" s="112" t="s">
        <v>129</v>
      </c>
      <c r="AA107" s="139" t="s">
        <v>2900</v>
      </c>
    </row>
    <row r="108" spans="1:27" ht="17.25" customHeight="1">
      <c r="A108" s="69">
        <f>IF(priority(Main[[#This Row],[Comments]])&lt;&gt;0, priority(Main[[#This Row],[Comments]]),"")</f>
        <v>32</v>
      </c>
      <c r="B108" s="63" t="s">
        <v>2651</v>
      </c>
      <c r="C108" s="148" t="s">
        <v>116</v>
      </c>
      <c r="D108" s="62" t="s">
        <v>2805</v>
      </c>
      <c r="E108" s="129">
        <v>40864.570104166669</v>
      </c>
      <c r="F108" s="129">
        <v>41044</v>
      </c>
      <c r="G108" s="69" t="str">
        <f>IF(stdProdLT(Main[[#This Row],[Comments]])=0.1,"N/A",IF(stdProdLT(Main[[#This Row],[Comments]])=0,"",stdProdLT(Main[[#This Row],[Comments]])))</f>
        <v>N/A</v>
      </c>
      <c r="H108" s="138">
        <f>IF(Main[[#This Row],[In Stock Date]]="N/A", "N/A",IF(AND(Main[[#This Row],[In Stock Date]]&lt;&gt;"",Main[[#This Row],[Revised Due Date]]&lt;&gt;"",Main[[#This Row],[In Stock Date]]&lt;&gt;""),Main[[#This Row],[In Stock Date]]-Main[[#This Row],[Revised Due Date]],""))</f>
        <v>46</v>
      </c>
      <c r="I108" s="139" t="s">
        <v>937</v>
      </c>
      <c r="J108" s="139" t="s">
        <v>21</v>
      </c>
      <c r="K108" s="139" t="s">
        <v>1921</v>
      </c>
      <c r="L108" s="129">
        <v>40869</v>
      </c>
      <c r="M108" s="114">
        <f>IF(Main[[#This Row],[Tech Start Date]]&lt;1/1/1990,"",IF(Main[[#This Row],[Class]]="C",WORKDAY(Main[[#This Row],[Tech Start Date]],9),IF(Main[[#This Row],[Class]]="B", WORKDAY(Main[[#This Row],[Tech Start Date]],6),IF(Main[[#This Row],[Class]]="A",WORKDAY(Main[[#This Row],[Tech Start Date]],2),""))))</f>
        <v>40877</v>
      </c>
      <c r="N108" s="114">
        <f>IF(Main[[#This Row],[Tech Start Date]]&lt;1/1/1990,"",IF(Main[[#This Row],[Class]]="C",WORKDAY(Main[[#This Row],[Tech Start Date]],19),IF(Main[[#This Row],[Class]]="B", WORKDAY(Main[[#This Row],[Tech Start Date]],12),IF(Main[[#This Row],[Class]]="A",WORKDAY(Main[[#This Row],[Tech Start Date]],4),""))))</f>
        <v>40885</v>
      </c>
      <c r="O108" s="114">
        <f>IF(Main[[#This Row],[Tech Start Date]]&lt;1/1/1990,"",IF(Main[[#This Row],[Class]]="C",WORKDAY(Main[[#This Row],[Tech Start Date]],23),IF(Main[[#This Row],[Class]]="B", WORKDAY(Main[[#This Row],[Tech Start Date]],15),IF(Main[[#This Row],[Class]]="A",WORKDAY(Main[[#This Row],[Tech Start Date]],5),""))))</f>
        <v>40890</v>
      </c>
      <c r="P108" s="114">
        <f>IF(Main[[#This Row],[Tech Start Date]]&lt;1/1/1990,"",IF(Main[[#This Row],[Class]]="C",WORKDAY(Main[[#This Row],[Tech Start Date]],28),IF(Main[[#This Row],[Class]]="B", WORKDAY(Main[[#This Row],[Tech Start Date]],19),IF(Main[[#This Row],[Class]]="A",WORKDAY(Main[[#This Row],[Tech Start Date]],9),""))))</f>
        <v>40896</v>
      </c>
      <c r="Q108" s="129">
        <v>40904</v>
      </c>
      <c r="R108" s="129">
        <v>40998</v>
      </c>
      <c r="S108" s="139" t="s">
        <v>11</v>
      </c>
      <c r="T108" s="115" t="s">
        <v>3806</v>
      </c>
      <c r="U108" s="139" t="s">
        <v>29</v>
      </c>
      <c r="V108" s="139" t="s">
        <v>1914</v>
      </c>
      <c r="W108" s="139" t="s">
        <v>1922</v>
      </c>
      <c r="X108" s="139" t="s">
        <v>2852</v>
      </c>
      <c r="Y108" s="112" t="s">
        <v>3134</v>
      </c>
      <c r="Z108" s="112" t="s">
        <v>129</v>
      </c>
      <c r="AA108" s="139" t="s">
        <v>2852</v>
      </c>
    </row>
    <row r="109" spans="1:27" ht="17.25" customHeight="1">
      <c r="A109" s="69">
        <f>IF(priority(Main[[#This Row],[Comments]])&lt;&gt;0, priority(Main[[#This Row],[Comments]]),"")</f>
        <v>32.1</v>
      </c>
      <c r="B109" s="63" t="s">
        <v>2171</v>
      </c>
      <c r="C109" s="148" t="s">
        <v>2172</v>
      </c>
      <c r="D109" s="113" t="s">
        <v>2173</v>
      </c>
      <c r="E109" s="129"/>
      <c r="F109" s="129">
        <v>40795</v>
      </c>
      <c r="G109" s="69">
        <f>IF(stdProdLT(Main[[#This Row],[Comments]])=0.1,"N/A",IF(stdProdLT(Main[[#This Row],[Comments]])=0,"",stdProdLT(Main[[#This Row],[Comments]])))</f>
        <v>21</v>
      </c>
      <c r="H109" s="138" t="str">
        <f>IF(Main[[#This Row],[In Stock Date]]="N/A", "N/A",IF(AND(Main[[#This Row],[In Stock Date]]&lt;&gt;"",Main[[#This Row],[Revised Due Date]]&lt;&gt;"",Main[[#This Row],[In Stock Date]]&lt;&gt;""),Main[[#This Row],[In Stock Date]]-Main[[#This Row],[Revised Due Date]],""))</f>
        <v/>
      </c>
      <c r="I109" s="139" t="s">
        <v>4</v>
      </c>
      <c r="J109" s="139" t="s">
        <v>4</v>
      </c>
      <c r="K109" s="139" t="s">
        <v>4</v>
      </c>
      <c r="L109" s="129"/>
      <c r="M109" s="114" t="str">
        <f>IF(Main[[#This Row],[Tech Start Date]]&lt;1/1/1990,"",IF(Main[[#This Row],[Class]]="C",WORKDAY(Main[[#This Row],[Tech Start Date]],9),IF(Main[[#This Row],[Class]]="B", WORKDAY(Main[[#This Row],[Tech Start Date]],6),IF(Main[[#This Row],[Class]]="A",WORKDAY(Main[[#This Row],[Tech Start Date]],2),""))))</f>
        <v/>
      </c>
      <c r="N109" s="114" t="str">
        <f>IF(Main[[#This Row],[Tech Start Date]]&lt;1/1/1990,"",IF(Main[[#This Row],[Class]]="C",WORKDAY(Main[[#This Row],[Tech Start Date]],19),IF(Main[[#This Row],[Class]]="B", WORKDAY(Main[[#This Row],[Tech Start Date]],12),IF(Main[[#This Row],[Class]]="A",WORKDAY(Main[[#This Row],[Tech Start Date]],4),""))))</f>
        <v/>
      </c>
      <c r="O109" s="114" t="str">
        <f>IF(Main[[#This Row],[Tech Start Date]]&lt;1/1/1990,"",IF(Main[[#This Row],[Class]]="C",WORKDAY(Main[[#This Row],[Tech Start Date]],23),IF(Main[[#This Row],[Class]]="B", WORKDAY(Main[[#This Row],[Tech Start Date]],15),IF(Main[[#This Row],[Class]]="A",WORKDAY(Main[[#This Row],[Tech Start Date]],5),""))))</f>
        <v/>
      </c>
      <c r="P109" s="114" t="str">
        <f>IF(Main[[#This Row],[Tech Start Date]]&lt;1/1/1990,"",IF(Main[[#This Row],[Class]]="C",WORKDAY(Main[[#This Row],[Tech Start Date]],28),IF(Main[[#This Row],[Class]]="B", WORKDAY(Main[[#This Row],[Tech Start Date]],19),IF(Main[[#This Row],[Class]]="A",WORKDAY(Main[[#This Row],[Tech Start Date]],9),""))))</f>
        <v/>
      </c>
      <c r="Q109" s="129">
        <v>40795</v>
      </c>
      <c r="R109" s="129"/>
      <c r="S109" s="139" t="s">
        <v>11</v>
      </c>
      <c r="T109" s="115" t="s">
        <v>2223</v>
      </c>
      <c r="U109" s="139" t="s">
        <v>14</v>
      </c>
      <c r="V109" s="139" t="s">
        <v>1914</v>
      </c>
      <c r="W109" s="139" t="s">
        <v>1919</v>
      </c>
      <c r="X109" s="139" t="s">
        <v>2829</v>
      </c>
      <c r="Y109" s="112" t="s">
        <v>2951</v>
      </c>
      <c r="Z109" s="112" t="s">
        <v>4</v>
      </c>
      <c r="AA109" s="139" t="s">
        <v>2829</v>
      </c>
    </row>
    <row r="110" spans="1:27" ht="17.25" customHeight="1">
      <c r="A110" s="69">
        <f>IF(priority(Main[[#This Row],[Comments]])&lt;&gt;0, priority(Main[[#This Row],[Comments]]),"")</f>
        <v>33</v>
      </c>
      <c r="B110" s="63" t="s">
        <v>1221</v>
      </c>
      <c r="C110" s="148" t="s">
        <v>116</v>
      </c>
      <c r="D110" s="113" t="s">
        <v>324</v>
      </c>
      <c r="E110" s="129"/>
      <c r="F110" s="129"/>
      <c r="G110" s="69" t="str">
        <f>IF(stdProdLT(Main[[#This Row],[Comments]])=0.1,"N/A",IF(stdProdLT(Main[[#This Row],[Comments]])=0,"",stdProdLT(Main[[#This Row],[Comments]])))</f>
        <v/>
      </c>
      <c r="H110" s="138" t="str">
        <f>IF(Main[[#This Row],[In Stock Date]]="N/A", "N/A",IF(AND(Main[[#This Row],[In Stock Date]]&lt;&gt;"",Main[[#This Row],[Revised Due Date]]&lt;&gt;"",Main[[#This Row],[In Stock Date]]&lt;&gt;""),Main[[#This Row],[In Stock Date]]-Main[[#This Row],[Revised Due Date]],""))</f>
        <v/>
      </c>
      <c r="I110" s="139" t="s">
        <v>4</v>
      </c>
      <c r="J110" s="139" t="s">
        <v>4</v>
      </c>
      <c r="K110" s="139" t="s">
        <v>4</v>
      </c>
      <c r="L110" s="129"/>
      <c r="M110" s="114" t="str">
        <f>IF(Main[[#This Row],[Tech Start Date]]&lt;1/1/1990,"",IF(Main[[#This Row],[Class]]="C",WORKDAY(Main[[#This Row],[Tech Start Date]],9),IF(Main[[#This Row],[Class]]="B", WORKDAY(Main[[#This Row],[Tech Start Date]],6),IF(Main[[#This Row],[Class]]="A",WORKDAY(Main[[#This Row],[Tech Start Date]],2),""))))</f>
        <v/>
      </c>
      <c r="N110" s="114" t="str">
        <f>IF(Main[[#This Row],[Tech Start Date]]&lt;1/1/1990,"",IF(Main[[#This Row],[Class]]="C",WORKDAY(Main[[#This Row],[Tech Start Date]],19),IF(Main[[#This Row],[Class]]="B", WORKDAY(Main[[#This Row],[Tech Start Date]],12),IF(Main[[#This Row],[Class]]="A",WORKDAY(Main[[#This Row],[Tech Start Date]],4),""))))</f>
        <v/>
      </c>
      <c r="O110" s="114" t="str">
        <f>IF(Main[[#This Row],[Tech Start Date]]&lt;1/1/1990,"",IF(Main[[#This Row],[Class]]="C",WORKDAY(Main[[#This Row],[Tech Start Date]],23),IF(Main[[#This Row],[Class]]="B", WORKDAY(Main[[#This Row],[Tech Start Date]],15),IF(Main[[#This Row],[Class]]="A",WORKDAY(Main[[#This Row],[Tech Start Date]],5),""))))</f>
        <v/>
      </c>
      <c r="P110" s="114" t="str">
        <f>IF(Main[[#This Row],[Tech Start Date]]&lt;1/1/1990,"",IF(Main[[#This Row],[Class]]="C",WORKDAY(Main[[#This Row],[Tech Start Date]],28),IF(Main[[#This Row],[Class]]="B", WORKDAY(Main[[#This Row],[Tech Start Date]],19),IF(Main[[#This Row],[Class]]="A",WORKDAY(Main[[#This Row],[Tech Start Date]],9),""))))</f>
        <v/>
      </c>
      <c r="Q110" s="129"/>
      <c r="R110" s="129"/>
      <c r="S110" s="139" t="s">
        <v>11</v>
      </c>
      <c r="T110" s="115" t="s">
        <v>325</v>
      </c>
      <c r="U110" s="139" t="s">
        <v>14</v>
      </c>
      <c r="V110" s="139" t="s">
        <v>1914</v>
      </c>
      <c r="W110" s="139" t="s">
        <v>1919</v>
      </c>
      <c r="X110" s="139" t="s">
        <v>2839</v>
      </c>
      <c r="Y110" s="112" t="s">
        <v>2970</v>
      </c>
      <c r="Z110" s="112" t="s">
        <v>4</v>
      </c>
      <c r="AA110" s="139" t="s">
        <v>2839</v>
      </c>
    </row>
    <row r="111" spans="1:27" ht="17.25" customHeight="1">
      <c r="A111" s="69">
        <f>IF(priority(Main[[#This Row],[Comments]])&lt;&gt;0, priority(Main[[#This Row],[Comments]]),"")</f>
        <v>33</v>
      </c>
      <c r="B111" s="63" t="s">
        <v>1080</v>
      </c>
      <c r="C111" s="148" t="s">
        <v>122</v>
      </c>
      <c r="D111" s="113" t="s">
        <v>123</v>
      </c>
      <c r="E111" s="129">
        <v>40534.411678240744</v>
      </c>
      <c r="F111" s="129">
        <v>40541</v>
      </c>
      <c r="G111" s="69" t="str">
        <f>IF(stdProdLT(Main[[#This Row],[Comments]])=0.1,"N/A",IF(stdProdLT(Main[[#This Row],[Comments]])=0,"",stdProdLT(Main[[#This Row],[Comments]])))</f>
        <v/>
      </c>
      <c r="H111" s="138" t="str">
        <f>IF(Main[[#This Row],[In Stock Date]]="N/A", "N/A",IF(AND(Main[[#This Row],[In Stock Date]]&lt;&gt;"",Main[[#This Row],[Revised Due Date]]&lt;&gt;"",Main[[#This Row],[In Stock Date]]&lt;&gt;""),Main[[#This Row],[In Stock Date]]-Main[[#This Row],[Revised Due Date]],""))</f>
        <v/>
      </c>
      <c r="I111" s="139" t="s">
        <v>4</v>
      </c>
      <c r="J111" s="139" t="s">
        <v>28</v>
      </c>
      <c r="K111" s="139" t="s">
        <v>1923</v>
      </c>
      <c r="L111" s="129"/>
      <c r="M111" s="114" t="str">
        <f>IF(Main[[#This Row],[Tech Start Date]]&lt;1/1/1990,"",IF(Main[[#This Row],[Class]]="C",WORKDAY(Main[[#This Row],[Tech Start Date]],9),IF(Main[[#This Row],[Class]]="B", WORKDAY(Main[[#This Row],[Tech Start Date]],6),IF(Main[[#This Row],[Class]]="A",WORKDAY(Main[[#This Row],[Tech Start Date]],2),""))))</f>
        <v/>
      </c>
      <c r="N111" s="114" t="str">
        <f>IF(Main[[#This Row],[Tech Start Date]]&lt;1/1/1990,"",IF(Main[[#This Row],[Class]]="C",WORKDAY(Main[[#This Row],[Tech Start Date]],19),IF(Main[[#This Row],[Class]]="B", WORKDAY(Main[[#This Row],[Tech Start Date]],12),IF(Main[[#This Row],[Class]]="A",WORKDAY(Main[[#This Row],[Tech Start Date]],4),""))))</f>
        <v/>
      </c>
      <c r="O111" s="114" t="str">
        <f>IF(Main[[#This Row],[Tech Start Date]]&lt;1/1/1990,"",IF(Main[[#This Row],[Class]]="C",WORKDAY(Main[[#This Row],[Tech Start Date]],23),IF(Main[[#This Row],[Class]]="B", WORKDAY(Main[[#This Row],[Tech Start Date]],15),IF(Main[[#This Row],[Class]]="A",WORKDAY(Main[[#This Row],[Tech Start Date]],5),""))))</f>
        <v/>
      </c>
      <c r="P111" s="114" t="str">
        <f>IF(Main[[#This Row],[Tech Start Date]]&lt;1/1/1990,"",IF(Main[[#This Row],[Class]]="C",WORKDAY(Main[[#This Row],[Tech Start Date]],28),IF(Main[[#This Row],[Class]]="B", WORKDAY(Main[[#This Row],[Tech Start Date]],19),IF(Main[[#This Row],[Class]]="A",WORKDAY(Main[[#This Row],[Tech Start Date]],9),""))))</f>
        <v/>
      </c>
      <c r="Q111" s="129">
        <v>40541</v>
      </c>
      <c r="R111" s="129"/>
      <c r="S111" s="139" t="s">
        <v>6</v>
      </c>
      <c r="T111" s="115" t="s">
        <v>325</v>
      </c>
      <c r="U111" s="139" t="s">
        <v>7</v>
      </c>
      <c r="V111" s="139" t="s">
        <v>1914</v>
      </c>
      <c r="W111" s="139" t="s">
        <v>1918</v>
      </c>
      <c r="X111" s="139" t="s">
        <v>2817</v>
      </c>
      <c r="Y111" s="112" t="s">
        <v>3130</v>
      </c>
      <c r="Z111" s="112" t="s">
        <v>129</v>
      </c>
      <c r="AA111" s="139" t="s">
        <v>2817</v>
      </c>
    </row>
    <row r="112" spans="1:27" ht="17.25" customHeight="1">
      <c r="A112" s="69">
        <f>IF(priority(Main[[#This Row],[Comments]])&lt;&gt;0, priority(Main[[#This Row],[Comments]]),"")</f>
        <v>33</v>
      </c>
      <c r="B112" s="63" t="s">
        <v>2765</v>
      </c>
      <c r="C112" s="148" t="s">
        <v>2008</v>
      </c>
      <c r="D112" s="113" t="s">
        <v>2766</v>
      </c>
      <c r="E112" s="129">
        <v>40914.055902777778</v>
      </c>
      <c r="F112" s="129">
        <v>41153</v>
      </c>
      <c r="G112" s="69">
        <f>IF(stdProdLT(Main[[#This Row],[Comments]])=0.1,"N/A",IF(stdProdLT(Main[[#This Row],[Comments]])=0,"",stdProdLT(Main[[#This Row],[Comments]])))</f>
        <v>168</v>
      </c>
      <c r="H112" s="138">
        <f>IF(Main[[#This Row],[In Stock Date]]="N/A", "N/A",IF(AND(Main[[#This Row],[In Stock Date]]&lt;&gt;"",Main[[#This Row],[Revised Due Date]]&lt;&gt;"",Main[[#This Row],[In Stock Date]]&lt;&gt;""),Main[[#This Row],[In Stock Date]]-Main[[#This Row],[Revised Due Date]],""))</f>
        <v>177</v>
      </c>
      <c r="I112" s="139" t="s">
        <v>171</v>
      </c>
      <c r="J112" s="139" t="s">
        <v>70</v>
      </c>
      <c r="K112" s="139" t="s">
        <v>1927</v>
      </c>
      <c r="L112" s="129">
        <v>40925</v>
      </c>
      <c r="M112" s="114">
        <f>IF(Main[[#This Row],[Tech Start Date]]&lt;1/1/1990,"",IF(Main[[#This Row],[Class]]="C",WORKDAY(Main[[#This Row],[Tech Start Date]],9),IF(Main[[#This Row],[Class]]="B", WORKDAY(Main[[#This Row],[Tech Start Date]],6),IF(Main[[#This Row],[Class]]="A",WORKDAY(Main[[#This Row],[Tech Start Date]],2),""))))</f>
        <v>40938</v>
      </c>
      <c r="N112" s="114">
        <f>IF(Main[[#This Row],[Tech Start Date]]&lt;1/1/1990,"",IF(Main[[#This Row],[Class]]="C",WORKDAY(Main[[#This Row],[Tech Start Date]],19),IF(Main[[#This Row],[Class]]="B", WORKDAY(Main[[#This Row],[Tech Start Date]],12),IF(Main[[#This Row],[Class]]="A",WORKDAY(Main[[#This Row],[Tech Start Date]],4),""))))</f>
        <v>40952</v>
      </c>
      <c r="O112" s="114">
        <f>IF(Main[[#This Row],[Tech Start Date]]&lt;1/1/1990,"",IF(Main[[#This Row],[Class]]="C",WORKDAY(Main[[#This Row],[Tech Start Date]],23),IF(Main[[#This Row],[Class]]="B", WORKDAY(Main[[#This Row],[Tech Start Date]],15),IF(Main[[#This Row],[Class]]="A",WORKDAY(Main[[#This Row],[Tech Start Date]],5),""))))</f>
        <v>40956</v>
      </c>
      <c r="P112" s="114">
        <f>IF(Main[[#This Row],[Tech Start Date]]&lt;1/1/1990,"",IF(Main[[#This Row],[Class]]="C",WORKDAY(Main[[#This Row],[Tech Start Date]],28),IF(Main[[#This Row],[Class]]="B", WORKDAY(Main[[#This Row],[Tech Start Date]],19),IF(Main[[#This Row],[Class]]="A",WORKDAY(Main[[#This Row],[Tech Start Date]],9),""))))</f>
        <v>40963</v>
      </c>
      <c r="Q112" s="129">
        <v>40984</v>
      </c>
      <c r="R112" s="129">
        <v>40976</v>
      </c>
      <c r="S112" s="139" t="s">
        <v>11</v>
      </c>
      <c r="T112" s="115" t="s">
        <v>3831</v>
      </c>
      <c r="U112" s="139" t="s">
        <v>29</v>
      </c>
      <c r="V112" s="139" t="s">
        <v>1917</v>
      </c>
      <c r="W112" s="139" t="s">
        <v>1920</v>
      </c>
      <c r="X112" s="139" t="s">
        <v>2854</v>
      </c>
      <c r="Y112" s="112" t="s">
        <v>4</v>
      </c>
      <c r="Z112" s="112" t="s">
        <v>530</v>
      </c>
      <c r="AA112" s="139" t="s">
        <v>2854</v>
      </c>
    </row>
    <row r="113" spans="1:27" ht="17.25" customHeight="1">
      <c r="A113" s="69">
        <f>IF(priority(Main[[#This Row],[Comments]])&lt;&gt;0, priority(Main[[#This Row],[Comments]]),"")</f>
        <v>34</v>
      </c>
      <c r="B113" s="63" t="s">
        <v>1102</v>
      </c>
      <c r="C113" s="148" t="s">
        <v>4</v>
      </c>
      <c r="D113" s="113" t="s">
        <v>2297</v>
      </c>
      <c r="E113" s="129">
        <v>40561.117199074077</v>
      </c>
      <c r="F113" s="129">
        <v>40592</v>
      </c>
      <c r="G113" s="69" t="str">
        <f>IF(stdProdLT(Main[[#This Row],[Comments]])=0.1,"N/A",IF(stdProdLT(Main[[#This Row],[Comments]])=0,"",stdProdLT(Main[[#This Row],[Comments]])))</f>
        <v/>
      </c>
      <c r="H113" s="138" t="str">
        <f>IF(Main[[#This Row],[In Stock Date]]="N/A", "N/A",IF(AND(Main[[#This Row],[In Stock Date]]&lt;&gt;"",Main[[#This Row],[Revised Due Date]]&lt;&gt;"",Main[[#This Row],[In Stock Date]]&lt;&gt;""),Main[[#This Row],[In Stock Date]]-Main[[#This Row],[Revised Due Date]],""))</f>
        <v/>
      </c>
      <c r="I113" s="139" t="s">
        <v>912</v>
      </c>
      <c r="J113" s="139" t="s">
        <v>21</v>
      </c>
      <c r="K113" s="140" t="s">
        <v>1921</v>
      </c>
      <c r="L113" s="129"/>
      <c r="M113" s="114" t="str">
        <f>IF(Main[[#This Row],[Tech Start Date]]&lt;1/1/1990,"",IF(Main[[#This Row],[Class]]="C",WORKDAY(Main[[#This Row],[Tech Start Date]],9),IF(Main[[#This Row],[Class]]="B", WORKDAY(Main[[#This Row],[Tech Start Date]],6),IF(Main[[#This Row],[Class]]="A",WORKDAY(Main[[#This Row],[Tech Start Date]],2),""))))</f>
        <v/>
      </c>
      <c r="N113" s="114" t="str">
        <f>IF(Main[[#This Row],[Tech Start Date]]&lt;1/1/1990,"",IF(Main[[#This Row],[Class]]="C",WORKDAY(Main[[#This Row],[Tech Start Date]],19),IF(Main[[#This Row],[Class]]="B", WORKDAY(Main[[#This Row],[Tech Start Date]],12),IF(Main[[#This Row],[Class]]="A",WORKDAY(Main[[#This Row],[Tech Start Date]],4),""))))</f>
        <v/>
      </c>
      <c r="O113" s="114" t="str">
        <f>IF(Main[[#This Row],[Tech Start Date]]&lt;1/1/1990,"",IF(Main[[#This Row],[Class]]="C",WORKDAY(Main[[#This Row],[Tech Start Date]],23),IF(Main[[#This Row],[Class]]="B", WORKDAY(Main[[#This Row],[Tech Start Date]],15),IF(Main[[#This Row],[Class]]="A",WORKDAY(Main[[#This Row],[Tech Start Date]],5),""))))</f>
        <v/>
      </c>
      <c r="P113" s="114" t="str">
        <f>IF(Main[[#This Row],[Tech Start Date]]&lt;1/1/1990,"",IF(Main[[#This Row],[Class]]="C",WORKDAY(Main[[#This Row],[Tech Start Date]],28),IF(Main[[#This Row],[Class]]="B", WORKDAY(Main[[#This Row],[Tech Start Date]],19),IF(Main[[#This Row],[Class]]="A",WORKDAY(Main[[#This Row],[Tech Start Date]],9),""))))</f>
        <v/>
      </c>
      <c r="Q113" s="129">
        <v>40592</v>
      </c>
      <c r="R113" s="129"/>
      <c r="S113" s="139" t="s">
        <v>6</v>
      </c>
      <c r="T113" s="115" t="s">
        <v>2029</v>
      </c>
      <c r="U113" s="139" t="s">
        <v>29</v>
      </c>
      <c r="V113" s="139" t="s">
        <v>1914</v>
      </c>
      <c r="W113" s="139" t="s">
        <v>1916</v>
      </c>
      <c r="X113" s="139" t="s">
        <v>2903</v>
      </c>
      <c r="Y113" s="112" t="s">
        <v>3083</v>
      </c>
      <c r="Z113" s="112" t="s">
        <v>129</v>
      </c>
      <c r="AA113" s="139" t="s">
        <v>2903</v>
      </c>
    </row>
    <row r="114" spans="1:27" ht="17.25" customHeight="1">
      <c r="A114" s="69">
        <f>IF(priority(Main[[#This Row],[Comments]])&lt;&gt;0, priority(Main[[#This Row],[Comments]]),"")</f>
        <v>34</v>
      </c>
      <c r="B114" s="63" t="s">
        <v>3181</v>
      </c>
      <c r="C114" s="148" t="s">
        <v>3897</v>
      </c>
      <c r="D114" s="113" t="s">
        <v>3182</v>
      </c>
      <c r="E114" s="129">
        <v>40920.243854166663</v>
      </c>
      <c r="F114" s="129">
        <v>41153</v>
      </c>
      <c r="G114" s="69">
        <f>IF(stdProdLT(Main[[#This Row],[Comments]])=0.1,"N/A",IF(stdProdLT(Main[[#This Row],[Comments]])=0,"",stdProdLT(Main[[#This Row],[Comments]])))</f>
        <v>168</v>
      </c>
      <c r="H114" s="138">
        <f>IF(Main[[#This Row],[In Stock Date]]="N/A", "N/A",IF(AND(Main[[#This Row],[In Stock Date]]&lt;&gt;"",Main[[#This Row],[Revised Due Date]]&lt;&gt;"",Main[[#This Row],[In Stock Date]]&lt;&gt;""),Main[[#This Row],[In Stock Date]]-Main[[#This Row],[Revised Due Date]],""))</f>
        <v>184</v>
      </c>
      <c r="I114" s="139" t="s">
        <v>130</v>
      </c>
      <c r="J114" s="139" t="s">
        <v>1978</v>
      </c>
      <c r="K114" s="139" t="s">
        <v>1927</v>
      </c>
      <c r="L114" s="129">
        <v>40925</v>
      </c>
      <c r="M114" s="114">
        <f>IF(Main[[#This Row],[Tech Start Date]]&lt;1/1/1990,"",IF(Main[[#This Row],[Class]]="C",WORKDAY(Main[[#This Row],[Tech Start Date]],9),IF(Main[[#This Row],[Class]]="B", WORKDAY(Main[[#This Row],[Tech Start Date]],6),IF(Main[[#This Row],[Class]]="A",WORKDAY(Main[[#This Row],[Tech Start Date]],2),""))))</f>
        <v>40938</v>
      </c>
      <c r="N114" s="114">
        <f>IF(Main[[#This Row],[Tech Start Date]]&lt;1/1/1990,"",IF(Main[[#This Row],[Class]]="C",WORKDAY(Main[[#This Row],[Tech Start Date]],19),IF(Main[[#This Row],[Class]]="B", WORKDAY(Main[[#This Row],[Tech Start Date]],12),IF(Main[[#This Row],[Class]]="A",WORKDAY(Main[[#This Row],[Tech Start Date]],4),""))))</f>
        <v>40952</v>
      </c>
      <c r="O114" s="114">
        <f>IF(Main[[#This Row],[Tech Start Date]]&lt;1/1/1990,"",IF(Main[[#This Row],[Class]]="C",WORKDAY(Main[[#This Row],[Tech Start Date]],23),IF(Main[[#This Row],[Class]]="B", WORKDAY(Main[[#This Row],[Tech Start Date]],15),IF(Main[[#This Row],[Class]]="A",WORKDAY(Main[[#This Row],[Tech Start Date]],5),""))))</f>
        <v>40956</v>
      </c>
      <c r="P114" s="114">
        <f>IF(Main[[#This Row],[Tech Start Date]]&lt;1/1/1990,"",IF(Main[[#This Row],[Class]]="C",WORKDAY(Main[[#This Row],[Tech Start Date]],28),IF(Main[[#This Row],[Class]]="B", WORKDAY(Main[[#This Row],[Tech Start Date]],19),IF(Main[[#This Row],[Class]]="A",WORKDAY(Main[[#This Row],[Tech Start Date]],9),""))))</f>
        <v>40963</v>
      </c>
      <c r="Q114" s="129">
        <v>40984</v>
      </c>
      <c r="R114" s="129">
        <v>40969</v>
      </c>
      <c r="S114" s="139" t="s">
        <v>11</v>
      </c>
      <c r="T114" s="115" t="s">
        <v>3832</v>
      </c>
      <c r="U114" s="139" t="s">
        <v>29</v>
      </c>
      <c r="V114" s="139" t="s">
        <v>1917</v>
      </c>
      <c r="W114" s="139" t="s">
        <v>1925</v>
      </c>
      <c r="X114" s="139" t="s">
        <v>2846</v>
      </c>
      <c r="Y114" s="112" t="s">
        <v>4</v>
      </c>
      <c r="Z114" s="112" t="s">
        <v>530</v>
      </c>
      <c r="AA114" s="139" t="s">
        <v>2846</v>
      </c>
    </row>
    <row r="115" spans="1:27" ht="17.25" customHeight="1">
      <c r="A115" s="69">
        <f>IF(priority(Main[[#This Row],[Comments]])&lt;&gt;0, priority(Main[[#This Row],[Comments]]),"")</f>
        <v>35</v>
      </c>
      <c r="B115" s="63" t="s">
        <v>2758</v>
      </c>
      <c r="C115" s="148" t="s">
        <v>3179</v>
      </c>
      <c r="D115" s="113" t="s">
        <v>3811</v>
      </c>
      <c r="E115" s="129">
        <v>40911.138009259259</v>
      </c>
      <c r="F115" s="129">
        <v>41334</v>
      </c>
      <c r="G115" s="69">
        <f>IF(stdProdLT(Main[[#This Row],[Comments]])=0.1,"N/A",IF(stdProdLT(Main[[#This Row],[Comments]])=0,"",stdProdLT(Main[[#This Row],[Comments]])))</f>
        <v>140</v>
      </c>
      <c r="H115" s="138">
        <f>IF(Main[[#This Row],[In Stock Date]]="N/A", "N/A",IF(AND(Main[[#This Row],[In Stock Date]]&lt;&gt;"",Main[[#This Row],[Revised Due Date]]&lt;&gt;"",Main[[#This Row],[In Stock Date]]&lt;&gt;""),Main[[#This Row],[In Stock Date]]-Main[[#This Row],[Revised Due Date]],""))</f>
        <v>357</v>
      </c>
      <c r="I115" s="139" t="s">
        <v>399</v>
      </c>
      <c r="J115" s="139" t="s">
        <v>51</v>
      </c>
      <c r="K115" s="139" t="s">
        <v>1921</v>
      </c>
      <c r="L115" s="129">
        <v>40913</v>
      </c>
      <c r="M115" s="114">
        <f>IF(Main[[#This Row],[Tech Start Date]]&lt;1/1/1990,"",IF(Main[[#This Row],[Class]]="C",WORKDAY(Main[[#This Row],[Tech Start Date]],9),IF(Main[[#This Row],[Class]]="B", WORKDAY(Main[[#This Row],[Tech Start Date]],6),IF(Main[[#This Row],[Class]]="A",WORKDAY(Main[[#This Row],[Tech Start Date]],2),""))))</f>
        <v>40921</v>
      </c>
      <c r="N115" s="114">
        <f>IF(Main[[#This Row],[Tech Start Date]]&lt;1/1/1990,"",IF(Main[[#This Row],[Class]]="C",WORKDAY(Main[[#This Row],[Tech Start Date]],19),IF(Main[[#This Row],[Class]]="B", WORKDAY(Main[[#This Row],[Tech Start Date]],12),IF(Main[[#This Row],[Class]]="A",WORKDAY(Main[[#This Row],[Tech Start Date]],4),""))))</f>
        <v>40931</v>
      </c>
      <c r="O115" s="114">
        <f>IF(Main[[#This Row],[Tech Start Date]]&lt;1/1/1990,"",IF(Main[[#This Row],[Class]]="C",WORKDAY(Main[[#This Row],[Tech Start Date]],23),IF(Main[[#This Row],[Class]]="B", WORKDAY(Main[[#This Row],[Tech Start Date]],15),IF(Main[[#This Row],[Class]]="A",WORKDAY(Main[[#This Row],[Tech Start Date]],5),""))))</f>
        <v>40934</v>
      </c>
      <c r="P115" s="114">
        <f>IF(Main[[#This Row],[Tech Start Date]]&lt;1/1/1990,"",IF(Main[[#This Row],[Class]]="C",WORKDAY(Main[[#This Row],[Tech Start Date]],28),IF(Main[[#This Row],[Class]]="B", WORKDAY(Main[[#This Row],[Tech Start Date]],19),IF(Main[[#This Row],[Class]]="A",WORKDAY(Main[[#This Row],[Tech Start Date]],9),""))))</f>
        <v>40940</v>
      </c>
      <c r="Q115" s="129">
        <v>40903</v>
      </c>
      <c r="R115" s="129">
        <v>40977</v>
      </c>
      <c r="S115" s="139" t="s">
        <v>11</v>
      </c>
      <c r="T115" s="115" t="s">
        <v>3812</v>
      </c>
      <c r="U115" s="139" t="s">
        <v>29</v>
      </c>
      <c r="V115" s="139" t="s">
        <v>1924</v>
      </c>
      <c r="W115" s="139" t="s">
        <v>1920</v>
      </c>
      <c r="X115" s="139" t="s">
        <v>2846</v>
      </c>
      <c r="Y115" s="112" t="s">
        <v>4</v>
      </c>
      <c r="Z115" s="112" t="s">
        <v>530</v>
      </c>
      <c r="AA115" s="139" t="s">
        <v>2846</v>
      </c>
    </row>
    <row r="116" spans="1:27" ht="17.25" customHeight="1">
      <c r="A116" s="69">
        <f>IF(priority(Main[[#This Row],[Comments]])&lt;&gt;0, priority(Main[[#This Row],[Comments]]),"")</f>
        <v>36</v>
      </c>
      <c r="B116" s="63" t="s">
        <v>1208</v>
      </c>
      <c r="C116" s="148" t="s">
        <v>4</v>
      </c>
      <c r="D116" s="113" t="s">
        <v>267</v>
      </c>
      <c r="E116" s="129">
        <v>40681.617800925924</v>
      </c>
      <c r="F116" s="129"/>
      <c r="G116" s="69" t="str">
        <f>IF(stdProdLT(Main[[#This Row],[Comments]])=0.1,"N/A",IF(stdProdLT(Main[[#This Row],[Comments]])=0,"",stdProdLT(Main[[#This Row],[Comments]])))</f>
        <v/>
      </c>
      <c r="H116" s="138" t="str">
        <f>IF(Main[[#This Row],[In Stock Date]]="N/A", "N/A",IF(AND(Main[[#This Row],[In Stock Date]]&lt;&gt;"",Main[[#This Row],[Revised Due Date]]&lt;&gt;"",Main[[#This Row],[In Stock Date]]&lt;&gt;""),Main[[#This Row],[In Stock Date]]-Main[[#This Row],[Revised Due Date]],""))</f>
        <v/>
      </c>
      <c r="I116" s="139" t="s">
        <v>4</v>
      </c>
      <c r="J116" s="139" t="s">
        <v>21</v>
      </c>
      <c r="K116" s="139" t="s">
        <v>4</v>
      </c>
      <c r="L116" s="129"/>
      <c r="M116" s="114" t="str">
        <f>IF(Main[[#This Row],[Tech Start Date]]&lt;1/1/1990,"",IF(Main[[#This Row],[Class]]="C",WORKDAY(Main[[#This Row],[Tech Start Date]],9),IF(Main[[#This Row],[Class]]="B", WORKDAY(Main[[#This Row],[Tech Start Date]],6),IF(Main[[#This Row],[Class]]="A",WORKDAY(Main[[#This Row],[Tech Start Date]],2),""))))</f>
        <v/>
      </c>
      <c r="N116" s="114" t="str">
        <f>IF(Main[[#This Row],[Tech Start Date]]&lt;1/1/1990,"",IF(Main[[#This Row],[Class]]="C",WORKDAY(Main[[#This Row],[Tech Start Date]],19),IF(Main[[#This Row],[Class]]="B", WORKDAY(Main[[#This Row],[Tech Start Date]],12),IF(Main[[#This Row],[Class]]="A",WORKDAY(Main[[#This Row],[Tech Start Date]],4),""))))</f>
        <v/>
      </c>
      <c r="O116" s="114" t="str">
        <f>IF(Main[[#This Row],[Tech Start Date]]&lt;1/1/1990,"",IF(Main[[#This Row],[Class]]="C",WORKDAY(Main[[#This Row],[Tech Start Date]],23),IF(Main[[#This Row],[Class]]="B", WORKDAY(Main[[#This Row],[Tech Start Date]],15),IF(Main[[#This Row],[Class]]="A",WORKDAY(Main[[#This Row],[Tech Start Date]],5),""))))</f>
        <v/>
      </c>
      <c r="P116" s="114" t="str">
        <f>IF(Main[[#This Row],[Tech Start Date]]&lt;1/1/1990,"",IF(Main[[#This Row],[Class]]="C",WORKDAY(Main[[#This Row],[Tech Start Date]],28),IF(Main[[#This Row],[Class]]="B", WORKDAY(Main[[#This Row],[Tech Start Date]],19),IF(Main[[#This Row],[Class]]="A",WORKDAY(Main[[#This Row],[Tech Start Date]],9),""))))</f>
        <v/>
      </c>
      <c r="Q116" s="129">
        <v>40710</v>
      </c>
      <c r="R116" s="129"/>
      <c r="S116" s="139" t="s">
        <v>6</v>
      </c>
      <c r="T116" s="115" t="s">
        <v>2270</v>
      </c>
      <c r="U116" s="139" t="s">
        <v>534</v>
      </c>
      <c r="V116" s="139" t="s">
        <v>1914</v>
      </c>
      <c r="W116" s="139" t="s">
        <v>1925</v>
      </c>
      <c r="X116" s="139" t="s">
        <v>970</v>
      </c>
      <c r="Y116" s="112" t="s">
        <v>3097</v>
      </c>
      <c r="Z116" s="112" t="s">
        <v>4</v>
      </c>
      <c r="AA116" s="139" t="s">
        <v>970</v>
      </c>
    </row>
    <row r="117" spans="1:27" ht="17.25" customHeight="1">
      <c r="A117" s="69">
        <f>IF(priority(Main[[#This Row],[Comments]])&lt;&gt;0, priority(Main[[#This Row],[Comments]]),"")</f>
        <v>36</v>
      </c>
      <c r="B117" s="63" t="s">
        <v>3893</v>
      </c>
      <c r="C117" s="148" t="s">
        <v>3894</v>
      </c>
      <c r="D117" s="113" t="s">
        <v>3895</v>
      </c>
      <c r="E117" s="129">
        <v>40953.264710648145</v>
      </c>
      <c r="F117" s="129">
        <v>41289</v>
      </c>
      <c r="G117" s="69">
        <f>IF(stdProdLT(Main[[#This Row],[Comments]])=0.1,"N/A",IF(stdProdLT(Main[[#This Row],[Comments]])=0,"",stdProdLT(Main[[#This Row],[Comments]])))</f>
        <v>140</v>
      </c>
      <c r="H117" s="138">
        <f>IF(Main[[#This Row],[In Stock Date]]="N/A", "N/A",IF(AND(Main[[#This Row],[In Stock Date]]&lt;&gt;"",Main[[#This Row],[Revised Due Date]]&lt;&gt;"",Main[[#This Row],[In Stock Date]]&lt;&gt;""),Main[[#This Row],[In Stock Date]]-Main[[#This Row],[Revised Due Date]],""))</f>
        <v>294</v>
      </c>
      <c r="I117" s="139" t="s">
        <v>3981</v>
      </c>
      <c r="J117" s="139" t="s">
        <v>28</v>
      </c>
      <c r="K117" s="139" t="s">
        <v>1921</v>
      </c>
      <c r="L117" s="129">
        <v>40960</v>
      </c>
      <c r="M117" s="114">
        <f>IF(Main[[#This Row],[Tech Start Date]]&lt;1/1/1990,"",IF(Main[[#This Row],[Class]]="C",WORKDAY(Main[[#This Row],[Tech Start Date]],9),IF(Main[[#This Row],[Class]]="B", WORKDAY(Main[[#This Row],[Tech Start Date]],6),IF(Main[[#This Row],[Class]]="A",WORKDAY(Main[[#This Row],[Tech Start Date]],2),""))))</f>
        <v>40968</v>
      </c>
      <c r="N117" s="114">
        <f>IF(Main[[#This Row],[Tech Start Date]]&lt;1/1/1990,"",IF(Main[[#This Row],[Class]]="C",WORKDAY(Main[[#This Row],[Tech Start Date]],19),IF(Main[[#This Row],[Class]]="B", WORKDAY(Main[[#This Row],[Tech Start Date]],12),IF(Main[[#This Row],[Class]]="A",WORKDAY(Main[[#This Row],[Tech Start Date]],4),""))))</f>
        <v>40976</v>
      </c>
      <c r="O117" s="114">
        <f>IF(Main[[#This Row],[Tech Start Date]]&lt;1/1/1990,"",IF(Main[[#This Row],[Class]]="C",WORKDAY(Main[[#This Row],[Tech Start Date]],23),IF(Main[[#This Row],[Class]]="B", WORKDAY(Main[[#This Row],[Tech Start Date]],15),IF(Main[[#This Row],[Class]]="A",WORKDAY(Main[[#This Row],[Tech Start Date]],5),""))))</f>
        <v>40981</v>
      </c>
      <c r="P117" s="114">
        <f>IF(Main[[#This Row],[Tech Start Date]]&lt;1/1/1990,"",IF(Main[[#This Row],[Class]]="C",WORKDAY(Main[[#This Row],[Tech Start Date]],28),IF(Main[[#This Row],[Class]]="B", WORKDAY(Main[[#This Row],[Tech Start Date]],19),IF(Main[[#This Row],[Class]]="A",WORKDAY(Main[[#This Row],[Tech Start Date]],9),""))))</f>
        <v>40987</v>
      </c>
      <c r="Q117" s="129">
        <v>40995</v>
      </c>
      <c r="R117" s="129">
        <v>40995</v>
      </c>
      <c r="S117" s="139" t="s">
        <v>11</v>
      </c>
      <c r="T117" s="115" t="s">
        <v>3896</v>
      </c>
      <c r="U117" s="139" t="s">
        <v>29</v>
      </c>
      <c r="V117" s="139" t="s">
        <v>1924</v>
      </c>
      <c r="W117" s="139" t="s">
        <v>1920</v>
      </c>
      <c r="X117" s="139" t="s">
        <v>2846</v>
      </c>
      <c r="Y117" s="112" t="s">
        <v>4</v>
      </c>
      <c r="Z117" s="112" t="s">
        <v>530</v>
      </c>
      <c r="AA117" s="139" t="s">
        <v>2846</v>
      </c>
    </row>
    <row r="118" spans="1:27" ht="17.25" customHeight="1">
      <c r="A118" s="69">
        <f>IF(priority(Main[[#This Row],[Comments]])&lt;&gt;0, priority(Main[[#This Row],[Comments]]),"")</f>
        <v>37</v>
      </c>
      <c r="B118" s="63" t="s">
        <v>1172</v>
      </c>
      <c r="C118" s="148" t="s">
        <v>4</v>
      </c>
      <c r="D118" s="113" t="s">
        <v>227</v>
      </c>
      <c r="E118" s="129">
        <v>40567.332951388889</v>
      </c>
      <c r="F118" s="129">
        <v>40602</v>
      </c>
      <c r="G118" s="69" t="str">
        <f>IF(stdProdLT(Main[[#This Row],[Comments]])=0.1,"N/A",IF(stdProdLT(Main[[#This Row],[Comments]])=0,"",stdProdLT(Main[[#This Row],[Comments]])))</f>
        <v/>
      </c>
      <c r="H118" s="138" t="str">
        <f>IF(Main[[#This Row],[In Stock Date]]="N/A", "N/A",IF(AND(Main[[#This Row],[In Stock Date]]&lt;&gt;"",Main[[#This Row],[Revised Due Date]]&lt;&gt;"",Main[[#This Row],[In Stock Date]]&lt;&gt;""),Main[[#This Row],[In Stock Date]]-Main[[#This Row],[Revised Due Date]],""))</f>
        <v/>
      </c>
      <c r="I118" s="139" t="s">
        <v>912</v>
      </c>
      <c r="J118" s="139" t="s">
        <v>52</v>
      </c>
      <c r="K118" s="139" t="s">
        <v>1923</v>
      </c>
      <c r="L118" s="129"/>
      <c r="M118" s="114" t="str">
        <f>IF(Main[[#This Row],[Tech Start Date]]&lt;1/1/1990,"",IF(Main[[#This Row],[Class]]="C",WORKDAY(Main[[#This Row],[Tech Start Date]],9),IF(Main[[#This Row],[Class]]="B", WORKDAY(Main[[#This Row],[Tech Start Date]],6),IF(Main[[#This Row],[Class]]="A",WORKDAY(Main[[#This Row],[Tech Start Date]],2),""))))</f>
        <v/>
      </c>
      <c r="N118" s="114" t="str">
        <f>IF(Main[[#This Row],[Tech Start Date]]&lt;1/1/1990,"",IF(Main[[#This Row],[Class]]="C",WORKDAY(Main[[#This Row],[Tech Start Date]],19),IF(Main[[#This Row],[Class]]="B", WORKDAY(Main[[#This Row],[Tech Start Date]],12),IF(Main[[#This Row],[Class]]="A",WORKDAY(Main[[#This Row],[Tech Start Date]],4),""))))</f>
        <v/>
      </c>
      <c r="O118" s="114" t="str">
        <f>IF(Main[[#This Row],[Tech Start Date]]&lt;1/1/1990,"",IF(Main[[#This Row],[Class]]="C",WORKDAY(Main[[#This Row],[Tech Start Date]],23),IF(Main[[#This Row],[Class]]="B", WORKDAY(Main[[#This Row],[Tech Start Date]],15),IF(Main[[#This Row],[Class]]="A",WORKDAY(Main[[#This Row],[Tech Start Date]],5),""))))</f>
        <v/>
      </c>
      <c r="P118" s="114" t="str">
        <f>IF(Main[[#This Row],[Tech Start Date]]&lt;1/1/1990,"",IF(Main[[#This Row],[Class]]="C",WORKDAY(Main[[#This Row],[Tech Start Date]],28),IF(Main[[#This Row],[Class]]="B", WORKDAY(Main[[#This Row],[Tech Start Date]],19),IF(Main[[#This Row],[Class]]="A",WORKDAY(Main[[#This Row],[Tech Start Date]],9),""))))</f>
        <v/>
      </c>
      <c r="Q118" s="129">
        <v>40602</v>
      </c>
      <c r="R118" s="129"/>
      <c r="S118" s="139" t="s">
        <v>6</v>
      </c>
      <c r="T118" s="115" t="s">
        <v>2030</v>
      </c>
      <c r="U118" s="139" t="s">
        <v>29</v>
      </c>
      <c r="V118" s="139" t="s">
        <v>1914</v>
      </c>
      <c r="W118" s="139" t="s">
        <v>1916</v>
      </c>
      <c r="X118" s="139" t="s">
        <v>126</v>
      </c>
      <c r="Y118" s="112" t="s">
        <v>3052</v>
      </c>
      <c r="Z118" s="112" t="s">
        <v>129</v>
      </c>
      <c r="AA118" s="139" t="s">
        <v>126</v>
      </c>
    </row>
    <row r="119" spans="1:27" ht="17.25" customHeight="1">
      <c r="A119" s="69">
        <f>IF(priority(Main[[#This Row],[Comments]])&lt;&gt;0, priority(Main[[#This Row],[Comments]]),"")</f>
        <v>37</v>
      </c>
      <c r="B119" s="63" t="s">
        <v>3298</v>
      </c>
      <c r="C119" s="148" t="s">
        <v>4</v>
      </c>
      <c r="D119" s="113" t="s">
        <v>3568</v>
      </c>
      <c r="E119" s="129">
        <v>40933.750428240739</v>
      </c>
      <c r="F119" s="129">
        <v>40969</v>
      </c>
      <c r="G119" s="69" t="str">
        <f>IF(stdProdLT(Main[[#This Row],[Comments]])=0.1,"N/A",IF(stdProdLT(Main[[#This Row],[Comments]])=0,"",stdProdLT(Main[[#This Row],[Comments]])))</f>
        <v>N/A</v>
      </c>
      <c r="H119" s="138">
        <f>IF(Main[[#This Row],[In Stock Date]]="N/A", "N/A",IF(AND(Main[[#This Row],[In Stock Date]]&lt;&gt;"",Main[[#This Row],[Revised Due Date]]&lt;&gt;"",Main[[#This Row],[In Stock Date]]&lt;&gt;""),Main[[#This Row],[In Stock Date]]-Main[[#This Row],[Revised Due Date]],""))</f>
        <v>-8</v>
      </c>
      <c r="I119" s="139" t="s">
        <v>2044</v>
      </c>
      <c r="J119" s="139" t="s">
        <v>28</v>
      </c>
      <c r="K119" s="139" t="s">
        <v>1927</v>
      </c>
      <c r="L119" s="129">
        <v>40948</v>
      </c>
      <c r="M119" s="114">
        <f>IF(Main[[#This Row],[Tech Start Date]]&lt;1/1/1990,"",IF(Main[[#This Row],[Class]]="C",WORKDAY(Main[[#This Row],[Tech Start Date]],9),IF(Main[[#This Row],[Class]]="B", WORKDAY(Main[[#This Row],[Tech Start Date]],6),IF(Main[[#This Row],[Class]]="A",WORKDAY(Main[[#This Row],[Tech Start Date]],2),""))))</f>
        <v>40961</v>
      </c>
      <c r="N119" s="114">
        <f>IF(Main[[#This Row],[Tech Start Date]]&lt;1/1/1990,"",IF(Main[[#This Row],[Class]]="C",WORKDAY(Main[[#This Row],[Tech Start Date]],19),IF(Main[[#This Row],[Class]]="B", WORKDAY(Main[[#This Row],[Tech Start Date]],12),IF(Main[[#This Row],[Class]]="A",WORKDAY(Main[[#This Row],[Tech Start Date]],4),""))))</f>
        <v>40975</v>
      </c>
      <c r="O119" s="114">
        <f>IF(Main[[#This Row],[Tech Start Date]]&lt;1/1/1990,"",IF(Main[[#This Row],[Class]]="C",WORKDAY(Main[[#This Row],[Tech Start Date]],23),IF(Main[[#This Row],[Class]]="B", WORKDAY(Main[[#This Row],[Tech Start Date]],15),IF(Main[[#This Row],[Class]]="A",WORKDAY(Main[[#This Row],[Tech Start Date]],5),""))))</f>
        <v>40981</v>
      </c>
      <c r="P119" s="114">
        <f>IF(Main[[#This Row],[Tech Start Date]]&lt;1/1/1990,"",IF(Main[[#This Row],[Class]]="C",WORKDAY(Main[[#This Row],[Tech Start Date]],28),IF(Main[[#This Row],[Class]]="B", WORKDAY(Main[[#This Row],[Tech Start Date]],19),IF(Main[[#This Row],[Class]]="A",WORKDAY(Main[[#This Row],[Tech Start Date]],9),""))))</f>
        <v>40988</v>
      </c>
      <c r="Q119" s="129">
        <v>40969</v>
      </c>
      <c r="R119" s="129">
        <v>40977</v>
      </c>
      <c r="S119" s="139" t="s">
        <v>11</v>
      </c>
      <c r="T119" s="115" t="s">
        <v>3849</v>
      </c>
      <c r="U119" s="139" t="s">
        <v>29</v>
      </c>
      <c r="V119" s="139" t="s">
        <v>1917</v>
      </c>
      <c r="W119" s="139" t="s">
        <v>1919</v>
      </c>
      <c r="X119" s="139" t="s">
        <v>553</v>
      </c>
      <c r="Y119" s="112" t="s">
        <v>2952</v>
      </c>
      <c r="Z119" s="112" t="s">
        <v>530</v>
      </c>
      <c r="AA119" s="139" t="s">
        <v>553</v>
      </c>
    </row>
    <row r="120" spans="1:27" ht="17.25" customHeight="1">
      <c r="A120" s="69">
        <f>IF(priority(Main[[#This Row],[Comments]])&lt;&gt;0, priority(Main[[#This Row],[Comments]]),"")</f>
        <v>38</v>
      </c>
      <c r="B120" s="63" t="s">
        <v>1226</v>
      </c>
      <c r="C120" s="148" t="s">
        <v>4</v>
      </c>
      <c r="D120" s="113" t="s">
        <v>2364</v>
      </c>
      <c r="E120" s="129">
        <v>40337.30976851852</v>
      </c>
      <c r="F120" s="129"/>
      <c r="G120" s="69" t="str">
        <f>IF(stdProdLT(Main[[#This Row],[Comments]])=0.1,"N/A",IF(stdProdLT(Main[[#This Row],[Comments]])=0,"",stdProdLT(Main[[#This Row],[Comments]])))</f>
        <v/>
      </c>
      <c r="H120" s="138" t="str">
        <f>IF(Main[[#This Row],[In Stock Date]]="N/A", "N/A",IF(AND(Main[[#This Row],[In Stock Date]]&lt;&gt;"",Main[[#This Row],[Revised Due Date]]&lt;&gt;"",Main[[#This Row],[In Stock Date]]&lt;&gt;""),Main[[#This Row],[In Stock Date]]-Main[[#This Row],[Revised Due Date]],""))</f>
        <v/>
      </c>
      <c r="I120" s="139" t="s">
        <v>912</v>
      </c>
      <c r="J120" s="139" t="s">
        <v>52</v>
      </c>
      <c r="K120" s="139" t="s">
        <v>4</v>
      </c>
      <c r="L120" s="129"/>
      <c r="M120" s="114" t="str">
        <f>IF(Main[[#This Row],[Tech Start Date]]&lt;1/1/1990,"",IF(Main[[#This Row],[Class]]="C",WORKDAY(Main[[#This Row],[Tech Start Date]],9),IF(Main[[#This Row],[Class]]="B", WORKDAY(Main[[#This Row],[Tech Start Date]],6),IF(Main[[#This Row],[Class]]="A",WORKDAY(Main[[#This Row],[Tech Start Date]],2),""))))</f>
        <v/>
      </c>
      <c r="N120" s="114" t="str">
        <f>IF(Main[[#This Row],[Tech Start Date]]&lt;1/1/1990,"",IF(Main[[#This Row],[Class]]="C",WORKDAY(Main[[#This Row],[Tech Start Date]],19),IF(Main[[#This Row],[Class]]="B", WORKDAY(Main[[#This Row],[Tech Start Date]],12),IF(Main[[#This Row],[Class]]="A",WORKDAY(Main[[#This Row],[Tech Start Date]],4),""))))</f>
        <v/>
      </c>
      <c r="O120" s="114" t="str">
        <f>IF(Main[[#This Row],[Tech Start Date]]&lt;1/1/1990,"",IF(Main[[#This Row],[Class]]="C",WORKDAY(Main[[#This Row],[Tech Start Date]],23),IF(Main[[#This Row],[Class]]="B", WORKDAY(Main[[#This Row],[Tech Start Date]],15),IF(Main[[#This Row],[Class]]="A",WORKDAY(Main[[#This Row],[Tech Start Date]],5),""))))</f>
        <v/>
      </c>
      <c r="P120" s="114" t="str">
        <f>IF(Main[[#This Row],[Tech Start Date]]&lt;1/1/1990,"",IF(Main[[#This Row],[Class]]="C",WORKDAY(Main[[#This Row],[Tech Start Date]],28),IF(Main[[#This Row],[Class]]="B", WORKDAY(Main[[#This Row],[Tech Start Date]],19),IF(Main[[#This Row],[Class]]="A",WORKDAY(Main[[#This Row],[Tech Start Date]],9),""))))</f>
        <v/>
      </c>
      <c r="Q120" s="129">
        <v>40344</v>
      </c>
      <c r="R120" s="129"/>
      <c r="S120" s="139" t="s">
        <v>6</v>
      </c>
      <c r="T120" s="115" t="s">
        <v>2031</v>
      </c>
      <c r="U120" s="139" t="s">
        <v>29</v>
      </c>
      <c r="V120" s="139" t="s">
        <v>1914</v>
      </c>
      <c r="W120" s="139" t="s">
        <v>1918</v>
      </c>
      <c r="X120" s="139" t="s">
        <v>2866</v>
      </c>
      <c r="Y120" s="112" t="s">
        <v>3000</v>
      </c>
      <c r="Z120" s="112" t="s">
        <v>129</v>
      </c>
      <c r="AA120" s="139" t="s">
        <v>2866</v>
      </c>
    </row>
    <row r="121" spans="1:27" ht="17.25" customHeight="1">
      <c r="A121" s="69">
        <f>IF(priority(Main[[#This Row],[Comments]])&lt;&gt;0, priority(Main[[#This Row],[Comments]]),"")</f>
        <v>38</v>
      </c>
      <c r="B121" s="63" t="s">
        <v>1956</v>
      </c>
      <c r="C121" s="148" t="s">
        <v>116</v>
      </c>
      <c r="D121" s="113" t="s">
        <v>2611</v>
      </c>
      <c r="E121" s="129">
        <v>40722.573900462965</v>
      </c>
      <c r="F121" s="129">
        <v>41379</v>
      </c>
      <c r="G121" s="69" t="str">
        <f>IF(stdProdLT(Main[[#This Row],[Comments]])=0.1,"N/A",IF(stdProdLT(Main[[#This Row],[Comments]])=0,"",stdProdLT(Main[[#This Row],[Comments]])))</f>
        <v>N/A</v>
      </c>
      <c r="H121" s="138">
        <f>IF(Main[[#This Row],[In Stock Date]]="N/A", "N/A",IF(AND(Main[[#This Row],[In Stock Date]]&lt;&gt;"",Main[[#This Row],[Revised Due Date]]&lt;&gt;"",Main[[#This Row],[In Stock Date]]&lt;&gt;""),Main[[#This Row],[In Stock Date]]-Main[[#This Row],[Revised Due Date]],""))</f>
        <v>410</v>
      </c>
      <c r="I121" s="139" t="s">
        <v>81</v>
      </c>
      <c r="J121" s="139" t="s">
        <v>21</v>
      </c>
      <c r="K121" s="140" t="s">
        <v>1927</v>
      </c>
      <c r="L121" s="129">
        <v>40767</v>
      </c>
      <c r="M121" s="114">
        <f>IF(Main[[#This Row],[Tech Start Date]]&lt;1/1/1990,"",IF(Main[[#This Row],[Class]]="C",WORKDAY(Main[[#This Row],[Tech Start Date]],9),IF(Main[[#This Row],[Class]]="B", WORKDAY(Main[[#This Row],[Tech Start Date]],6),IF(Main[[#This Row],[Class]]="A",WORKDAY(Main[[#This Row],[Tech Start Date]],2),""))))</f>
        <v>40780</v>
      </c>
      <c r="N121" s="114">
        <f>IF(Main[[#This Row],[Tech Start Date]]&lt;1/1/1990,"",IF(Main[[#This Row],[Class]]="C",WORKDAY(Main[[#This Row],[Tech Start Date]],19),IF(Main[[#This Row],[Class]]="B", WORKDAY(Main[[#This Row],[Tech Start Date]],12),IF(Main[[#This Row],[Class]]="A",WORKDAY(Main[[#This Row],[Tech Start Date]],4),""))))</f>
        <v>40794</v>
      </c>
      <c r="O121" s="114">
        <f>IF(Main[[#This Row],[Tech Start Date]]&lt;1/1/1990,"",IF(Main[[#This Row],[Class]]="C",WORKDAY(Main[[#This Row],[Tech Start Date]],23),IF(Main[[#This Row],[Class]]="B", WORKDAY(Main[[#This Row],[Tech Start Date]],15),IF(Main[[#This Row],[Class]]="A",WORKDAY(Main[[#This Row],[Tech Start Date]],5),""))))</f>
        <v>40800</v>
      </c>
      <c r="P121" s="114">
        <f>IF(Main[[#This Row],[Tech Start Date]]&lt;1/1/1990,"",IF(Main[[#This Row],[Class]]="C",WORKDAY(Main[[#This Row],[Tech Start Date]],28),IF(Main[[#This Row],[Class]]="B", WORKDAY(Main[[#This Row],[Tech Start Date]],19),IF(Main[[#This Row],[Class]]="A",WORKDAY(Main[[#This Row],[Tech Start Date]],9),""))))</f>
        <v>40807</v>
      </c>
      <c r="Q121" s="129">
        <v>41061</v>
      </c>
      <c r="R121" s="129">
        <v>40969</v>
      </c>
      <c r="S121" s="139" t="s">
        <v>11</v>
      </c>
      <c r="T121" s="115" t="s">
        <v>3790</v>
      </c>
      <c r="U121" s="139" t="s">
        <v>29</v>
      </c>
      <c r="V121" s="139" t="s">
        <v>1917</v>
      </c>
      <c r="W121" s="139" t="s">
        <v>1919</v>
      </c>
      <c r="X121" s="139" t="s">
        <v>2891</v>
      </c>
      <c r="Y121" s="112" t="s">
        <v>3102</v>
      </c>
      <c r="Z121" s="112" t="s">
        <v>81</v>
      </c>
      <c r="AA121" s="139" t="s">
        <v>2891</v>
      </c>
    </row>
    <row r="122" spans="1:27" ht="17.25" customHeight="1">
      <c r="A122" s="69">
        <f>IF(priority(Main[[#This Row],[Comments]])&lt;&gt;0, priority(Main[[#This Row],[Comments]]),"")</f>
        <v>39</v>
      </c>
      <c r="B122" s="63" t="s">
        <v>1403</v>
      </c>
      <c r="C122" s="148" t="s">
        <v>37</v>
      </c>
      <c r="D122" s="113" t="s">
        <v>485</v>
      </c>
      <c r="E122" s="129">
        <v>40682.478391203702</v>
      </c>
      <c r="F122" s="129"/>
      <c r="G122" s="69" t="str">
        <f>IF(stdProdLT(Main[[#This Row],[Comments]])=0.1,"N/A",IF(stdProdLT(Main[[#This Row],[Comments]])=0,"",stdProdLT(Main[[#This Row],[Comments]])))</f>
        <v/>
      </c>
      <c r="H122" s="138" t="str">
        <f>IF(Main[[#This Row],[In Stock Date]]="N/A", "N/A",IF(AND(Main[[#This Row],[In Stock Date]]&lt;&gt;"",Main[[#This Row],[Revised Due Date]]&lt;&gt;"",Main[[#This Row],[In Stock Date]]&lt;&gt;""),Main[[#This Row],[In Stock Date]]-Main[[#This Row],[Revised Due Date]],""))</f>
        <v/>
      </c>
      <c r="I122" s="139" t="s">
        <v>4</v>
      </c>
      <c r="J122" s="139" t="s">
        <v>21</v>
      </c>
      <c r="K122" s="139" t="s">
        <v>4</v>
      </c>
      <c r="L122" s="129"/>
      <c r="M122" s="114" t="str">
        <f>IF(Main[[#This Row],[Tech Start Date]]&lt;1/1/1990,"",IF(Main[[#This Row],[Class]]="C",WORKDAY(Main[[#This Row],[Tech Start Date]],9),IF(Main[[#This Row],[Class]]="B", WORKDAY(Main[[#This Row],[Tech Start Date]],6),IF(Main[[#This Row],[Class]]="A",WORKDAY(Main[[#This Row],[Tech Start Date]],2),""))))</f>
        <v/>
      </c>
      <c r="N122" s="114" t="str">
        <f>IF(Main[[#This Row],[Tech Start Date]]&lt;1/1/1990,"",IF(Main[[#This Row],[Class]]="C",WORKDAY(Main[[#This Row],[Tech Start Date]],19),IF(Main[[#This Row],[Class]]="B", WORKDAY(Main[[#This Row],[Tech Start Date]],12),IF(Main[[#This Row],[Class]]="A",WORKDAY(Main[[#This Row],[Tech Start Date]],4),""))))</f>
        <v/>
      </c>
      <c r="O122" s="114" t="str">
        <f>IF(Main[[#This Row],[Tech Start Date]]&lt;1/1/1990,"",IF(Main[[#This Row],[Class]]="C",WORKDAY(Main[[#This Row],[Tech Start Date]],23),IF(Main[[#This Row],[Class]]="B", WORKDAY(Main[[#This Row],[Tech Start Date]],15),IF(Main[[#This Row],[Class]]="A",WORKDAY(Main[[#This Row],[Tech Start Date]],5),""))))</f>
        <v/>
      </c>
      <c r="P122" s="114" t="str">
        <f>IF(Main[[#This Row],[Tech Start Date]]&lt;1/1/1990,"",IF(Main[[#This Row],[Class]]="C",WORKDAY(Main[[#This Row],[Tech Start Date]],28),IF(Main[[#This Row],[Class]]="B", WORKDAY(Main[[#This Row],[Tech Start Date]],19),IF(Main[[#This Row],[Class]]="A",WORKDAY(Main[[#This Row],[Tech Start Date]],9),""))))</f>
        <v/>
      </c>
      <c r="Q122" s="129">
        <v>40696</v>
      </c>
      <c r="R122" s="129"/>
      <c r="S122" s="139" t="s">
        <v>6</v>
      </c>
      <c r="T122" s="115" t="s">
        <v>2032</v>
      </c>
      <c r="U122" s="139" t="s">
        <v>534</v>
      </c>
      <c r="V122" s="139" t="s">
        <v>1914</v>
      </c>
      <c r="W122" s="139" t="s">
        <v>1925</v>
      </c>
      <c r="X122" s="139" t="s">
        <v>970</v>
      </c>
      <c r="Y122" s="112" t="s">
        <v>3097</v>
      </c>
      <c r="Z122" s="112" t="s">
        <v>4</v>
      </c>
      <c r="AA122" s="139" t="s">
        <v>970</v>
      </c>
    </row>
    <row r="123" spans="1:27" ht="17.25" customHeight="1">
      <c r="A123" s="69">
        <f>IF(priority(Main[[#This Row],[Comments]])&lt;&gt;0, priority(Main[[#This Row],[Comments]]),"")</f>
        <v>39</v>
      </c>
      <c r="B123" s="63" t="s">
        <v>1958</v>
      </c>
      <c r="C123" s="148" t="s">
        <v>116</v>
      </c>
      <c r="D123" s="113" t="s">
        <v>2140</v>
      </c>
      <c r="E123" s="129">
        <v>40722.571018518516</v>
      </c>
      <c r="F123" s="129">
        <v>41379</v>
      </c>
      <c r="G123" s="69" t="str">
        <f>IF(stdProdLT(Main[[#This Row],[Comments]])=0.1,"N/A",IF(stdProdLT(Main[[#This Row],[Comments]])=0,"",stdProdLT(Main[[#This Row],[Comments]])))</f>
        <v>N/A</v>
      </c>
      <c r="H123" s="138">
        <f>IF(Main[[#This Row],[In Stock Date]]="N/A", "N/A",IF(AND(Main[[#This Row],[In Stock Date]]&lt;&gt;"",Main[[#This Row],[Revised Due Date]]&lt;&gt;"",Main[[#This Row],[In Stock Date]]&lt;&gt;""),Main[[#This Row],[In Stock Date]]-Main[[#This Row],[Revised Due Date]],""))</f>
        <v>410</v>
      </c>
      <c r="I123" s="139" t="s">
        <v>81</v>
      </c>
      <c r="J123" s="139" t="s">
        <v>21</v>
      </c>
      <c r="K123" s="139" t="s">
        <v>1927</v>
      </c>
      <c r="L123" s="129">
        <v>40767</v>
      </c>
      <c r="M123" s="114">
        <f>IF(Main[[#This Row],[Tech Start Date]]&lt;1/1/1990,"",IF(Main[[#This Row],[Class]]="C",WORKDAY(Main[[#This Row],[Tech Start Date]],9),IF(Main[[#This Row],[Class]]="B", WORKDAY(Main[[#This Row],[Tech Start Date]],6),IF(Main[[#This Row],[Class]]="A",WORKDAY(Main[[#This Row],[Tech Start Date]],2),""))))</f>
        <v>40780</v>
      </c>
      <c r="N123" s="114">
        <f>IF(Main[[#This Row],[Tech Start Date]]&lt;1/1/1990,"",IF(Main[[#This Row],[Class]]="C",WORKDAY(Main[[#This Row],[Tech Start Date]],19),IF(Main[[#This Row],[Class]]="B", WORKDAY(Main[[#This Row],[Tech Start Date]],12),IF(Main[[#This Row],[Class]]="A",WORKDAY(Main[[#This Row],[Tech Start Date]],4),""))))</f>
        <v>40794</v>
      </c>
      <c r="O123" s="114">
        <f>IF(Main[[#This Row],[Tech Start Date]]&lt;1/1/1990,"",IF(Main[[#This Row],[Class]]="C",WORKDAY(Main[[#This Row],[Tech Start Date]],23),IF(Main[[#This Row],[Class]]="B", WORKDAY(Main[[#This Row],[Tech Start Date]],15),IF(Main[[#This Row],[Class]]="A",WORKDAY(Main[[#This Row],[Tech Start Date]],5),""))))</f>
        <v>40800</v>
      </c>
      <c r="P123" s="114">
        <f>IF(Main[[#This Row],[Tech Start Date]]&lt;1/1/1990,"",IF(Main[[#This Row],[Class]]="C",WORKDAY(Main[[#This Row],[Tech Start Date]],28),IF(Main[[#This Row],[Class]]="B", WORKDAY(Main[[#This Row],[Tech Start Date]],19),IF(Main[[#This Row],[Class]]="A",WORKDAY(Main[[#This Row],[Tech Start Date]],9),""))))</f>
        <v>40807</v>
      </c>
      <c r="Q123" s="129">
        <v>41061</v>
      </c>
      <c r="R123" s="129">
        <v>40969</v>
      </c>
      <c r="S123" s="139" t="s">
        <v>11</v>
      </c>
      <c r="T123" s="115" t="s">
        <v>3789</v>
      </c>
      <c r="U123" s="139" t="s">
        <v>29</v>
      </c>
      <c r="V123" s="139" t="s">
        <v>1917</v>
      </c>
      <c r="W123" s="139" t="s">
        <v>1919</v>
      </c>
      <c r="X123" s="139" t="s">
        <v>2891</v>
      </c>
      <c r="Y123" s="112" t="s">
        <v>3102</v>
      </c>
      <c r="Z123" s="112" t="s">
        <v>81</v>
      </c>
      <c r="AA123" s="139" t="s">
        <v>2891</v>
      </c>
    </row>
    <row r="124" spans="1:27" ht="17.25" customHeight="1">
      <c r="A124" s="69">
        <f>IF(priority(Main[[#This Row],[Comments]])&lt;&gt;0, priority(Main[[#This Row],[Comments]]),"")</f>
        <v>40</v>
      </c>
      <c r="B124" s="63" t="s">
        <v>1441</v>
      </c>
      <c r="C124" s="148" t="s">
        <v>4</v>
      </c>
      <c r="D124" s="113" t="s">
        <v>531</v>
      </c>
      <c r="E124" s="129">
        <v>40358.575729166667</v>
      </c>
      <c r="F124" s="129"/>
      <c r="G124" s="69" t="str">
        <f>IF(stdProdLT(Main[[#This Row],[Comments]])=0.1,"N/A",IF(stdProdLT(Main[[#This Row],[Comments]])=0,"",stdProdLT(Main[[#This Row],[Comments]])))</f>
        <v/>
      </c>
      <c r="H124" s="138" t="str">
        <f>IF(Main[[#This Row],[In Stock Date]]="N/A", "N/A",IF(AND(Main[[#This Row],[In Stock Date]]&lt;&gt;"",Main[[#This Row],[Revised Due Date]]&lt;&gt;"",Main[[#This Row],[In Stock Date]]&lt;&gt;""),Main[[#This Row],[In Stock Date]]-Main[[#This Row],[Revised Due Date]],""))</f>
        <v/>
      </c>
      <c r="I124" s="139" t="s">
        <v>4</v>
      </c>
      <c r="J124" s="139" t="s">
        <v>21</v>
      </c>
      <c r="K124" s="139" t="s">
        <v>4</v>
      </c>
      <c r="L124" s="129"/>
      <c r="M124" s="114" t="str">
        <f>IF(Main[[#This Row],[Tech Start Date]]&lt;1/1/1990,"",IF(Main[[#This Row],[Class]]="C",WORKDAY(Main[[#This Row],[Tech Start Date]],9),IF(Main[[#This Row],[Class]]="B", WORKDAY(Main[[#This Row],[Tech Start Date]],6),IF(Main[[#This Row],[Class]]="A",WORKDAY(Main[[#This Row],[Tech Start Date]],2),""))))</f>
        <v/>
      </c>
      <c r="N124" s="114" t="str">
        <f>IF(Main[[#This Row],[Tech Start Date]]&lt;1/1/1990,"",IF(Main[[#This Row],[Class]]="C",WORKDAY(Main[[#This Row],[Tech Start Date]],19),IF(Main[[#This Row],[Class]]="B", WORKDAY(Main[[#This Row],[Tech Start Date]],12),IF(Main[[#This Row],[Class]]="A",WORKDAY(Main[[#This Row],[Tech Start Date]],4),""))))</f>
        <v/>
      </c>
      <c r="O124" s="114" t="str">
        <f>IF(Main[[#This Row],[Tech Start Date]]&lt;1/1/1990,"",IF(Main[[#This Row],[Class]]="C",WORKDAY(Main[[#This Row],[Tech Start Date]],23),IF(Main[[#This Row],[Class]]="B", WORKDAY(Main[[#This Row],[Tech Start Date]],15),IF(Main[[#This Row],[Class]]="A",WORKDAY(Main[[#This Row],[Tech Start Date]],5),""))))</f>
        <v/>
      </c>
      <c r="P124" s="114" t="str">
        <f>IF(Main[[#This Row],[Tech Start Date]]&lt;1/1/1990,"",IF(Main[[#This Row],[Class]]="C",WORKDAY(Main[[#This Row],[Tech Start Date]],28),IF(Main[[#This Row],[Class]]="B", WORKDAY(Main[[#This Row],[Tech Start Date]],19),IF(Main[[#This Row],[Class]]="A",WORKDAY(Main[[#This Row],[Tech Start Date]],9),""))))</f>
        <v/>
      </c>
      <c r="Q124" s="129">
        <v>40389</v>
      </c>
      <c r="R124" s="129"/>
      <c r="S124" s="139" t="s">
        <v>6</v>
      </c>
      <c r="T124" s="115" t="s">
        <v>2033</v>
      </c>
      <c r="U124" s="139" t="s">
        <v>7</v>
      </c>
      <c r="V124" s="139" t="s">
        <v>1914</v>
      </c>
      <c r="W124" s="139" t="s">
        <v>1918</v>
      </c>
      <c r="X124" s="139" t="s">
        <v>2819</v>
      </c>
      <c r="Y124" s="112" t="s">
        <v>2932</v>
      </c>
      <c r="Z124" s="112" t="s">
        <v>129</v>
      </c>
      <c r="AA124" s="139" t="s">
        <v>2819</v>
      </c>
    </row>
    <row r="125" spans="1:27" ht="17.25" customHeight="1">
      <c r="A125" s="69">
        <f>IF(priority(Main[[#This Row],[Comments]])&lt;&gt;0, priority(Main[[#This Row],[Comments]]),"")</f>
        <v>40</v>
      </c>
      <c r="B125" s="63" t="s">
        <v>1959</v>
      </c>
      <c r="C125" s="148" t="s">
        <v>116</v>
      </c>
      <c r="D125" s="113" t="s">
        <v>2141</v>
      </c>
      <c r="E125" s="129">
        <v>40722.572418981479</v>
      </c>
      <c r="F125" s="129">
        <v>41379</v>
      </c>
      <c r="G125" s="69" t="str">
        <f>IF(stdProdLT(Main[[#This Row],[Comments]])=0.1,"N/A",IF(stdProdLT(Main[[#This Row],[Comments]])=0,"",stdProdLT(Main[[#This Row],[Comments]])))</f>
        <v>N/A</v>
      </c>
      <c r="H125" s="138">
        <f>IF(Main[[#This Row],[In Stock Date]]="N/A", "N/A",IF(AND(Main[[#This Row],[In Stock Date]]&lt;&gt;"",Main[[#This Row],[Revised Due Date]]&lt;&gt;"",Main[[#This Row],[In Stock Date]]&lt;&gt;""),Main[[#This Row],[In Stock Date]]-Main[[#This Row],[Revised Due Date]],""))</f>
        <v>410</v>
      </c>
      <c r="I125" s="139" t="s">
        <v>81</v>
      </c>
      <c r="J125" s="139" t="s">
        <v>21</v>
      </c>
      <c r="K125" s="139" t="s">
        <v>1927</v>
      </c>
      <c r="L125" s="129">
        <v>40767</v>
      </c>
      <c r="M125" s="114">
        <f>IF(Main[[#This Row],[Tech Start Date]]&lt;1/1/1990,"",IF(Main[[#This Row],[Class]]="C",WORKDAY(Main[[#This Row],[Tech Start Date]],9),IF(Main[[#This Row],[Class]]="B", WORKDAY(Main[[#This Row],[Tech Start Date]],6),IF(Main[[#This Row],[Class]]="A",WORKDAY(Main[[#This Row],[Tech Start Date]],2),""))))</f>
        <v>40780</v>
      </c>
      <c r="N125" s="114">
        <f>IF(Main[[#This Row],[Tech Start Date]]&lt;1/1/1990,"",IF(Main[[#This Row],[Class]]="C",WORKDAY(Main[[#This Row],[Tech Start Date]],19),IF(Main[[#This Row],[Class]]="B", WORKDAY(Main[[#This Row],[Tech Start Date]],12),IF(Main[[#This Row],[Class]]="A",WORKDAY(Main[[#This Row],[Tech Start Date]],4),""))))</f>
        <v>40794</v>
      </c>
      <c r="O125" s="114">
        <f>IF(Main[[#This Row],[Tech Start Date]]&lt;1/1/1990,"",IF(Main[[#This Row],[Class]]="C",WORKDAY(Main[[#This Row],[Tech Start Date]],23),IF(Main[[#This Row],[Class]]="B", WORKDAY(Main[[#This Row],[Tech Start Date]],15),IF(Main[[#This Row],[Class]]="A",WORKDAY(Main[[#This Row],[Tech Start Date]],5),""))))</f>
        <v>40800</v>
      </c>
      <c r="P125" s="114">
        <f>IF(Main[[#This Row],[Tech Start Date]]&lt;1/1/1990,"",IF(Main[[#This Row],[Class]]="C",WORKDAY(Main[[#This Row],[Tech Start Date]],28),IF(Main[[#This Row],[Class]]="B", WORKDAY(Main[[#This Row],[Tech Start Date]],19),IF(Main[[#This Row],[Class]]="A",WORKDAY(Main[[#This Row],[Tech Start Date]],9),""))))</f>
        <v>40807</v>
      </c>
      <c r="Q125" s="129">
        <v>41061</v>
      </c>
      <c r="R125" s="129">
        <v>40969</v>
      </c>
      <c r="S125" s="139" t="s">
        <v>11</v>
      </c>
      <c r="T125" s="115" t="s">
        <v>3787</v>
      </c>
      <c r="U125" s="139" t="s">
        <v>29</v>
      </c>
      <c r="V125" s="139" t="s">
        <v>1917</v>
      </c>
      <c r="W125" s="139" t="s">
        <v>1919</v>
      </c>
      <c r="X125" s="139" t="s">
        <v>2891</v>
      </c>
      <c r="Y125" s="112" t="s">
        <v>3102</v>
      </c>
      <c r="Z125" s="112" t="s">
        <v>81</v>
      </c>
      <c r="AA125" s="139" t="s">
        <v>2891</v>
      </c>
    </row>
    <row r="126" spans="1:27" ht="17.25" customHeight="1">
      <c r="A126" s="69">
        <f>IF(priority(Main[[#This Row],[Comments]])&lt;&gt;0, priority(Main[[#This Row],[Comments]]),"")</f>
        <v>41</v>
      </c>
      <c r="B126" s="63" t="s">
        <v>1998</v>
      </c>
      <c r="C126" s="148" t="s">
        <v>4</v>
      </c>
      <c r="D126" s="113" t="s">
        <v>1999</v>
      </c>
      <c r="E126" s="129">
        <v>40738.567210648151</v>
      </c>
      <c r="F126" s="129"/>
      <c r="G126" s="69" t="str">
        <f>IF(stdProdLT(Main[[#This Row],[Comments]])=0.1,"N/A",IF(stdProdLT(Main[[#This Row],[Comments]])=0,"",stdProdLT(Main[[#This Row],[Comments]])))</f>
        <v/>
      </c>
      <c r="H126" s="138" t="str">
        <f>IF(Main[[#This Row],[In Stock Date]]="N/A", "N/A",IF(AND(Main[[#This Row],[In Stock Date]]&lt;&gt;"",Main[[#This Row],[Revised Due Date]]&lt;&gt;"",Main[[#This Row],[In Stock Date]]&lt;&gt;""),Main[[#This Row],[In Stock Date]]-Main[[#This Row],[Revised Due Date]],""))</f>
        <v/>
      </c>
      <c r="I126" s="139" t="s">
        <v>912</v>
      </c>
      <c r="J126" s="139" t="s">
        <v>52</v>
      </c>
      <c r="K126" s="139" t="s">
        <v>4</v>
      </c>
      <c r="L126" s="129"/>
      <c r="M126" s="114" t="str">
        <f>IF(Main[[#This Row],[Tech Start Date]]&lt;1/1/1990,"",IF(Main[[#This Row],[Class]]="C",WORKDAY(Main[[#This Row],[Tech Start Date]],9),IF(Main[[#This Row],[Class]]="B", WORKDAY(Main[[#This Row],[Tech Start Date]],6),IF(Main[[#This Row],[Class]]="A",WORKDAY(Main[[#This Row],[Tech Start Date]],2),""))))</f>
        <v/>
      </c>
      <c r="N126" s="114" t="str">
        <f>IF(Main[[#This Row],[Tech Start Date]]&lt;1/1/1990,"",IF(Main[[#This Row],[Class]]="C",WORKDAY(Main[[#This Row],[Tech Start Date]],19),IF(Main[[#This Row],[Class]]="B", WORKDAY(Main[[#This Row],[Tech Start Date]],12),IF(Main[[#This Row],[Class]]="A",WORKDAY(Main[[#This Row],[Tech Start Date]],4),""))))</f>
        <v/>
      </c>
      <c r="O126" s="114" t="str">
        <f>IF(Main[[#This Row],[Tech Start Date]]&lt;1/1/1990,"",IF(Main[[#This Row],[Class]]="C",WORKDAY(Main[[#This Row],[Tech Start Date]],23),IF(Main[[#This Row],[Class]]="B", WORKDAY(Main[[#This Row],[Tech Start Date]],15),IF(Main[[#This Row],[Class]]="A",WORKDAY(Main[[#This Row],[Tech Start Date]],5),""))))</f>
        <v/>
      </c>
      <c r="P126" s="114" t="str">
        <f>IF(Main[[#This Row],[Tech Start Date]]&lt;1/1/1990,"",IF(Main[[#This Row],[Class]]="C",WORKDAY(Main[[#This Row],[Tech Start Date]],28),IF(Main[[#This Row],[Class]]="B", WORKDAY(Main[[#This Row],[Tech Start Date]],19),IF(Main[[#This Row],[Class]]="A",WORKDAY(Main[[#This Row],[Tech Start Date]],9),""))))</f>
        <v/>
      </c>
      <c r="Q126" s="129">
        <v>40749</v>
      </c>
      <c r="R126" s="129"/>
      <c r="S126" s="139" t="s">
        <v>6</v>
      </c>
      <c r="T126" s="115" t="s">
        <v>2035</v>
      </c>
      <c r="U126" s="139" t="s">
        <v>29</v>
      </c>
      <c r="V126" s="139" t="s">
        <v>1914</v>
      </c>
      <c r="W126" s="139" t="s">
        <v>1920</v>
      </c>
      <c r="X126" s="139" t="s">
        <v>912</v>
      </c>
      <c r="Y126" s="112" t="s">
        <v>3049</v>
      </c>
      <c r="Z126" s="112" t="s">
        <v>129</v>
      </c>
      <c r="AA126" s="139" t="s">
        <v>2852</v>
      </c>
    </row>
    <row r="127" spans="1:27" ht="17.25" customHeight="1">
      <c r="A127" s="69">
        <f>IF(priority(Main[[#This Row],[Comments]])&lt;&gt;0, priority(Main[[#This Row],[Comments]]),"")</f>
        <v>41</v>
      </c>
      <c r="B127" s="63" t="s">
        <v>1957</v>
      </c>
      <c r="C127" s="148" t="s">
        <v>116</v>
      </c>
      <c r="D127" s="113" t="s">
        <v>2612</v>
      </c>
      <c r="E127" s="129">
        <v>40722.573182870372</v>
      </c>
      <c r="F127" s="129">
        <v>41379</v>
      </c>
      <c r="G127" s="69" t="str">
        <f>IF(stdProdLT(Main[[#This Row],[Comments]])=0.1,"N/A",IF(stdProdLT(Main[[#This Row],[Comments]])=0,"",stdProdLT(Main[[#This Row],[Comments]])))</f>
        <v>N/A</v>
      </c>
      <c r="H127" s="138">
        <f>IF(Main[[#This Row],[In Stock Date]]="N/A", "N/A",IF(AND(Main[[#This Row],[In Stock Date]]&lt;&gt;"",Main[[#This Row],[Revised Due Date]]&lt;&gt;"",Main[[#This Row],[In Stock Date]]&lt;&gt;""),Main[[#This Row],[In Stock Date]]-Main[[#This Row],[Revised Due Date]],""))</f>
        <v>410</v>
      </c>
      <c r="I127" s="139" t="s">
        <v>81</v>
      </c>
      <c r="J127" s="139" t="s">
        <v>21</v>
      </c>
      <c r="K127" s="140" t="s">
        <v>1927</v>
      </c>
      <c r="L127" s="129">
        <v>40767</v>
      </c>
      <c r="M127" s="114">
        <f>IF(Main[[#This Row],[Tech Start Date]]&lt;1/1/1990,"",IF(Main[[#This Row],[Class]]="C",WORKDAY(Main[[#This Row],[Tech Start Date]],9),IF(Main[[#This Row],[Class]]="B", WORKDAY(Main[[#This Row],[Tech Start Date]],6),IF(Main[[#This Row],[Class]]="A",WORKDAY(Main[[#This Row],[Tech Start Date]],2),""))))</f>
        <v>40780</v>
      </c>
      <c r="N127" s="114">
        <f>IF(Main[[#This Row],[Tech Start Date]]&lt;1/1/1990,"",IF(Main[[#This Row],[Class]]="C",WORKDAY(Main[[#This Row],[Tech Start Date]],19),IF(Main[[#This Row],[Class]]="B", WORKDAY(Main[[#This Row],[Tech Start Date]],12),IF(Main[[#This Row],[Class]]="A",WORKDAY(Main[[#This Row],[Tech Start Date]],4),""))))</f>
        <v>40794</v>
      </c>
      <c r="O127" s="114">
        <f>IF(Main[[#This Row],[Tech Start Date]]&lt;1/1/1990,"",IF(Main[[#This Row],[Class]]="C",WORKDAY(Main[[#This Row],[Tech Start Date]],23),IF(Main[[#This Row],[Class]]="B", WORKDAY(Main[[#This Row],[Tech Start Date]],15),IF(Main[[#This Row],[Class]]="A",WORKDAY(Main[[#This Row],[Tech Start Date]],5),""))))</f>
        <v>40800</v>
      </c>
      <c r="P127" s="114">
        <f>IF(Main[[#This Row],[Tech Start Date]]&lt;1/1/1990,"",IF(Main[[#This Row],[Class]]="C",WORKDAY(Main[[#This Row],[Tech Start Date]],28),IF(Main[[#This Row],[Class]]="B", WORKDAY(Main[[#This Row],[Tech Start Date]],19),IF(Main[[#This Row],[Class]]="A",WORKDAY(Main[[#This Row],[Tech Start Date]],9),""))))</f>
        <v>40807</v>
      </c>
      <c r="Q127" s="129">
        <v>41061</v>
      </c>
      <c r="R127" s="129">
        <v>40969</v>
      </c>
      <c r="S127" s="139" t="s">
        <v>11</v>
      </c>
      <c r="T127" s="115" t="s">
        <v>3788</v>
      </c>
      <c r="U127" s="139" t="s">
        <v>29</v>
      </c>
      <c r="V127" s="139" t="s">
        <v>1917</v>
      </c>
      <c r="W127" s="139" t="s">
        <v>1919</v>
      </c>
      <c r="X127" s="139" t="s">
        <v>2891</v>
      </c>
      <c r="Y127" s="112" t="s">
        <v>3102</v>
      </c>
      <c r="Z127" s="112" t="s">
        <v>81</v>
      </c>
      <c r="AA127" s="139" t="s">
        <v>2891</v>
      </c>
    </row>
    <row r="128" spans="1:27" ht="17.25" customHeight="1">
      <c r="A128" s="69">
        <f>IF(priority(Main[[#This Row],[Comments]])&lt;&gt;0, priority(Main[[#This Row],[Comments]]),"")</f>
        <v>42</v>
      </c>
      <c r="B128" s="63" t="s">
        <v>3226</v>
      </c>
      <c r="C128" s="148" t="s">
        <v>3207</v>
      </c>
      <c r="D128" s="113" t="s">
        <v>3196</v>
      </c>
      <c r="E128" s="129"/>
      <c r="F128" s="129">
        <v>41153</v>
      </c>
      <c r="G128" s="69">
        <f>IF(stdProdLT(Main[[#This Row],[Comments]])=0.1,"N/A",IF(stdProdLT(Main[[#This Row],[Comments]])=0,"",stdProdLT(Main[[#This Row],[Comments]])))</f>
        <v>140</v>
      </c>
      <c r="H128" s="138" t="str">
        <f>IF(Main[[#This Row],[In Stock Date]]="N/A", "N/A",IF(AND(Main[[#This Row],[In Stock Date]]&lt;&gt;"",Main[[#This Row],[Revised Due Date]]&lt;&gt;"",Main[[#This Row],[In Stock Date]]&lt;&gt;""),Main[[#This Row],[In Stock Date]]-Main[[#This Row],[Revised Due Date]],""))</f>
        <v/>
      </c>
      <c r="I128" s="139" t="s">
        <v>4</v>
      </c>
      <c r="J128" s="139" t="s">
        <v>4</v>
      </c>
      <c r="K128" s="140" t="s">
        <v>4</v>
      </c>
      <c r="L128" s="129"/>
      <c r="M128" s="114" t="str">
        <f>IF(Main[[#This Row],[Tech Start Date]]&lt;1/1/1990,"",IF(Main[[#This Row],[Class]]="C",WORKDAY(Main[[#This Row],[Tech Start Date]],9),IF(Main[[#This Row],[Class]]="B", WORKDAY(Main[[#This Row],[Tech Start Date]],6),IF(Main[[#This Row],[Class]]="A",WORKDAY(Main[[#This Row],[Tech Start Date]],2),""))))</f>
        <v/>
      </c>
      <c r="N128" s="114" t="str">
        <f>IF(Main[[#This Row],[Tech Start Date]]&lt;1/1/1990,"",IF(Main[[#This Row],[Class]]="C",WORKDAY(Main[[#This Row],[Tech Start Date]],19),IF(Main[[#This Row],[Class]]="B", WORKDAY(Main[[#This Row],[Tech Start Date]],12),IF(Main[[#This Row],[Class]]="A",WORKDAY(Main[[#This Row],[Tech Start Date]],4),""))))</f>
        <v/>
      </c>
      <c r="O128" s="114" t="str">
        <f>IF(Main[[#This Row],[Tech Start Date]]&lt;1/1/1990,"",IF(Main[[#This Row],[Class]]="C",WORKDAY(Main[[#This Row],[Tech Start Date]],23),IF(Main[[#This Row],[Class]]="B", WORKDAY(Main[[#This Row],[Tech Start Date]],15),IF(Main[[#This Row],[Class]]="A",WORKDAY(Main[[#This Row],[Tech Start Date]],5),""))))</f>
        <v/>
      </c>
      <c r="P128" s="114" t="str">
        <f>IF(Main[[#This Row],[Tech Start Date]]&lt;1/1/1990,"",IF(Main[[#This Row],[Class]]="C",WORKDAY(Main[[#This Row],[Tech Start Date]],28),IF(Main[[#This Row],[Class]]="B", WORKDAY(Main[[#This Row],[Tech Start Date]],19),IF(Main[[#This Row],[Class]]="A",WORKDAY(Main[[#This Row],[Tech Start Date]],9),""))))</f>
        <v/>
      </c>
      <c r="Q128" s="129">
        <v>40982</v>
      </c>
      <c r="R128" s="129"/>
      <c r="S128" s="139" t="s">
        <v>11</v>
      </c>
      <c r="T128" s="115" t="s">
        <v>3208</v>
      </c>
      <c r="U128" s="139" t="s">
        <v>12</v>
      </c>
      <c r="V128" s="139" t="s">
        <v>1924</v>
      </c>
      <c r="W128" s="139" t="s">
        <v>1920</v>
      </c>
      <c r="X128" s="139" t="s">
        <v>2848</v>
      </c>
      <c r="Y128" s="112" t="s">
        <v>4</v>
      </c>
      <c r="Z128" s="112" t="s">
        <v>4</v>
      </c>
      <c r="AA128" s="139" t="s">
        <v>2846</v>
      </c>
    </row>
    <row r="129" spans="1:27" ht="17.25" customHeight="1">
      <c r="A129" s="69">
        <f>IF(priority(Main[[#This Row],[Comments]])&lt;&gt;0, priority(Main[[#This Row],[Comments]]),"")</f>
        <v>42</v>
      </c>
      <c r="B129" s="63" t="s">
        <v>1889</v>
      </c>
      <c r="C129" s="148" t="s">
        <v>116</v>
      </c>
      <c r="D129" s="113" t="s">
        <v>2133</v>
      </c>
      <c r="E129" s="129">
        <v>40606.548784722225</v>
      </c>
      <c r="F129" s="129">
        <v>41258</v>
      </c>
      <c r="G129" s="69">
        <f>IF(stdProdLT(Main[[#This Row],[Comments]])=0.1,"N/A",IF(stdProdLT(Main[[#This Row],[Comments]])=0,"",stdProdLT(Main[[#This Row],[Comments]])))</f>
        <v>154</v>
      </c>
      <c r="H129" s="138">
        <f>IF(Main[[#This Row],[In Stock Date]]="N/A", "N/A",IF(AND(Main[[#This Row],[In Stock Date]]&lt;&gt;"",Main[[#This Row],[Revised Due Date]]&lt;&gt;"",Main[[#This Row],[In Stock Date]]&lt;&gt;""),Main[[#This Row],[In Stock Date]]-Main[[#This Row],[Revised Due Date]],""))</f>
        <v>289</v>
      </c>
      <c r="I129" s="139" t="s">
        <v>415</v>
      </c>
      <c r="J129" s="139" t="s">
        <v>2605</v>
      </c>
      <c r="K129" s="139" t="s">
        <v>1927</v>
      </c>
      <c r="L129" s="129">
        <v>40623</v>
      </c>
      <c r="M129" s="114">
        <f>IF(Main[[#This Row],[Tech Start Date]]&lt;1/1/1990,"",IF(Main[[#This Row],[Class]]="C",WORKDAY(Main[[#This Row],[Tech Start Date]],9),IF(Main[[#This Row],[Class]]="B", WORKDAY(Main[[#This Row],[Tech Start Date]],6),IF(Main[[#This Row],[Class]]="A",WORKDAY(Main[[#This Row],[Tech Start Date]],2),""))))</f>
        <v>40634</v>
      </c>
      <c r="N129" s="114">
        <f>IF(Main[[#This Row],[Tech Start Date]]&lt;1/1/1990,"",IF(Main[[#This Row],[Class]]="C",WORKDAY(Main[[#This Row],[Tech Start Date]],19),IF(Main[[#This Row],[Class]]="B", WORKDAY(Main[[#This Row],[Tech Start Date]],12),IF(Main[[#This Row],[Class]]="A",WORKDAY(Main[[#This Row],[Tech Start Date]],4),""))))</f>
        <v>40648</v>
      </c>
      <c r="O129" s="114">
        <f>IF(Main[[#This Row],[Tech Start Date]]&lt;1/1/1990,"",IF(Main[[#This Row],[Class]]="C",WORKDAY(Main[[#This Row],[Tech Start Date]],23),IF(Main[[#This Row],[Class]]="B", WORKDAY(Main[[#This Row],[Tech Start Date]],15),IF(Main[[#This Row],[Class]]="A",WORKDAY(Main[[#This Row],[Tech Start Date]],5),""))))</f>
        <v>40654</v>
      </c>
      <c r="P129" s="114">
        <f>IF(Main[[#This Row],[Tech Start Date]]&lt;1/1/1990,"",IF(Main[[#This Row],[Class]]="C",WORKDAY(Main[[#This Row],[Tech Start Date]],28),IF(Main[[#This Row],[Class]]="B", WORKDAY(Main[[#This Row],[Tech Start Date]],19),IF(Main[[#This Row],[Class]]="A",WORKDAY(Main[[#This Row],[Tech Start Date]],9),""))))</f>
        <v>40661</v>
      </c>
      <c r="Q129" s="129">
        <v>41082</v>
      </c>
      <c r="R129" s="129">
        <v>40969</v>
      </c>
      <c r="S129" s="139" t="s">
        <v>11</v>
      </c>
      <c r="T129" s="115" t="s">
        <v>3782</v>
      </c>
      <c r="U129" s="139" t="s">
        <v>29</v>
      </c>
      <c r="V129" s="139" t="s">
        <v>1917</v>
      </c>
      <c r="W129" s="139" t="s">
        <v>1919</v>
      </c>
      <c r="X129" s="139" t="s">
        <v>2844</v>
      </c>
      <c r="Y129" s="112" t="s">
        <v>2977</v>
      </c>
      <c r="Z129" s="112" t="s">
        <v>894</v>
      </c>
      <c r="AA129" s="139" t="s">
        <v>2844</v>
      </c>
    </row>
    <row r="130" spans="1:27" ht="17.25" customHeight="1">
      <c r="A130" s="69">
        <f>IF(priority(Main[[#This Row],[Comments]])&lt;&gt;0, priority(Main[[#This Row],[Comments]]),"")</f>
        <v>42</v>
      </c>
      <c r="B130" s="63" t="s">
        <v>1886</v>
      </c>
      <c r="C130" s="148" t="s">
        <v>116</v>
      </c>
      <c r="D130" s="113" t="s">
        <v>2317</v>
      </c>
      <c r="E130" s="129">
        <v>40641.274907407409</v>
      </c>
      <c r="F130" s="129">
        <v>40714</v>
      </c>
      <c r="G130" s="69" t="str">
        <f>IF(stdProdLT(Main[[#This Row],[Comments]])=0.1,"N/A",IF(stdProdLT(Main[[#This Row],[Comments]])=0,"",stdProdLT(Main[[#This Row],[Comments]])))</f>
        <v/>
      </c>
      <c r="H130" s="138">
        <f>IF(Main[[#This Row],[In Stock Date]]="N/A", "N/A",IF(AND(Main[[#This Row],[In Stock Date]]&lt;&gt;"",Main[[#This Row],[Revised Due Date]]&lt;&gt;"",Main[[#This Row],[In Stock Date]]&lt;&gt;""),Main[[#This Row],[In Stock Date]]-Main[[#This Row],[Revised Due Date]],""))</f>
        <v>0</v>
      </c>
      <c r="I130" s="139" t="s">
        <v>912</v>
      </c>
      <c r="J130" s="139" t="s">
        <v>21</v>
      </c>
      <c r="K130" s="140" t="s">
        <v>1927</v>
      </c>
      <c r="L130" s="129">
        <v>40679</v>
      </c>
      <c r="M130" s="114">
        <f>IF(Main[[#This Row],[Tech Start Date]]&lt;1/1/1990,"",IF(Main[[#This Row],[Class]]="C",WORKDAY(Main[[#This Row],[Tech Start Date]],9),IF(Main[[#This Row],[Class]]="B", WORKDAY(Main[[#This Row],[Tech Start Date]],6),IF(Main[[#This Row],[Class]]="A",WORKDAY(Main[[#This Row],[Tech Start Date]],2),""))))</f>
        <v>40690</v>
      </c>
      <c r="N130" s="114">
        <f>IF(Main[[#This Row],[Tech Start Date]]&lt;1/1/1990,"",IF(Main[[#This Row],[Class]]="C",WORKDAY(Main[[#This Row],[Tech Start Date]],19),IF(Main[[#This Row],[Class]]="B", WORKDAY(Main[[#This Row],[Tech Start Date]],12),IF(Main[[#This Row],[Class]]="A",WORKDAY(Main[[#This Row],[Tech Start Date]],4),""))))</f>
        <v>40704</v>
      </c>
      <c r="O130" s="114">
        <f>IF(Main[[#This Row],[Tech Start Date]]&lt;1/1/1990,"",IF(Main[[#This Row],[Class]]="C",WORKDAY(Main[[#This Row],[Tech Start Date]],23),IF(Main[[#This Row],[Class]]="B", WORKDAY(Main[[#This Row],[Tech Start Date]],15),IF(Main[[#This Row],[Class]]="A",WORKDAY(Main[[#This Row],[Tech Start Date]],5),""))))</f>
        <v>40710</v>
      </c>
      <c r="P130" s="114">
        <f>IF(Main[[#This Row],[Tech Start Date]]&lt;1/1/1990,"",IF(Main[[#This Row],[Class]]="C",WORKDAY(Main[[#This Row],[Tech Start Date]],28),IF(Main[[#This Row],[Class]]="B", WORKDAY(Main[[#This Row],[Tech Start Date]],19),IF(Main[[#This Row],[Class]]="A",WORKDAY(Main[[#This Row],[Tech Start Date]],9),""))))</f>
        <v>40717</v>
      </c>
      <c r="Q130" s="129">
        <v>40714</v>
      </c>
      <c r="R130" s="129">
        <v>40714</v>
      </c>
      <c r="S130" s="139" t="s">
        <v>6</v>
      </c>
      <c r="T130" s="115" t="s">
        <v>2036</v>
      </c>
      <c r="U130" s="139" t="s">
        <v>29</v>
      </c>
      <c r="V130" s="139" t="s">
        <v>1914</v>
      </c>
      <c r="W130" s="139" t="s">
        <v>1916</v>
      </c>
      <c r="X130" s="139" t="s">
        <v>126</v>
      </c>
      <c r="Y130" s="112" t="s">
        <v>3033</v>
      </c>
      <c r="Z130" s="112" t="s">
        <v>129</v>
      </c>
      <c r="AA130" s="139" t="s">
        <v>126</v>
      </c>
    </row>
    <row r="131" spans="1:27" ht="17.25" customHeight="1">
      <c r="A131" s="69">
        <f>IF(priority(Main[[#This Row],[Comments]])&lt;&gt;0, priority(Main[[#This Row],[Comments]]),"")</f>
        <v>42</v>
      </c>
      <c r="B131" s="63" t="s">
        <v>3195</v>
      </c>
      <c r="C131" s="148" t="s">
        <v>3207</v>
      </c>
      <c r="D131" s="113" t="s">
        <v>3196</v>
      </c>
      <c r="E131" s="129"/>
      <c r="F131" s="129">
        <v>41153</v>
      </c>
      <c r="G131" s="69">
        <f>IF(stdProdLT(Main[[#This Row],[Comments]])=0.1,"N/A",IF(stdProdLT(Main[[#This Row],[Comments]])=0,"",stdProdLT(Main[[#This Row],[Comments]])))</f>
        <v>140</v>
      </c>
      <c r="H131" s="138">
        <f>IF(Main[[#This Row],[In Stock Date]]="N/A", "N/A",IF(AND(Main[[#This Row],[In Stock Date]]&lt;&gt;"",Main[[#This Row],[Revised Due Date]]&lt;&gt;"",Main[[#This Row],[In Stock Date]]&lt;&gt;""),Main[[#This Row],[In Stock Date]]-Main[[#This Row],[Revised Due Date]],""))</f>
        <v>194</v>
      </c>
      <c r="I131" s="139" t="s">
        <v>69</v>
      </c>
      <c r="J131" s="139" t="s">
        <v>70</v>
      </c>
      <c r="K131" s="139" t="s">
        <v>1921</v>
      </c>
      <c r="L131" s="129">
        <v>40925</v>
      </c>
      <c r="M131" s="114">
        <f>IF(Main[[#This Row],[Tech Start Date]]&lt;1/1/1990,"",IF(Main[[#This Row],[Class]]="C",WORKDAY(Main[[#This Row],[Tech Start Date]],9),IF(Main[[#This Row],[Class]]="B", WORKDAY(Main[[#This Row],[Tech Start Date]],6),IF(Main[[#This Row],[Class]]="A",WORKDAY(Main[[#This Row],[Tech Start Date]],2),""))))</f>
        <v>40933</v>
      </c>
      <c r="N131" s="114">
        <f>IF(Main[[#This Row],[Tech Start Date]]&lt;1/1/1990,"",IF(Main[[#This Row],[Class]]="C",WORKDAY(Main[[#This Row],[Tech Start Date]],19),IF(Main[[#This Row],[Class]]="B", WORKDAY(Main[[#This Row],[Tech Start Date]],12),IF(Main[[#This Row],[Class]]="A",WORKDAY(Main[[#This Row],[Tech Start Date]],4),""))))</f>
        <v>40941</v>
      </c>
      <c r="O131" s="114">
        <f>IF(Main[[#This Row],[Tech Start Date]]&lt;1/1/1990,"",IF(Main[[#This Row],[Class]]="C",WORKDAY(Main[[#This Row],[Tech Start Date]],23),IF(Main[[#This Row],[Class]]="B", WORKDAY(Main[[#This Row],[Tech Start Date]],15),IF(Main[[#This Row],[Class]]="A",WORKDAY(Main[[#This Row],[Tech Start Date]],5),""))))</f>
        <v>40946</v>
      </c>
      <c r="P131" s="114">
        <f>IF(Main[[#This Row],[Tech Start Date]]&lt;1/1/1990,"",IF(Main[[#This Row],[Class]]="C",WORKDAY(Main[[#This Row],[Tech Start Date]],28),IF(Main[[#This Row],[Class]]="B", WORKDAY(Main[[#This Row],[Tech Start Date]],19),IF(Main[[#This Row],[Class]]="A",WORKDAY(Main[[#This Row],[Tech Start Date]],9),""))))</f>
        <v>40952</v>
      </c>
      <c r="Q131" s="129">
        <v>40959</v>
      </c>
      <c r="R131" s="129">
        <v>40959</v>
      </c>
      <c r="S131" s="139" t="s">
        <v>11</v>
      </c>
      <c r="T131" s="115" t="s">
        <v>3234</v>
      </c>
      <c r="U131" s="139" t="s">
        <v>14</v>
      </c>
      <c r="V131" s="139" t="s">
        <v>1924</v>
      </c>
      <c r="W131" s="139" t="s">
        <v>1920</v>
      </c>
      <c r="X131" s="139" t="s">
        <v>2846</v>
      </c>
      <c r="Y131" s="112" t="s">
        <v>4</v>
      </c>
      <c r="Z131" s="112" t="s">
        <v>530</v>
      </c>
      <c r="AA131" s="139" t="s">
        <v>2846</v>
      </c>
    </row>
    <row r="132" spans="1:27" ht="17.25" customHeight="1">
      <c r="A132" s="69">
        <f>IF(priority(Main[[#This Row],[Comments]])&lt;&gt;0, priority(Main[[#This Row],[Comments]]),"")</f>
        <v>43</v>
      </c>
      <c r="B132" s="63" t="s">
        <v>1887</v>
      </c>
      <c r="C132" s="148" t="s">
        <v>116</v>
      </c>
      <c r="D132" s="113" t="s">
        <v>2318</v>
      </c>
      <c r="E132" s="129">
        <v>40668.56144675926</v>
      </c>
      <c r="F132" s="129">
        <v>40714</v>
      </c>
      <c r="G132" s="69" t="str">
        <f>IF(stdProdLT(Main[[#This Row],[Comments]])=0.1,"N/A",IF(stdProdLT(Main[[#This Row],[Comments]])=0,"",stdProdLT(Main[[#This Row],[Comments]])))</f>
        <v/>
      </c>
      <c r="H132" s="138">
        <f>IF(Main[[#This Row],[In Stock Date]]="N/A", "N/A",IF(AND(Main[[#This Row],[In Stock Date]]&lt;&gt;"",Main[[#This Row],[Revised Due Date]]&lt;&gt;"",Main[[#This Row],[In Stock Date]]&lt;&gt;""),Main[[#This Row],[In Stock Date]]-Main[[#This Row],[Revised Due Date]],""))</f>
        <v>0</v>
      </c>
      <c r="I132" s="139" t="s">
        <v>912</v>
      </c>
      <c r="J132" s="139" t="s">
        <v>21</v>
      </c>
      <c r="K132" s="140" t="s">
        <v>1927</v>
      </c>
      <c r="L132" s="129">
        <v>40679</v>
      </c>
      <c r="M132" s="114">
        <f>IF(Main[[#This Row],[Tech Start Date]]&lt;1/1/1990,"",IF(Main[[#This Row],[Class]]="C",WORKDAY(Main[[#This Row],[Tech Start Date]],9),IF(Main[[#This Row],[Class]]="B", WORKDAY(Main[[#This Row],[Tech Start Date]],6),IF(Main[[#This Row],[Class]]="A",WORKDAY(Main[[#This Row],[Tech Start Date]],2),""))))</f>
        <v>40690</v>
      </c>
      <c r="N132" s="114">
        <f>IF(Main[[#This Row],[Tech Start Date]]&lt;1/1/1990,"",IF(Main[[#This Row],[Class]]="C",WORKDAY(Main[[#This Row],[Tech Start Date]],19),IF(Main[[#This Row],[Class]]="B", WORKDAY(Main[[#This Row],[Tech Start Date]],12),IF(Main[[#This Row],[Class]]="A",WORKDAY(Main[[#This Row],[Tech Start Date]],4),""))))</f>
        <v>40704</v>
      </c>
      <c r="O132" s="114">
        <f>IF(Main[[#This Row],[Tech Start Date]]&lt;1/1/1990,"",IF(Main[[#This Row],[Class]]="C",WORKDAY(Main[[#This Row],[Tech Start Date]],23),IF(Main[[#This Row],[Class]]="B", WORKDAY(Main[[#This Row],[Tech Start Date]],15),IF(Main[[#This Row],[Class]]="A",WORKDAY(Main[[#This Row],[Tech Start Date]],5),""))))</f>
        <v>40710</v>
      </c>
      <c r="P132" s="114">
        <f>IF(Main[[#This Row],[Tech Start Date]]&lt;1/1/1990,"",IF(Main[[#This Row],[Class]]="C",WORKDAY(Main[[#This Row],[Tech Start Date]],28),IF(Main[[#This Row],[Class]]="B", WORKDAY(Main[[#This Row],[Tech Start Date]],19),IF(Main[[#This Row],[Class]]="A",WORKDAY(Main[[#This Row],[Tech Start Date]],9),""))))</f>
        <v>40717</v>
      </c>
      <c r="Q132" s="129">
        <v>40714</v>
      </c>
      <c r="R132" s="129">
        <v>40714</v>
      </c>
      <c r="S132" s="139" t="s">
        <v>6</v>
      </c>
      <c r="T132" s="115" t="s">
        <v>2501</v>
      </c>
      <c r="U132" s="139" t="s">
        <v>29</v>
      </c>
      <c r="V132" s="139" t="s">
        <v>1914</v>
      </c>
      <c r="W132" s="139" t="s">
        <v>1916</v>
      </c>
      <c r="X132" s="139" t="s">
        <v>126</v>
      </c>
      <c r="Y132" s="112" t="s">
        <v>3033</v>
      </c>
      <c r="Z132" s="112" t="s">
        <v>129</v>
      </c>
      <c r="AA132" s="139" t="s">
        <v>126</v>
      </c>
    </row>
    <row r="133" spans="1:27" ht="17.25" customHeight="1">
      <c r="A133" s="69">
        <f>IF(priority(Main[[#This Row],[Comments]])&lt;&gt;0, priority(Main[[#This Row],[Comments]]),"")</f>
        <v>43</v>
      </c>
      <c r="B133" s="63" t="s">
        <v>2635</v>
      </c>
      <c r="C133" s="148" t="s">
        <v>2636</v>
      </c>
      <c r="D133" s="113" t="s">
        <v>2637</v>
      </c>
      <c r="E133" s="129">
        <v>40848.70516203704</v>
      </c>
      <c r="F133" s="129">
        <v>40969</v>
      </c>
      <c r="G133" s="69" t="str">
        <f>IF(stdProdLT(Main[[#This Row],[Comments]])=0.1,"N/A",IF(stdProdLT(Main[[#This Row],[Comments]])=0,"",stdProdLT(Main[[#This Row],[Comments]])))</f>
        <v>N/A</v>
      </c>
      <c r="H133" s="138">
        <f>IF(Main[[#This Row],[In Stock Date]]="N/A", "N/A",IF(AND(Main[[#This Row],[In Stock Date]]&lt;&gt;"",Main[[#This Row],[Revised Due Date]]&lt;&gt;"",Main[[#This Row],[In Stock Date]]&lt;&gt;""),Main[[#This Row],[In Stock Date]]-Main[[#This Row],[Revised Due Date]],""))</f>
        <v>-5</v>
      </c>
      <c r="I133" s="139" t="s">
        <v>69</v>
      </c>
      <c r="J133" s="139" t="s">
        <v>28</v>
      </c>
      <c r="K133" s="139" t="s">
        <v>1923</v>
      </c>
      <c r="L133" s="129">
        <v>40849</v>
      </c>
      <c r="M133" s="114">
        <f>IF(Main[[#This Row],[Tech Start Date]]&lt;1/1/1990,"",IF(Main[[#This Row],[Class]]="C",WORKDAY(Main[[#This Row],[Tech Start Date]],9),IF(Main[[#This Row],[Class]]="B", WORKDAY(Main[[#This Row],[Tech Start Date]],6),IF(Main[[#This Row],[Class]]="A",WORKDAY(Main[[#This Row],[Tech Start Date]],2),""))))</f>
        <v>40851</v>
      </c>
      <c r="N133" s="114">
        <f>IF(Main[[#This Row],[Tech Start Date]]&lt;1/1/1990,"",IF(Main[[#This Row],[Class]]="C",WORKDAY(Main[[#This Row],[Tech Start Date]],19),IF(Main[[#This Row],[Class]]="B", WORKDAY(Main[[#This Row],[Tech Start Date]],12),IF(Main[[#This Row],[Class]]="A",WORKDAY(Main[[#This Row],[Tech Start Date]],4),""))))</f>
        <v>40855</v>
      </c>
      <c r="O133" s="114">
        <f>IF(Main[[#This Row],[Tech Start Date]]&lt;1/1/1990,"",IF(Main[[#This Row],[Class]]="C",WORKDAY(Main[[#This Row],[Tech Start Date]],23),IF(Main[[#This Row],[Class]]="B", WORKDAY(Main[[#This Row],[Tech Start Date]],15),IF(Main[[#This Row],[Class]]="A",WORKDAY(Main[[#This Row],[Tech Start Date]],5),""))))</f>
        <v>40856</v>
      </c>
      <c r="P133" s="114">
        <f>IF(Main[[#This Row],[Tech Start Date]]&lt;1/1/1990,"",IF(Main[[#This Row],[Class]]="C",WORKDAY(Main[[#This Row],[Tech Start Date]],28),IF(Main[[#This Row],[Class]]="B", WORKDAY(Main[[#This Row],[Tech Start Date]],19),IF(Main[[#This Row],[Class]]="A",WORKDAY(Main[[#This Row],[Tech Start Date]],9),""))))</f>
        <v>40862</v>
      </c>
      <c r="Q133" s="129"/>
      <c r="R133" s="129">
        <v>40974</v>
      </c>
      <c r="S133" s="139" t="s">
        <v>11</v>
      </c>
      <c r="T133" s="115" t="s">
        <v>3801</v>
      </c>
      <c r="U133" s="139" t="s">
        <v>29</v>
      </c>
      <c r="V133" s="139" t="s">
        <v>1924</v>
      </c>
      <c r="W133" s="139" t="s">
        <v>1918</v>
      </c>
      <c r="X133" s="139" t="s">
        <v>2841</v>
      </c>
      <c r="Y133" s="112" t="s">
        <v>2971</v>
      </c>
      <c r="Z133" s="112" t="s">
        <v>2865</v>
      </c>
      <c r="AA133" s="139" t="s">
        <v>2841</v>
      </c>
    </row>
    <row r="134" spans="1:27" ht="17.25" customHeight="1">
      <c r="A134" s="69">
        <f>IF(priority(Main[[#This Row],[Comments]])&lt;&gt;0, priority(Main[[#This Row],[Comments]]),"")</f>
        <v>46</v>
      </c>
      <c r="B134" s="63" t="s">
        <v>2528</v>
      </c>
      <c r="C134" s="148" t="s">
        <v>2008</v>
      </c>
      <c r="D134" s="113" t="s">
        <v>2529</v>
      </c>
      <c r="E134" s="129"/>
      <c r="F134" s="129"/>
      <c r="G134" s="69">
        <f>IF(stdProdLT(Main[[#This Row],[Comments]])=0.1,"N/A",IF(stdProdLT(Main[[#This Row],[Comments]])=0,"",stdProdLT(Main[[#This Row],[Comments]])))</f>
        <v>168</v>
      </c>
      <c r="H134" s="138" t="str">
        <f>IF(Main[[#This Row],[In Stock Date]]="N/A", "N/A",IF(AND(Main[[#This Row],[In Stock Date]]&lt;&gt;"",Main[[#This Row],[Revised Due Date]]&lt;&gt;"",Main[[#This Row],[In Stock Date]]&lt;&gt;""),Main[[#This Row],[In Stock Date]]-Main[[#This Row],[Revised Due Date]],""))</f>
        <v/>
      </c>
      <c r="I134" s="139" t="s">
        <v>4</v>
      </c>
      <c r="J134" s="139" t="s">
        <v>4</v>
      </c>
      <c r="K134" s="139" t="s">
        <v>4</v>
      </c>
      <c r="L134" s="129"/>
      <c r="M134" s="114" t="str">
        <f>IF(Main[[#This Row],[Tech Start Date]]&lt;1/1/1990,"",IF(Main[[#This Row],[Class]]="C",WORKDAY(Main[[#This Row],[Tech Start Date]],9),IF(Main[[#This Row],[Class]]="B", WORKDAY(Main[[#This Row],[Tech Start Date]],6),IF(Main[[#This Row],[Class]]="A",WORKDAY(Main[[#This Row],[Tech Start Date]],2),""))))</f>
        <v/>
      </c>
      <c r="N134" s="114" t="str">
        <f>IF(Main[[#This Row],[Tech Start Date]]&lt;1/1/1990,"",IF(Main[[#This Row],[Class]]="C",WORKDAY(Main[[#This Row],[Tech Start Date]],19),IF(Main[[#This Row],[Class]]="B", WORKDAY(Main[[#This Row],[Tech Start Date]],12),IF(Main[[#This Row],[Class]]="A",WORKDAY(Main[[#This Row],[Tech Start Date]],4),""))))</f>
        <v/>
      </c>
      <c r="O134" s="114" t="str">
        <f>IF(Main[[#This Row],[Tech Start Date]]&lt;1/1/1990,"",IF(Main[[#This Row],[Class]]="C",WORKDAY(Main[[#This Row],[Tech Start Date]],23),IF(Main[[#This Row],[Class]]="B", WORKDAY(Main[[#This Row],[Tech Start Date]],15),IF(Main[[#This Row],[Class]]="A",WORKDAY(Main[[#This Row],[Tech Start Date]],5),""))))</f>
        <v/>
      </c>
      <c r="P134" s="114" t="str">
        <f>IF(Main[[#This Row],[Tech Start Date]]&lt;1/1/1990,"",IF(Main[[#This Row],[Class]]="C",WORKDAY(Main[[#This Row],[Tech Start Date]],28),IF(Main[[#This Row],[Class]]="B", WORKDAY(Main[[#This Row],[Tech Start Date]],19),IF(Main[[#This Row],[Class]]="A",WORKDAY(Main[[#This Row],[Tech Start Date]],9),""))))</f>
        <v/>
      </c>
      <c r="Q134" s="129">
        <v>40874</v>
      </c>
      <c r="R134" s="129"/>
      <c r="S134" s="139" t="s">
        <v>11</v>
      </c>
      <c r="T134" s="115" t="s">
        <v>2530</v>
      </c>
      <c r="U134" s="139" t="s">
        <v>14</v>
      </c>
      <c r="V134" s="139" t="s">
        <v>1917</v>
      </c>
      <c r="W134" s="139" t="s">
        <v>1916</v>
      </c>
      <c r="X134" s="139" t="s">
        <v>2854</v>
      </c>
      <c r="Y134" s="112" t="s">
        <v>4</v>
      </c>
      <c r="Z134" s="112" t="s">
        <v>4</v>
      </c>
      <c r="AA134" s="139" t="s">
        <v>2854</v>
      </c>
    </row>
    <row r="135" spans="1:27" ht="17.25" customHeight="1">
      <c r="A135" s="69">
        <f>IF(priority(Main[[#This Row],[Comments]])&lt;&gt;0, priority(Main[[#This Row],[Comments]]),"")</f>
        <v>99</v>
      </c>
      <c r="B135" s="63" t="s">
        <v>3183</v>
      </c>
      <c r="C135" s="148" t="s">
        <v>3897</v>
      </c>
      <c r="D135" s="113" t="s">
        <v>3825</v>
      </c>
      <c r="E135" s="129">
        <v>40920.303043981483</v>
      </c>
      <c r="F135" s="129">
        <v>41153</v>
      </c>
      <c r="G135" s="69">
        <f>IF(stdProdLT(Main[[#This Row],[Comments]])=0.1,"N/A",IF(stdProdLT(Main[[#This Row],[Comments]])=0,"",stdProdLT(Main[[#This Row],[Comments]])))</f>
        <v>168</v>
      </c>
      <c r="H135" s="138">
        <f>IF(Main[[#This Row],[In Stock Date]]="N/A", "N/A",IF(AND(Main[[#This Row],[In Stock Date]]&lt;&gt;"",Main[[#This Row],[Revised Due Date]]&lt;&gt;"",Main[[#This Row],[In Stock Date]]&lt;&gt;""),Main[[#This Row],[In Stock Date]]-Main[[#This Row],[Revised Due Date]],""))</f>
        <v>183</v>
      </c>
      <c r="I135" s="139" t="s">
        <v>765</v>
      </c>
      <c r="J135" s="139" t="s">
        <v>52</v>
      </c>
      <c r="K135" s="139" t="s">
        <v>1927</v>
      </c>
      <c r="L135" s="129">
        <v>40925</v>
      </c>
      <c r="M135" s="114">
        <f>IF(Main[[#This Row],[Tech Start Date]]&lt;1/1/1990,"",IF(Main[[#This Row],[Class]]="C",WORKDAY(Main[[#This Row],[Tech Start Date]],9),IF(Main[[#This Row],[Class]]="B", WORKDAY(Main[[#This Row],[Tech Start Date]],6),IF(Main[[#This Row],[Class]]="A",WORKDAY(Main[[#This Row],[Tech Start Date]],2),""))))</f>
        <v>40938</v>
      </c>
      <c r="N135" s="114">
        <f>IF(Main[[#This Row],[Tech Start Date]]&lt;1/1/1990,"",IF(Main[[#This Row],[Class]]="C",WORKDAY(Main[[#This Row],[Tech Start Date]],19),IF(Main[[#This Row],[Class]]="B", WORKDAY(Main[[#This Row],[Tech Start Date]],12),IF(Main[[#This Row],[Class]]="A",WORKDAY(Main[[#This Row],[Tech Start Date]],4),""))))</f>
        <v>40952</v>
      </c>
      <c r="O135" s="114">
        <f>IF(Main[[#This Row],[Tech Start Date]]&lt;1/1/1990,"",IF(Main[[#This Row],[Class]]="C",WORKDAY(Main[[#This Row],[Tech Start Date]],23),IF(Main[[#This Row],[Class]]="B", WORKDAY(Main[[#This Row],[Tech Start Date]],15),IF(Main[[#This Row],[Class]]="A",WORKDAY(Main[[#This Row],[Tech Start Date]],5),""))))</f>
        <v>40956</v>
      </c>
      <c r="P135" s="114">
        <f>IF(Main[[#This Row],[Tech Start Date]]&lt;1/1/1990,"",IF(Main[[#This Row],[Class]]="C",WORKDAY(Main[[#This Row],[Tech Start Date]],28),IF(Main[[#This Row],[Class]]="B", WORKDAY(Main[[#This Row],[Tech Start Date]],19),IF(Main[[#This Row],[Class]]="A",WORKDAY(Main[[#This Row],[Tech Start Date]],9),""))))</f>
        <v>40963</v>
      </c>
      <c r="Q135" s="129">
        <v>40984</v>
      </c>
      <c r="R135" s="129">
        <v>40970</v>
      </c>
      <c r="S135" s="139" t="s">
        <v>11</v>
      </c>
      <c r="T135" s="115" t="s">
        <v>3993</v>
      </c>
      <c r="U135" s="139" t="s">
        <v>29</v>
      </c>
      <c r="V135" s="139" t="s">
        <v>1917</v>
      </c>
      <c r="W135" s="139" t="s">
        <v>1925</v>
      </c>
      <c r="X135" s="139" t="s">
        <v>2846</v>
      </c>
      <c r="Y135" s="112" t="s">
        <v>4</v>
      </c>
      <c r="Z135" s="112" t="s">
        <v>530</v>
      </c>
      <c r="AA135" s="139" t="s">
        <v>2846</v>
      </c>
    </row>
    <row r="136" spans="1:27" ht="17.25" customHeight="1">
      <c r="A136" s="69" t="str">
        <f>IF(priority(Main[[#This Row],[Comments]])&lt;&gt;0, priority(Main[[#This Row],[Comments]]),"")</f>
        <v/>
      </c>
      <c r="B136" s="63" t="s">
        <v>1012</v>
      </c>
      <c r="C136" s="148" t="s">
        <v>4</v>
      </c>
      <c r="D136" s="113" t="s">
        <v>18</v>
      </c>
      <c r="E136" s="129"/>
      <c r="F136" s="129"/>
      <c r="G136" s="69" t="str">
        <f>IF(stdProdLT(Main[[#This Row],[Comments]])=0.1,"N/A",IF(stdProdLT(Main[[#This Row],[Comments]])=0,"",stdProdLT(Main[[#This Row],[Comments]])))</f>
        <v/>
      </c>
      <c r="H136" s="138" t="str">
        <f>IF(Main[[#This Row],[In Stock Date]]="N/A", "N/A",IF(AND(Main[[#This Row],[In Stock Date]]&lt;&gt;"",Main[[#This Row],[Revised Due Date]]&lt;&gt;"",Main[[#This Row],[In Stock Date]]&lt;&gt;""),Main[[#This Row],[In Stock Date]]-Main[[#This Row],[Revised Due Date]],""))</f>
        <v/>
      </c>
      <c r="I136" s="139" t="s">
        <v>4</v>
      </c>
      <c r="J136" s="139" t="s">
        <v>4</v>
      </c>
      <c r="K136" s="139" t="s">
        <v>4</v>
      </c>
      <c r="L136" s="129"/>
      <c r="M136" s="114" t="str">
        <f>IF(Main[[#This Row],[Tech Start Date]]&lt;1/1/1990,"",IF(Main[[#This Row],[Class]]="C",WORKDAY(Main[[#This Row],[Tech Start Date]],9),IF(Main[[#This Row],[Class]]="B", WORKDAY(Main[[#This Row],[Tech Start Date]],6),IF(Main[[#This Row],[Class]]="A",WORKDAY(Main[[#This Row],[Tech Start Date]],2),""))))</f>
        <v/>
      </c>
      <c r="N136" s="114" t="str">
        <f>IF(Main[[#This Row],[Tech Start Date]]&lt;1/1/1990,"",IF(Main[[#This Row],[Class]]="C",WORKDAY(Main[[#This Row],[Tech Start Date]],19),IF(Main[[#This Row],[Class]]="B", WORKDAY(Main[[#This Row],[Tech Start Date]],12),IF(Main[[#This Row],[Class]]="A",WORKDAY(Main[[#This Row],[Tech Start Date]],4),""))))</f>
        <v/>
      </c>
      <c r="O136" s="114" t="str">
        <f>IF(Main[[#This Row],[Tech Start Date]]&lt;1/1/1990,"",IF(Main[[#This Row],[Class]]="C",WORKDAY(Main[[#This Row],[Tech Start Date]],23),IF(Main[[#This Row],[Class]]="B", WORKDAY(Main[[#This Row],[Tech Start Date]],15),IF(Main[[#This Row],[Class]]="A",WORKDAY(Main[[#This Row],[Tech Start Date]],5),""))))</f>
        <v/>
      </c>
      <c r="P136" s="114" t="str">
        <f>IF(Main[[#This Row],[Tech Start Date]]&lt;1/1/1990,"",IF(Main[[#This Row],[Class]]="C",WORKDAY(Main[[#This Row],[Tech Start Date]],28),IF(Main[[#This Row],[Class]]="B", WORKDAY(Main[[#This Row],[Tech Start Date]],19),IF(Main[[#This Row],[Class]]="A",WORKDAY(Main[[#This Row],[Tech Start Date]],9),""))))</f>
        <v/>
      </c>
      <c r="Q136" s="129">
        <v>40585</v>
      </c>
      <c r="R136" s="129"/>
      <c r="S136" s="139" t="s">
        <v>11</v>
      </c>
      <c r="T136" s="115" t="s">
        <v>4</v>
      </c>
      <c r="U136" s="139" t="s">
        <v>14</v>
      </c>
      <c r="V136" s="139" t="s">
        <v>1914</v>
      </c>
      <c r="W136" s="139" t="s">
        <v>1919</v>
      </c>
      <c r="X136" s="139" t="s">
        <v>2821</v>
      </c>
      <c r="Y136" s="112" t="s">
        <v>2936</v>
      </c>
      <c r="Z136" s="112" t="s">
        <v>4</v>
      </c>
      <c r="AA136" s="139" t="s">
        <v>2821</v>
      </c>
    </row>
    <row r="137" spans="1:27" ht="17.25" customHeight="1">
      <c r="A137" s="69" t="str">
        <f>IF(priority(Main[[#This Row],[Comments]])&lt;&gt;0, priority(Main[[#This Row],[Comments]]),"")</f>
        <v/>
      </c>
      <c r="B137" s="63" t="s">
        <v>1932</v>
      </c>
      <c r="C137" s="148" t="s">
        <v>19</v>
      </c>
      <c r="D137" s="113" t="s">
        <v>20</v>
      </c>
      <c r="E137" s="129"/>
      <c r="F137" s="129">
        <v>40548</v>
      </c>
      <c r="G137" s="69" t="str">
        <f>IF(stdProdLT(Main[[#This Row],[Comments]])=0.1,"N/A",IF(stdProdLT(Main[[#This Row],[Comments]])=0,"",stdProdLT(Main[[#This Row],[Comments]])))</f>
        <v/>
      </c>
      <c r="H137" s="138" t="str">
        <f>IF(Main[[#This Row],[In Stock Date]]="N/A", "N/A",IF(AND(Main[[#This Row],[In Stock Date]]&lt;&gt;"",Main[[#This Row],[Revised Due Date]]&lt;&gt;"",Main[[#This Row],[In Stock Date]]&lt;&gt;""),Main[[#This Row],[In Stock Date]]-Main[[#This Row],[Revised Due Date]],""))</f>
        <v/>
      </c>
      <c r="I137" s="139" t="s">
        <v>4</v>
      </c>
      <c r="J137" s="139" t="s">
        <v>21</v>
      </c>
      <c r="K137" s="139" t="s">
        <v>4</v>
      </c>
      <c r="L137" s="129"/>
      <c r="M137" s="114" t="str">
        <f>IF(Main[[#This Row],[Tech Start Date]]&lt;1/1/1990,"",IF(Main[[#This Row],[Class]]="C",WORKDAY(Main[[#This Row],[Tech Start Date]],9),IF(Main[[#This Row],[Class]]="B", WORKDAY(Main[[#This Row],[Tech Start Date]],6),IF(Main[[#This Row],[Class]]="A",WORKDAY(Main[[#This Row],[Tech Start Date]],2),""))))</f>
        <v/>
      </c>
      <c r="N137" s="114" t="str">
        <f>IF(Main[[#This Row],[Tech Start Date]]&lt;1/1/1990,"",IF(Main[[#This Row],[Class]]="C",WORKDAY(Main[[#This Row],[Tech Start Date]],19),IF(Main[[#This Row],[Class]]="B", WORKDAY(Main[[#This Row],[Tech Start Date]],12),IF(Main[[#This Row],[Class]]="A",WORKDAY(Main[[#This Row],[Tech Start Date]],4),""))))</f>
        <v/>
      </c>
      <c r="O137" s="114" t="str">
        <f>IF(Main[[#This Row],[Tech Start Date]]&lt;1/1/1990,"",IF(Main[[#This Row],[Class]]="C",WORKDAY(Main[[#This Row],[Tech Start Date]],23),IF(Main[[#This Row],[Class]]="B", WORKDAY(Main[[#This Row],[Tech Start Date]],15),IF(Main[[#This Row],[Class]]="A",WORKDAY(Main[[#This Row],[Tech Start Date]],5),""))))</f>
        <v/>
      </c>
      <c r="P137" s="114" t="str">
        <f>IF(Main[[#This Row],[Tech Start Date]]&lt;1/1/1990,"",IF(Main[[#This Row],[Class]]="C",WORKDAY(Main[[#This Row],[Tech Start Date]],28),IF(Main[[#This Row],[Class]]="B", WORKDAY(Main[[#This Row],[Tech Start Date]],19),IF(Main[[#This Row],[Class]]="A",WORKDAY(Main[[#This Row],[Tech Start Date]],9),""))))</f>
        <v/>
      </c>
      <c r="Q137" s="129">
        <v>40441</v>
      </c>
      <c r="R137" s="129"/>
      <c r="S137" s="139" t="s">
        <v>11</v>
      </c>
      <c r="T137" s="115" t="s">
        <v>4</v>
      </c>
      <c r="U137" s="139" t="s">
        <v>12</v>
      </c>
      <c r="V137" s="139" t="s">
        <v>1917</v>
      </c>
      <c r="W137" s="139" t="s">
        <v>1920</v>
      </c>
      <c r="X137" s="139" t="s">
        <v>81</v>
      </c>
      <c r="Y137" s="112" t="s">
        <v>2939</v>
      </c>
      <c r="Z137" s="112" t="s">
        <v>431</v>
      </c>
      <c r="AA137" s="139" t="s">
        <v>2833</v>
      </c>
    </row>
    <row r="138" spans="1:27" ht="17.25" customHeight="1">
      <c r="A138" s="69" t="str">
        <f>IF(priority(Main[[#This Row],[Comments]])&lt;&gt;0, priority(Main[[#This Row],[Comments]]),"")</f>
        <v/>
      </c>
      <c r="B138" s="63" t="s">
        <v>1013</v>
      </c>
      <c r="C138" s="148" t="s">
        <v>4</v>
      </c>
      <c r="D138" s="113" t="s">
        <v>22</v>
      </c>
      <c r="E138" s="129"/>
      <c r="F138" s="129"/>
      <c r="G138" s="69" t="str">
        <f>IF(stdProdLT(Main[[#This Row],[Comments]])=0.1,"N/A",IF(stdProdLT(Main[[#This Row],[Comments]])=0,"",stdProdLT(Main[[#This Row],[Comments]])))</f>
        <v/>
      </c>
      <c r="H138" s="138" t="str">
        <f>IF(Main[[#This Row],[In Stock Date]]="N/A", "N/A",IF(AND(Main[[#This Row],[In Stock Date]]&lt;&gt;"",Main[[#This Row],[Revised Due Date]]&lt;&gt;"",Main[[#This Row],[In Stock Date]]&lt;&gt;""),Main[[#This Row],[In Stock Date]]-Main[[#This Row],[Revised Due Date]],""))</f>
        <v/>
      </c>
      <c r="I138" s="139" t="s">
        <v>4</v>
      </c>
      <c r="J138" s="139" t="s">
        <v>4</v>
      </c>
      <c r="K138" s="139" t="s">
        <v>4</v>
      </c>
      <c r="L138" s="129"/>
      <c r="M138" s="114" t="str">
        <f>IF(Main[[#This Row],[Tech Start Date]]&lt;1/1/1990,"",IF(Main[[#This Row],[Class]]="C",WORKDAY(Main[[#This Row],[Tech Start Date]],9),IF(Main[[#This Row],[Class]]="B", WORKDAY(Main[[#This Row],[Tech Start Date]],6),IF(Main[[#This Row],[Class]]="A",WORKDAY(Main[[#This Row],[Tech Start Date]],2),""))))</f>
        <v/>
      </c>
      <c r="N138" s="114" t="str">
        <f>IF(Main[[#This Row],[Tech Start Date]]&lt;1/1/1990,"",IF(Main[[#This Row],[Class]]="C",WORKDAY(Main[[#This Row],[Tech Start Date]],19),IF(Main[[#This Row],[Class]]="B", WORKDAY(Main[[#This Row],[Tech Start Date]],12),IF(Main[[#This Row],[Class]]="A",WORKDAY(Main[[#This Row],[Tech Start Date]],4),""))))</f>
        <v/>
      </c>
      <c r="O138" s="114" t="str">
        <f>IF(Main[[#This Row],[Tech Start Date]]&lt;1/1/1990,"",IF(Main[[#This Row],[Class]]="C",WORKDAY(Main[[#This Row],[Tech Start Date]],23),IF(Main[[#This Row],[Class]]="B", WORKDAY(Main[[#This Row],[Tech Start Date]],15),IF(Main[[#This Row],[Class]]="A",WORKDAY(Main[[#This Row],[Tech Start Date]],5),""))))</f>
        <v/>
      </c>
      <c r="P138" s="114" t="str">
        <f>IF(Main[[#This Row],[Tech Start Date]]&lt;1/1/1990,"",IF(Main[[#This Row],[Class]]="C",WORKDAY(Main[[#This Row],[Tech Start Date]],28),IF(Main[[#This Row],[Class]]="B", WORKDAY(Main[[#This Row],[Tech Start Date]],19),IF(Main[[#This Row],[Class]]="A",WORKDAY(Main[[#This Row],[Tech Start Date]],9),""))))</f>
        <v/>
      </c>
      <c r="Q138" s="129"/>
      <c r="R138" s="129"/>
      <c r="S138" s="139" t="s">
        <v>23</v>
      </c>
      <c r="T138" s="115" t="s">
        <v>4</v>
      </c>
      <c r="U138" s="139" t="s">
        <v>14</v>
      </c>
      <c r="V138" s="139" t="s">
        <v>1914</v>
      </c>
      <c r="W138" s="139" t="s">
        <v>1916</v>
      </c>
      <c r="X138" s="139" t="s">
        <v>306</v>
      </c>
      <c r="Y138" s="112" t="s">
        <v>4</v>
      </c>
      <c r="Z138" s="112" t="s">
        <v>4</v>
      </c>
      <c r="AA138" s="139" t="s">
        <v>3372</v>
      </c>
    </row>
    <row r="139" spans="1:27" ht="17.25" customHeight="1">
      <c r="A139" s="69" t="str">
        <f>IF(priority(Main[[#This Row],[Comments]])&lt;&gt;0, priority(Main[[#This Row],[Comments]]),"")</f>
        <v/>
      </c>
      <c r="B139" s="63" t="s">
        <v>1014</v>
      </c>
      <c r="C139" s="148" t="s">
        <v>24</v>
      </c>
      <c r="D139" s="113" t="s">
        <v>25</v>
      </c>
      <c r="E139" s="129"/>
      <c r="F139" s="129"/>
      <c r="G139" s="69" t="str">
        <f>IF(stdProdLT(Main[[#This Row],[Comments]])=0.1,"N/A",IF(stdProdLT(Main[[#This Row],[Comments]])=0,"",stdProdLT(Main[[#This Row],[Comments]])))</f>
        <v/>
      </c>
      <c r="H139" s="138" t="str">
        <f>IF(Main[[#This Row],[In Stock Date]]="N/A", "N/A",IF(AND(Main[[#This Row],[In Stock Date]]&lt;&gt;"",Main[[#This Row],[Revised Due Date]]&lt;&gt;"",Main[[#This Row],[In Stock Date]]&lt;&gt;""),Main[[#This Row],[In Stock Date]]-Main[[#This Row],[Revised Due Date]],""))</f>
        <v/>
      </c>
      <c r="I139" s="139" t="s">
        <v>4</v>
      </c>
      <c r="J139" s="139" t="s">
        <v>4</v>
      </c>
      <c r="K139" s="139" t="s">
        <v>4</v>
      </c>
      <c r="L139" s="129"/>
      <c r="M139" s="114" t="str">
        <f>IF(Main[[#This Row],[Tech Start Date]]&lt;1/1/1990,"",IF(Main[[#This Row],[Class]]="C",WORKDAY(Main[[#This Row],[Tech Start Date]],9),IF(Main[[#This Row],[Class]]="B", WORKDAY(Main[[#This Row],[Tech Start Date]],6),IF(Main[[#This Row],[Class]]="A",WORKDAY(Main[[#This Row],[Tech Start Date]],2),""))))</f>
        <v/>
      </c>
      <c r="N139" s="114" t="str">
        <f>IF(Main[[#This Row],[Tech Start Date]]&lt;1/1/1990,"",IF(Main[[#This Row],[Class]]="C",WORKDAY(Main[[#This Row],[Tech Start Date]],19),IF(Main[[#This Row],[Class]]="B", WORKDAY(Main[[#This Row],[Tech Start Date]],12),IF(Main[[#This Row],[Class]]="A",WORKDAY(Main[[#This Row],[Tech Start Date]],4),""))))</f>
        <v/>
      </c>
      <c r="O139" s="114" t="str">
        <f>IF(Main[[#This Row],[Tech Start Date]]&lt;1/1/1990,"",IF(Main[[#This Row],[Class]]="C",WORKDAY(Main[[#This Row],[Tech Start Date]],23),IF(Main[[#This Row],[Class]]="B", WORKDAY(Main[[#This Row],[Tech Start Date]],15),IF(Main[[#This Row],[Class]]="A",WORKDAY(Main[[#This Row],[Tech Start Date]],5),""))))</f>
        <v/>
      </c>
      <c r="P139" s="114" t="str">
        <f>IF(Main[[#This Row],[Tech Start Date]]&lt;1/1/1990,"",IF(Main[[#This Row],[Class]]="C",WORKDAY(Main[[#This Row],[Tech Start Date]],28),IF(Main[[#This Row],[Class]]="B", WORKDAY(Main[[#This Row],[Tech Start Date]],19),IF(Main[[#This Row],[Class]]="A",WORKDAY(Main[[#This Row],[Tech Start Date]],9),""))))</f>
        <v/>
      </c>
      <c r="Q139" s="129"/>
      <c r="R139" s="129"/>
      <c r="S139" s="139" t="s">
        <v>11</v>
      </c>
      <c r="T139" s="115" t="s">
        <v>4</v>
      </c>
      <c r="U139" s="139" t="s">
        <v>14</v>
      </c>
      <c r="V139" s="139" t="s">
        <v>1915</v>
      </c>
      <c r="W139" s="139" t="s">
        <v>1919</v>
      </c>
      <c r="X139" s="139" t="s">
        <v>306</v>
      </c>
      <c r="Y139" s="112" t="s">
        <v>2941</v>
      </c>
      <c r="Z139" s="112" t="s">
        <v>4</v>
      </c>
      <c r="AA139" s="139" t="s">
        <v>306</v>
      </c>
    </row>
    <row r="140" spans="1:27" ht="17.25" customHeight="1">
      <c r="A140" s="69" t="str">
        <f>IF(priority(Main[[#This Row],[Comments]])&lt;&gt;0, priority(Main[[#This Row],[Comments]]),"")</f>
        <v/>
      </c>
      <c r="B140" s="63" t="s">
        <v>1468</v>
      </c>
      <c r="C140" s="148" t="s">
        <v>4</v>
      </c>
      <c r="D140" s="113" t="s">
        <v>2332</v>
      </c>
      <c r="E140" s="129">
        <v>40431.641157407408</v>
      </c>
      <c r="F140" s="129"/>
      <c r="G140" s="69" t="str">
        <f>IF(stdProdLT(Main[[#This Row],[Comments]])=0.1,"N/A",IF(stdProdLT(Main[[#This Row],[Comments]])=0,"",stdProdLT(Main[[#This Row],[Comments]])))</f>
        <v/>
      </c>
      <c r="H140" s="138" t="str">
        <f>IF(Main[[#This Row],[In Stock Date]]="N/A", "N/A",IF(AND(Main[[#This Row],[In Stock Date]]&lt;&gt;"",Main[[#This Row],[Revised Due Date]]&lt;&gt;"",Main[[#This Row],[In Stock Date]]&lt;&gt;""),Main[[#This Row],[In Stock Date]]-Main[[#This Row],[Revised Due Date]],""))</f>
        <v/>
      </c>
      <c r="I140" s="139" t="s">
        <v>912</v>
      </c>
      <c r="J140" s="139" t="s">
        <v>52</v>
      </c>
      <c r="K140" s="140" t="s">
        <v>4</v>
      </c>
      <c r="L140" s="129"/>
      <c r="M140" s="114" t="str">
        <f>IF(Main[[#This Row],[Tech Start Date]]&lt;1/1/1990,"",IF(Main[[#This Row],[Class]]="C",WORKDAY(Main[[#This Row],[Tech Start Date]],9),IF(Main[[#This Row],[Class]]="B", WORKDAY(Main[[#This Row],[Tech Start Date]],6),IF(Main[[#This Row],[Class]]="A",WORKDAY(Main[[#This Row],[Tech Start Date]],2),""))))</f>
        <v/>
      </c>
      <c r="N140" s="114" t="str">
        <f>IF(Main[[#This Row],[Tech Start Date]]&lt;1/1/1990,"",IF(Main[[#This Row],[Class]]="C",WORKDAY(Main[[#This Row],[Tech Start Date]],19),IF(Main[[#This Row],[Class]]="B", WORKDAY(Main[[#This Row],[Tech Start Date]],12),IF(Main[[#This Row],[Class]]="A",WORKDAY(Main[[#This Row],[Tech Start Date]],4),""))))</f>
        <v/>
      </c>
      <c r="O140" s="114" t="str">
        <f>IF(Main[[#This Row],[Tech Start Date]]&lt;1/1/1990,"",IF(Main[[#This Row],[Class]]="C",WORKDAY(Main[[#This Row],[Tech Start Date]],23),IF(Main[[#This Row],[Class]]="B", WORKDAY(Main[[#This Row],[Tech Start Date]],15),IF(Main[[#This Row],[Class]]="A",WORKDAY(Main[[#This Row],[Tech Start Date]],5),""))))</f>
        <v/>
      </c>
      <c r="P140" s="114" t="str">
        <f>IF(Main[[#This Row],[Tech Start Date]]&lt;1/1/1990,"",IF(Main[[#This Row],[Class]]="C",WORKDAY(Main[[#This Row],[Tech Start Date]],28),IF(Main[[#This Row],[Class]]="B", WORKDAY(Main[[#This Row],[Tech Start Date]],19),IF(Main[[#This Row],[Class]]="A",WORKDAY(Main[[#This Row],[Tech Start Date]],9),""))))</f>
        <v/>
      </c>
      <c r="Q140" s="129">
        <v>40466</v>
      </c>
      <c r="R140" s="129"/>
      <c r="S140" s="139" t="s">
        <v>6</v>
      </c>
      <c r="T140" s="115" t="s">
        <v>4</v>
      </c>
      <c r="U140" s="139" t="s">
        <v>29</v>
      </c>
      <c r="V140" s="139" t="s">
        <v>1914</v>
      </c>
      <c r="W140" s="139" t="s">
        <v>1916</v>
      </c>
      <c r="X140" s="139" t="s">
        <v>2818</v>
      </c>
      <c r="Y140" s="112" t="s">
        <v>2929</v>
      </c>
      <c r="Z140" s="112" t="s">
        <v>129</v>
      </c>
      <c r="AA140" s="139" t="s">
        <v>2818</v>
      </c>
    </row>
    <row r="141" spans="1:27" ht="17.25" customHeight="1">
      <c r="A141" s="69" t="str">
        <f>IF(priority(Main[[#This Row],[Comments]])&lt;&gt;0, priority(Main[[#This Row],[Comments]]),"")</f>
        <v/>
      </c>
      <c r="B141" s="63" t="s">
        <v>2324</v>
      </c>
      <c r="C141" s="148" t="s">
        <v>4</v>
      </c>
      <c r="D141" s="113" t="s">
        <v>2325</v>
      </c>
      <c r="E141" s="129">
        <v>40828.669305555559</v>
      </c>
      <c r="F141" s="129"/>
      <c r="G141" s="69" t="str">
        <f>IF(stdProdLT(Main[[#This Row],[Comments]])=0.1,"N/A",IF(stdProdLT(Main[[#This Row],[Comments]])=0,"",stdProdLT(Main[[#This Row],[Comments]])))</f>
        <v/>
      </c>
      <c r="H141" s="138" t="str">
        <f>IF(Main[[#This Row],[In Stock Date]]="N/A", "N/A",IF(AND(Main[[#This Row],[In Stock Date]]&lt;&gt;"",Main[[#This Row],[Revised Due Date]]&lt;&gt;"",Main[[#This Row],[In Stock Date]]&lt;&gt;""),Main[[#This Row],[In Stock Date]]-Main[[#This Row],[Revised Due Date]],""))</f>
        <v/>
      </c>
      <c r="I141" s="139" t="s">
        <v>4</v>
      </c>
      <c r="J141" s="139" t="s">
        <v>4</v>
      </c>
      <c r="K141" s="139" t="s">
        <v>4</v>
      </c>
      <c r="L141" s="129"/>
      <c r="M141" s="114" t="str">
        <f>IF(Main[[#This Row],[Tech Start Date]]&lt;1/1/1990,"",IF(Main[[#This Row],[Class]]="C",WORKDAY(Main[[#This Row],[Tech Start Date]],9),IF(Main[[#This Row],[Class]]="B", WORKDAY(Main[[#This Row],[Tech Start Date]],6),IF(Main[[#This Row],[Class]]="A",WORKDAY(Main[[#This Row],[Tech Start Date]],2),""))))</f>
        <v/>
      </c>
      <c r="N141" s="114" t="str">
        <f>IF(Main[[#This Row],[Tech Start Date]]&lt;1/1/1990,"",IF(Main[[#This Row],[Class]]="C",WORKDAY(Main[[#This Row],[Tech Start Date]],19),IF(Main[[#This Row],[Class]]="B", WORKDAY(Main[[#This Row],[Tech Start Date]],12),IF(Main[[#This Row],[Class]]="A",WORKDAY(Main[[#This Row],[Tech Start Date]],4),""))))</f>
        <v/>
      </c>
      <c r="O141" s="114" t="str">
        <f>IF(Main[[#This Row],[Tech Start Date]]&lt;1/1/1990,"",IF(Main[[#This Row],[Class]]="C",WORKDAY(Main[[#This Row],[Tech Start Date]],23),IF(Main[[#This Row],[Class]]="B", WORKDAY(Main[[#This Row],[Tech Start Date]],15),IF(Main[[#This Row],[Class]]="A",WORKDAY(Main[[#This Row],[Tech Start Date]],5),""))))</f>
        <v/>
      </c>
      <c r="P141" s="114" t="str">
        <f>IF(Main[[#This Row],[Tech Start Date]]&lt;1/1/1990,"",IF(Main[[#This Row],[Class]]="C",WORKDAY(Main[[#This Row],[Tech Start Date]],28),IF(Main[[#This Row],[Class]]="B", WORKDAY(Main[[#This Row],[Tech Start Date]],19),IF(Main[[#This Row],[Class]]="A",WORKDAY(Main[[#This Row],[Tech Start Date]],9),""))))</f>
        <v/>
      </c>
      <c r="Q141" s="129"/>
      <c r="R141" s="129"/>
      <c r="S141" s="139" t="s">
        <v>6</v>
      </c>
      <c r="T141" s="115" t="s">
        <v>4</v>
      </c>
      <c r="U141" s="139" t="s">
        <v>29</v>
      </c>
      <c r="V141" s="139" t="s">
        <v>1914</v>
      </c>
      <c r="W141" s="139" t="s">
        <v>1918</v>
      </c>
      <c r="X141" s="139" t="s">
        <v>102</v>
      </c>
      <c r="Y141" s="112" t="s">
        <v>2942</v>
      </c>
      <c r="Z141" s="112" t="s">
        <v>4</v>
      </c>
      <c r="AA141" s="139" t="s">
        <v>3373</v>
      </c>
    </row>
    <row r="142" spans="1:27" ht="17.25" customHeight="1">
      <c r="A142" s="69" t="str">
        <f>IF(priority(Main[[#This Row],[Comments]])&lt;&gt;0, priority(Main[[#This Row],[Comments]]),"")</f>
        <v/>
      </c>
      <c r="B142" s="63" t="s">
        <v>1015</v>
      </c>
      <c r="C142" s="148" t="s">
        <v>26</v>
      </c>
      <c r="D142" s="113" t="s">
        <v>27</v>
      </c>
      <c r="E142" s="129"/>
      <c r="F142" s="129">
        <v>40563</v>
      </c>
      <c r="G142" s="69" t="str">
        <f>IF(stdProdLT(Main[[#This Row],[Comments]])=0.1,"N/A",IF(stdProdLT(Main[[#This Row],[Comments]])=0,"",stdProdLT(Main[[#This Row],[Comments]])))</f>
        <v/>
      </c>
      <c r="H142" s="138" t="str">
        <f>IF(Main[[#This Row],[In Stock Date]]="N/A", "N/A",IF(AND(Main[[#This Row],[In Stock Date]]&lt;&gt;"",Main[[#This Row],[Revised Due Date]]&lt;&gt;"",Main[[#This Row],[In Stock Date]]&lt;&gt;""),Main[[#This Row],[In Stock Date]]-Main[[#This Row],[Revised Due Date]],""))</f>
        <v/>
      </c>
      <c r="I142" s="139" t="s">
        <v>4</v>
      </c>
      <c r="J142" s="139" t="s">
        <v>28</v>
      </c>
      <c r="K142" s="139" t="s">
        <v>1921</v>
      </c>
      <c r="L142" s="129"/>
      <c r="M142" s="114" t="str">
        <f>IF(Main[[#This Row],[Tech Start Date]]&lt;1/1/1990,"",IF(Main[[#This Row],[Class]]="C",WORKDAY(Main[[#This Row],[Tech Start Date]],9),IF(Main[[#This Row],[Class]]="B", WORKDAY(Main[[#This Row],[Tech Start Date]],6),IF(Main[[#This Row],[Class]]="A",WORKDAY(Main[[#This Row],[Tech Start Date]],2),""))))</f>
        <v/>
      </c>
      <c r="N142" s="114" t="str">
        <f>IF(Main[[#This Row],[Tech Start Date]]&lt;1/1/1990,"",IF(Main[[#This Row],[Class]]="C",WORKDAY(Main[[#This Row],[Tech Start Date]],19),IF(Main[[#This Row],[Class]]="B", WORKDAY(Main[[#This Row],[Tech Start Date]],12),IF(Main[[#This Row],[Class]]="A",WORKDAY(Main[[#This Row],[Tech Start Date]],4),""))))</f>
        <v/>
      </c>
      <c r="O142" s="114" t="str">
        <f>IF(Main[[#This Row],[Tech Start Date]]&lt;1/1/1990,"",IF(Main[[#This Row],[Class]]="C",WORKDAY(Main[[#This Row],[Tech Start Date]],23),IF(Main[[#This Row],[Class]]="B", WORKDAY(Main[[#This Row],[Tech Start Date]],15),IF(Main[[#This Row],[Class]]="A",WORKDAY(Main[[#This Row],[Tech Start Date]],5),""))))</f>
        <v/>
      </c>
      <c r="P142" s="114" t="str">
        <f>IF(Main[[#This Row],[Tech Start Date]]&lt;1/1/1990,"",IF(Main[[#This Row],[Class]]="C",WORKDAY(Main[[#This Row],[Tech Start Date]],28),IF(Main[[#This Row],[Class]]="B", WORKDAY(Main[[#This Row],[Tech Start Date]],19),IF(Main[[#This Row],[Class]]="A",WORKDAY(Main[[#This Row],[Tech Start Date]],9),""))))</f>
        <v/>
      </c>
      <c r="Q142" s="129">
        <v>40563</v>
      </c>
      <c r="R142" s="129"/>
      <c r="S142" s="139" t="s">
        <v>11</v>
      </c>
      <c r="T142" s="115" t="s">
        <v>4</v>
      </c>
      <c r="U142" s="139" t="s">
        <v>14</v>
      </c>
      <c r="V142" s="139" t="s">
        <v>1915</v>
      </c>
      <c r="W142" s="139" t="s">
        <v>1916</v>
      </c>
      <c r="X142" s="139" t="s">
        <v>2816</v>
      </c>
      <c r="Y142" s="112" t="s">
        <v>2928</v>
      </c>
      <c r="Z142" s="112" t="s">
        <v>3159</v>
      </c>
      <c r="AA142" s="139" t="s">
        <v>2816</v>
      </c>
    </row>
    <row r="143" spans="1:27" ht="17.25" customHeight="1">
      <c r="A143" s="69" t="str">
        <f>IF(priority(Main[[#This Row],[Comments]])&lt;&gt;0, priority(Main[[#This Row],[Comments]]),"")</f>
        <v/>
      </c>
      <c r="B143" s="63" t="s">
        <v>1933</v>
      </c>
      <c r="C143" s="148" t="s">
        <v>4</v>
      </c>
      <c r="D143" s="113" t="s">
        <v>1934</v>
      </c>
      <c r="E143" s="129"/>
      <c r="F143" s="129">
        <v>40309</v>
      </c>
      <c r="G143" s="69" t="str">
        <f>IF(stdProdLT(Main[[#This Row],[Comments]])=0.1,"N/A",IF(stdProdLT(Main[[#This Row],[Comments]])=0,"",stdProdLT(Main[[#This Row],[Comments]])))</f>
        <v/>
      </c>
      <c r="H143" s="138" t="str">
        <f>IF(Main[[#This Row],[In Stock Date]]="N/A", "N/A",IF(AND(Main[[#This Row],[In Stock Date]]&lt;&gt;"",Main[[#This Row],[Revised Due Date]]&lt;&gt;"",Main[[#This Row],[In Stock Date]]&lt;&gt;""),Main[[#This Row],[In Stock Date]]-Main[[#This Row],[Revised Due Date]],""))</f>
        <v/>
      </c>
      <c r="I143" s="139" t="s">
        <v>4</v>
      </c>
      <c r="J143" s="139" t="s">
        <v>4</v>
      </c>
      <c r="K143" s="139" t="s">
        <v>4</v>
      </c>
      <c r="L143" s="129"/>
      <c r="M143" s="114" t="str">
        <f>IF(Main[[#This Row],[Tech Start Date]]&lt;1/1/1990,"",IF(Main[[#This Row],[Class]]="C",WORKDAY(Main[[#This Row],[Tech Start Date]],9),IF(Main[[#This Row],[Class]]="B", WORKDAY(Main[[#This Row],[Tech Start Date]],6),IF(Main[[#This Row],[Class]]="A",WORKDAY(Main[[#This Row],[Tech Start Date]],2),""))))</f>
        <v/>
      </c>
      <c r="N143" s="114" t="str">
        <f>IF(Main[[#This Row],[Tech Start Date]]&lt;1/1/1990,"",IF(Main[[#This Row],[Class]]="C",WORKDAY(Main[[#This Row],[Tech Start Date]],19),IF(Main[[#This Row],[Class]]="B", WORKDAY(Main[[#This Row],[Tech Start Date]],12),IF(Main[[#This Row],[Class]]="A",WORKDAY(Main[[#This Row],[Tech Start Date]],4),""))))</f>
        <v/>
      </c>
      <c r="O143" s="114" t="str">
        <f>IF(Main[[#This Row],[Tech Start Date]]&lt;1/1/1990,"",IF(Main[[#This Row],[Class]]="C",WORKDAY(Main[[#This Row],[Tech Start Date]],23),IF(Main[[#This Row],[Class]]="B", WORKDAY(Main[[#This Row],[Tech Start Date]],15),IF(Main[[#This Row],[Class]]="A",WORKDAY(Main[[#This Row],[Tech Start Date]],5),""))))</f>
        <v/>
      </c>
      <c r="P143" s="114" t="str">
        <f>IF(Main[[#This Row],[Tech Start Date]]&lt;1/1/1990,"",IF(Main[[#This Row],[Class]]="C",WORKDAY(Main[[#This Row],[Tech Start Date]],28),IF(Main[[#This Row],[Class]]="B", WORKDAY(Main[[#This Row],[Tech Start Date]],19),IF(Main[[#This Row],[Class]]="A",WORKDAY(Main[[#This Row],[Tech Start Date]],9),""))))</f>
        <v/>
      </c>
      <c r="Q143" s="129">
        <v>40305</v>
      </c>
      <c r="R143" s="129"/>
      <c r="S143" s="139" t="s">
        <v>6</v>
      </c>
      <c r="T143" s="115" t="s">
        <v>4</v>
      </c>
      <c r="U143" s="139" t="s">
        <v>14</v>
      </c>
      <c r="V143" s="139" t="s">
        <v>1914</v>
      </c>
      <c r="W143" s="139" t="s">
        <v>1922</v>
      </c>
      <c r="X143" s="139" t="s">
        <v>2824</v>
      </c>
      <c r="Y143" s="112" t="s">
        <v>2943</v>
      </c>
      <c r="Z143" s="112" t="s">
        <v>4</v>
      </c>
      <c r="AA143" s="139" t="s">
        <v>2824</v>
      </c>
    </row>
    <row r="144" spans="1:27" ht="17.25" customHeight="1">
      <c r="A144" s="69" t="str">
        <f>IF(priority(Main[[#This Row],[Comments]])&lt;&gt;0, priority(Main[[#This Row],[Comments]]),"")</f>
        <v/>
      </c>
      <c r="B144" s="63" t="s">
        <v>1016</v>
      </c>
      <c r="C144" s="148" t="s">
        <v>4</v>
      </c>
      <c r="D144" s="113" t="s">
        <v>1947</v>
      </c>
      <c r="E144" s="129">
        <v>40130.654374999998</v>
      </c>
      <c r="F144" s="129"/>
      <c r="G144" s="69" t="str">
        <f>IF(stdProdLT(Main[[#This Row],[Comments]])=0.1,"N/A",IF(stdProdLT(Main[[#This Row],[Comments]])=0,"",stdProdLT(Main[[#This Row],[Comments]])))</f>
        <v/>
      </c>
      <c r="H144" s="138" t="str">
        <f>IF(Main[[#This Row],[In Stock Date]]="N/A", "N/A",IF(AND(Main[[#This Row],[In Stock Date]]&lt;&gt;"",Main[[#This Row],[Revised Due Date]]&lt;&gt;"",Main[[#This Row],[In Stock Date]]&lt;&gt;""),Main[[#This Row],[In Stock Date]]-Main[[#This Row],[Revised Due Date]],""))</f>
        <v/>
      </c>
      <c r="I144" s="139" t="s">
        <v>4</v>
      </c>
      <c r="J144" s="139" t="s">
        <v>4</v>
      </c>
      <c r="K144" s="139" t="s">
        <v>4</v>
      </c>
      <c r="L144" s="129"/>
      <c r="M144" s="114" t="str">
        <f>IF(Main[[#This Row],[Tech Start Date]]&lt;1/1/1990,"",IF(Main[[#This Row],[Class]]="C",WORKDAY(Main[[#This Row],[Tech Start Date]],9),IF(Main[[#This Row],[Class]]="B", WORKDAY(Main[[#This Row],[Tech Start Date]],6),IF(Main[[#This Row],[Class]]="A",WORKDAY(Main[[#This Row],[Tech Start Date]],2),""))))</f>
        <v/>
      </c>
      <c r="N144" s="114" t="str">
        <f>IF(Main[[#This Row],[Tech Start Date]]&lt;1/1/1990,"",IF(Main[[#This Row],[Class]]="C",WORKDAY(Main[[#This Row],[Tech Start Date]],19),IF(Main[[#This Row],[Class]]="B", WORKDAY(Main[[#This Row],[Tech Start Date]],12),IF(Main[[#This Row],[Class]]="A",WORKDAY(Main[[#This Row],[Tech Start Date]],4),""))))</f>
        <v/>
      </c>
      <c r="O144" s="114" t="str">
        <f>IF(Main[[#This Row],[Tech Start Date]]&lt;1/1/1990,"",IF(Main[[#This Row],[Class]]="C",WORKDAY(Main[[#This Row],[Tech Start Date]],23),IF(Main[[#This Row],[Class]]="B", WORKDAY(Main[[#This Row],[Tech Start Date]],15),IF(Main[[#This Row],[Class]]="A",WORKDAY(Main[[#This Row],[Tech Start Date]],5),""))))</f>
        <v/>
      </c>
      <c r="P144" s="114" t="str">
        <f>IF(Main[[#This Row],[Tech Start Date]]&lt;1/1/1990,"",IF(Main[[#This Row],[Class]]="C",WORKDAY(Main[[#This Row],[Tech Start Date]],28),IF(Main[[#This Row],[Class]]="B", WORKDAY(Main[[#This Row],[Tech Start Date]],19),IF(Main[[#This Row],[Class]]="A",WORKDAY(Main[[#This Row],[Tech Start Date]],9),""))))</f>
        <v/>
      </c>
      <c r="Q144" s="129"/>
      <c r="R144" s="129"/>
      <c r="S144" s="139" t="s">
        <v>6</v>
      </c>
      <c r="T144" s="115" t="s">
        <v>4</v>
      </c>
      <c r="U144" s="139" t="s">
        <v>29</v>
      </c>
      <c r="V144" s="139" t="s">
        <v>1914</v>
      </c>
      <c r="W144" s="139" t="s">
        <v>1922</v>
      </c>
      <c r="X144" s="139" t="s">
        <v>2820</v>
      </c>
      <c r="Y144" s="112" t="s">
        <v>2944</v>
      </c>
      <c r="Z144" s="112" t="s">
        <v>4</v>
      </c>
      <c r="AA144" s="139" t="s">
        <v>2873</v>
      </c>
    </row>
    <row r="145" spans="1:27" ht="17.25" customHeight="1">
      <c r="A145" s="69" t="str">
        <f>IF(priority(Main[[#This Row],[Comments]])&lt;&gt;0, priority(Main[[#This Row],[Comments]]),"")</f>
        <v/>
      </c>
      <c r="B145" s="63" t="s">
        <v>1018</v>
      </c>
      <c r="C145" s="148" t="s">
        <v>31</v>
      </c>
      <c r="D145" s="113" t="s">
        <v>32</v>
      </c>
      <c r="E145" s="129"/>
      <c r="F145" s="129">
        <v>40634</v>
      </c>
      <c r="G145" s="69" t="str">
        <f>IF(stdProdLT(Main[[#This Row],[Comments]])=0.1,"N/A",IF(stdProdLT(Main[[#This Row],[Comments]])=0,"",stdProdLT(Main[[#This Row],[Comments]])))</f>
        <v/>
      </c>
      <c r="H145" s="138" t="str">
        <f>IF(Main[[#This Row],[In Stock Date]]="N/A", "N/A",IF(AND(Main[[#This Row],[In Stock Date]]&lt;&gt;"",Main[[#This Row],[Revised Due Date]]&lt;&gt;"",Main[[#This Row],[In Stock Date]]&lt;&gt;""),Main[[#This Row],[In Stock Date]]-Main[[#This Row],[Revised Due Date]],""))</f>
        <v/>
      </c>
      <c r="I145" s="139" t="s">
        <v>4</v>
      </c>
      <c r="J145" s="139" t="s">
        <v>4</v>
      </c>
      <c r="K145" s="139" t="s">
        <v>4</v>
      </c>
      <c r="L145" s="129"/>
      <c r="M145" s="114" t="str">
        <f>IF(Main[[#This Row],[Tech Start Date]]&lt;1/1/1990,"",IF(Main[[#This Row],[Class]]="C",WORKDAY(Main[[#This Row],[Tech Start Date]],9),IF(Main[[#This Row],[Class]]="B", WORKDAY(Main[[#This Row],[Tech Start Date]],6),IF(Main[[#This Row],[Class]]="A",WORKDAY(Main[[#This Row],[Tech Start Date]],2),""))))</f>
        <v/>
      </c>
      <c r="N145" s="114" t="str">
        <f>IF(Main[[#This Row],[Tech Start Date]]&lt;1/1/1990,"",IF(Main[[#This Row],[Class]]="C",WORKDAY(Main[[#This Row],[Tech Start Date]],19),IF(Main[[#This Row],[Class]]="B", WORKDAY(Main[[#This Row],[Tech Start Date]],12),IF(Main[[#This Row],[Class]]="A",WORKDAY(Main[[#This Row],[Tech Start Date]],4),""))))</f>
        <v/>
      </c>
      <c r="O145" s="114" t="str">
        <f>IF(Main[[#This Row],[Tech Start Date]]&lt;1/1/1990,"",IF(Main[[#This Row],[Class]]="C",WORKDAY(Main[[#This Row],[Tech Start Date]],23),IF(Main[[#This Row],[Class]]="B", WORKDAY(Main[[#This Row],[Tech Start Date]],15),IF(Main[[#This Row],[Class]]="A",WORKDAY(Main[[#This Row],[Tech Start Date]],5),""))))</f>
        <v/>
      </c>
      <c r="P145" s="114" t="str">
        <f>IF(Main[[#This Row],[Tech Start Date]]&lt;1/1/1990,"",IF(Main[[#This Row],[Class]]="C",WORKDAY(Main[[#This Row],[Tech Start Date]],28),IF(Main[[#This Row],[Class]]="B", WORKDAY(Main[[#This Row],[Tech Start Date]],19),IF(Main[[#This Row],[Class]]="A",WORKDAY(Main[[#This Row],[Tech Start Date]],9),""))))</f>
        <v/>
      </c>
      <c r="Q145" s="129"/>
      <c r="R145" s="129"/>
      <c r="S145" s="139" t="s">
        <v>11</v>
      </c>
      <c r="T145" s="115" t="s">
        <v>4</v>
      </c>
      <c r="U145" s="139" t="s">
        <v>14</v>
      </c>
      <c r="V145" s="139" t="s">
        <v>1917</v>
      </c>
      <c r="W145" s="139" t="s">
        <v>1919</v>
      </c>
      <c r="X145" s="139" t="s">
        <v>2825</v>
      </c>
      <c r="Y145" s="112" t="s">
        <v>2945</v>
      </c>
      <c r="Z145" s="112" t="s">
        <v>4</v>
      </c>
      <c r="AA145" s="139" t="s">
        <v>2845</v>
      </c>
    </row>
    <row r="146" spans="1:27" ht="17.25" customHeight="1">
      <c r="A146" s="69" t="str">
        <f>IF(priority(Main[[#This Row],[Comments]])&lt;&gt;0, priority(Main[[#This Row],[Comments]]),"")</f>
        <v/>
      </c>
      <c r="B146" s="63" t="s">
        <v>1019</v>
      </c>
      <c r="C146" s="148" t="s">
        <v>33</v>
      </c>
      <c r="D146" s="113" t="s">
        <v>34</v>
      </c>
      <c r="E146" s="129"/>
      <c r="F146" s="129">
        <v>40764</v>
      </c>
      <c r="G146" s="69" t="str">
        <f>IF(stdProdLT(Main[[#This Row],[Comments]])=0.1,"N/A",IF(stdProdLT(Main[[#This Row],[Comments]])=0,"",stdProdLT(Main[[#This Row],[Comments]])))</f>
        <v/>
      </c>
      <c r="H146" s="138" t="str">
        <f>IF(Main[[#This Row],[In Stock Date]]="N/A", "N/A",IF(AND(Main[[#This Row],[In Stock Date]]&lt;&gt;"",Main[[#This Row],[Revised Due Date]]&lt;&gt;"",Main[[#This Row],[In Stock Date]]&lt;&gt;""),Main[[#This Row],[In Stock Date]]-Main[[#This Row],[Revised Due Date]],""))</f>
        <v/>
      </c>
      <c r="I146" s="139" t="s">
        <v>4</v>
      </c>
      <c r="J146" s="139" t="s">
        <v>28</v>
      </c>
      <c r="K146" s="139" t="s">
        <v>1921</v>
      </c>
      <c r="L146" s="129"/>
      <c r="M146" s="114" t="str">
        <f>IF(Main[[#This Row],[Tech Start Date]]&lt;1/1/1990,"",IF(Main[[#This Row],[Class]]="C",WORKDAY(Main[[#This Row],[Tech Start Date]],9),IF(Main[[#This Row],[Class]]="B", WORKDAY(Main[[#This Row],[Tech Start Date]],6),IF(Main[[#This Row],[Class]]="A",WORKDAY(Main[[#This Row],[Tech Start Date]],2),""))))</f>
        <v/>
      </c>
      <c r="N146" s="114" t="str">
        <f>IF(Main[[#This Row],[Tech Start Date]]&lt;1/1/1990,"",IF(Main[[#This Row],[Class]]="C",WORKDAY(Main[[#This Row],[Tech Start Date]],19),IF(Main[[#This Row],[Class]]="B", WORKDAY(Main[[#This Row],[Tech Start Date]],12),IF(Main[[#This Row],[Class]]="A",WORKDAY(Main[[#This Row],[Tech Start Date]],4),""))))</f>
        <v/>
      </c>
      <c r="O146" s="114" t="str">
        <f>IF(Main[[#This Row],[Tech Start Date]]&lt;1/1/1990,"",IF(Main[[#This Row],[Class]]="C",WORKDAY(Main[[#This Row],[Tech Start Date]],23),IF(Main[[#This Row],[Class]]="B", WORKDAY(Main[[#This Row],[Tech Start Date]],15),IF(Main[[#This Row],[Class]]="A",WORKDAY(Main[[#This Row],[Tech Start Date]],5),""))))</f>
        <v/>
      </c>
      <c r="P146" s="114" t="str">
        <f>IF(Main[[#This Row],[Tech Start Date]]&lt;1/1/1990,"",IF(Main[[#This Row],[Class]]="C",WORKDAY(Main[[#This Row],[Tech Start Date]],28),IF(Main[[#This Row],[Class]]="B", WORKDAY(Main[[#This Row],[Tech Start Date]],19),IF(Main[[#This Row],[Class]]="A",WORKDAY(Main[[#This Row],[Tech Start Date]],9),""))))</f>
        <v/>
      </c>
      <c r="Q146" s="129">
        <v>40568</v>
      </c>
      <c r="R146" s="129"/>
      <c r="S146" s="139" t="s">
        <v>11</v>
      </c>
      <c r="T146" s="115" t="s">
        <v>4</v>
      </c>
      <c r="U146" s="139" t="s">
        <v>14</v>
      </c>
      <c r="V146" s="139" t="s">
        <v>1914</v>
      </c>
      <c r="W146" s="139" t="s">
        <v>1922</v>
      </c>
      <c r="X146" s="139" t="s">
        <v>2826</v>
      </c>
      <c r="Y146" s="112" t="s">
        <v>2946</v>
      </c>
      <c r="Z146" s="112" t="s">
        <v>129</v>
      </c>
      <c r="AA146" s="139" t="s">
        <v>2826</v>
      </c>
    </row>
    <row r="147" spans="1:27" ht="17.25" customHeight="1">
      <c r="A147" s="69" t="str">
        <f>IF(priority(Main[[#This Row],[Comments]])&lt;&gt;0, priority(Main[[#This Row],[Comments]]),"")</f>
        <v/>
      </c>
      <c r="B147" s="63" t="s">
        <v>1935</v>
      </c>
      <c r="C147" s="148" t="s">
        <v>4</v>
      </c>
      <c r="D147" s="113" t="s">
        <v>35</v>
      </c>
      <c r="E147" s="129"/>
      <c r="F147" s="129"/>
      <c r="G147" s="69" t="str">
        <f>IF(stdProdLT(Main[[#This Row],[Comments]])=0.1,"N/A",IF(stdProdLT(Main[[#This Row],[Comments]])=0,"",stdProdLT(Main[[#This Row],[Comments]])))</f>
        <v/>
      </c>
      <c r="H147" s="138" t="str">
        <f>IF(Main[[#This Row],[In Stock Date]]="N/A", "N/A",IF(AND(Main[[#This Row],[In Stock Date]]&lt;&gt;"",Main[[#This Row],[Revised Due Date]]&lt;&gt;"",Main[[#This Row],[In Stock Date]]&lt;&gt;""),Main[[#This Row],[In Stock Date]]-Main[[#This Row],[Revised Due Date]],""))</f>
        <v/>
      </c>
      <c r="I147" s="139" t="s">
        <v>4</v>
      </c>
      <c r="J147" s="139" t="s">
        <v>4</v>
      </c>
      <c r="K147" s="139" t="s">
        <v>4</v>
      </c>
      <c r="L147" s="129"/>
      <c r="M147" s="114" t="str">
        <f>IF(Main[[#This Row],[Tech Start Date]]&lt;1/1/1990,"",IF(Main[[#This Row],[Class]]="C",WORKDAY(Main[[#This Row],[Tech Start Date]],9),IF(Main[[#This Row],[Class]]="B", WORKDAY(Main[[#This Row],[Tech Start Date]],6),IF(Main[[#This Row],[Class]]="A",WORKDAY(Main[[#This Row],[Tech Start Date]],2),""))))</f>
        <v/>
      </c>
      <c r="N147" s="114" t="str">
        <f>IF(Main[[#This Row],[Tech Start Date]]&lt;1/1/1990,"",IF(Main[[#This Row],[Class]]="C",WORKDAY(Main[[#This Row],[Tech Start Date]],19),IF(Main[[#This Row],[Class]]="B", WORKDAY(Main[[#This Row],[Tech Start Date]],12),IF(Main[[#This Row],[Class]]="A",WORKDAY(Main[[#This Row],[Tech Start Date]],4),""))))</f>
        <v/>
      </c>
      <c r="O147" s="114" t="str">
        <f>IF(Main[[#This Row],[Tech Start Date]]&lt;1/1/1990,"",IF(Main[[#This Row],[Class]]="C",WORKDAY(Main[[#This Row],[Tech Start Date]],23),IF(Main[[#This Row],[Class]]="B", WORKDAY(Main[[#This Row],[Tech Start Date]],15),IF(Main[[#This Row],[Class]]="A",WORKDAY(Main[[#This Row],[Tech Start Date]],5),""))))</f>
        <v/>
      </c>
      <c r="P147" s="114" t="str">
        <f>IF(Main[[#This Row],[Tech Start Date]]&lt;1/1/1990,"",IF(Main[[#This Row],[Class]]="C",WORKDAY(Main[[#This Row],[Tech Start Date]],28),IF(Main[[#This Row],[Class]]="B", WORKDAY(Main[[#This Row],[Tech Start Date]],19),IF(Main[[#This Row],[Class]]="A",WORKDAY(Main[[#This Row],[Tech Start Date]],9),""))))</f>
        <v/>
      </c>
      <c r="Q147" s="129"/>
      <c r="R147" s="129"/>
      <c r="S147" s="139" t="s">
        <v>23</v>
      </c>
      <c r="T147" s="115" t="s">
        <v>4</v>
      </c>
      <c r="U147" s="139" t="s">
        <v>14</v>
      </c>
      <c r="V147" s="139" t="s">
        <v>1924</v>
      </c>
      <c r="W147" s="139" t="s">
        <v>1918</v>
      </c>
      <c r="X147" s="139" t="s">
        <v>399</v>
      </c>
      <c r="Y147" s="112" t="s">
        <v>4</v>
      </c>
      <c r="Z147" s="112" t="s">
        <v>4</v>
      </c>
      <c r="AA147" s="139" t="s">
        <v>3374</v>
      </c>
    </row>
    <row r="148" spans="1:27" ht="17.25" customHeight="1">
      <c r="A148" s="69" t="str">
        <f>IF(priority(Main[[#This Row],[Comments]])&lt;&gt;0, priority(Main[[#This Row],[Comments]]),"")</f>
        <v/>
      </c>
      <c r="B148" s="63" t="s">
        <v>1020</v>
      </c>
      <c r="C148" s="148" t="s">
        <v>4</v>
      </c>
      <c r="D148" s="113" t="s">
        <v>36</v>
      </c>
      <c r="E148" s="129"/>
      <c r="F148" s="129"/>
      <c r="G148" s="69" t="str">
        <f>IF(stdProdLT(Main[[#This Row],[Comments]])=0.1,"N/A",IF(stdProdLT(Main[[#This Row],[Comments]])=0,"",stdProdLT(Main[[#This Row],[Comments]])))</f>
        <v/>
      </c>
      <c r="H148" s="138" t="str">
        <f>IF(Main[[#This Row],[In Stock Date]]="N/A", "N/A",IF(AND(Main[[#This Row],[In Stock Date]]&lt;&gt;"",Main[[#This Row],[Revised Due Date]]&lt;&gt;"",Main[[#This Row],[In Stock Date]]&lt;&gt;""),Main[[#This Row],[In Stock Date]]-Main[[#This Row],[Revised Due Date]],""))</f>
        <v/>
      </c>
      <c r="I148" s="139" t="s">
        <v>4</v>
      </c>
      <c r="J148" s="139" t="s">
        <v>4</v>
      </c>
      <c r="K148" s="139" t="s">
        <v>4</v>
      </c>
      <c r="L148" s="129"/>
      <c r="M148" s="114" t="str">
        <f>IF(Main[[#This Row],[Tech Start Date]]&lt;1/1/1990,"",IF(Main[[#This Row],[Class]]="C",WORKDAY(Main[[#This Row],[Tech Start Date]],9),IF(Main[[#This Row],[Class]]="B", WORKDAY(Main[[#This Row],[Tech Start Date]],6),IF(Main[[#This Row],[Class]]="A",WORKDAY(Main[[#This Row],[Tech Start Date]],2),""))))</f>
        <v/>
      </c>
      <c r="N148" s="114" t="str">
        <f>IF(Main[[#This Row],[Tech Start Date]]&lt;1/1/1990,"",IF(Main[[#This Row],[Class]]="C",WORKDAY(Main[[#This Row],[Tech Start Date]],19),IF(Main[[#This Row],[Class]]="B", WORKDAY(Main[[#This Row],[Tech Start Date]],12),IF(Main[[#This Row],[Class]]="A",WORKDAY(Main[[#This Row],[Tech Start Date]],4),""))))</f>
        <v/>
      </c>
      <c r="O148" s="114" t="str">
        <f>IF(Main[[#This Row],[Tech Start Date]]&lt;1/1/1990,"",IF(Main[[#This Row],[Class]]="C",WORKDAY(Main[[#This Row],[Tech Start Date]],23),IF(Main[[#This Row],[Class]]="B", WORKDAY(Main[[#This Row],[Tech Start Date]],15),IF(Main[[#This Row],[Class]]="A",WORKDAY(Main[[#This Row],[Tech Start Date]],5),""))))</f>
        <v/>
      </c>
      <c r="P148" s="114" t="str">
        <f>IF(Main[[#This Row],[Tech Start Date]]&lt;1/1/1990,"",IF(Main[[#This Row],[Class]]="C",WORKDAY(Main[[#This Row],[Tech Start Date]],28),IF(Main[[#This Row],[Class]]="B", WORKDAY(Main[[#This Row],[Tech Start Date]],19),IF(Main[[#This Row],[Class]]="A",WORKDAY(Main[[#This Row],[Tech Start Date]],9),""))))</f>
        <v/>
      </c>
      <c r="Q148" s="129">
        <v>40781</v>
      </c>
      <c r="R148" s="129"/>
      <c r="S148" s="139" t="s">
        <v>11</v>
      </c>
      <c r="T148" s="115" t="s">
        <v>4</v>
      </c>
      <c r="U148" s="139" t="s">
        <v>14</v>
      </c>
      <c r="V148" s="139" t="s">
        <v>1914</v>
      </c>
      <c r="W148" s="139" t="s">
        <v>1918</v>
      </c>
      <c r="X148" s="139" t="s">
        <v>2821</v>
      </c>
      <c r="Y148" s="112" t="s">
        <v>2936</v>
      </c>
      <c r="Z148" s="112" t="s">
        <v>4</v>
      </c>
      <c r="AA148" s="139" t="s">
        <v>2821</v>
      </c>
    </row>
    <row r="149" spans="1:27" ht="17.25" customHeight="1">
      <c r="A149" s="69" t="str">
        <f>IF(priority(Main[[#This Row],[Comments]])&lt;&gt;0, priority(Main[[#This Row],[Comments]]),"")</f>
        <v/>
      </c>
      <c r="B149" s="63" t="s">
        <v>1021</v>
      </c>
      <c r="C149" s="148" t="s">
        <v>26</v>
      </c>
      <c r="D149" s="113" t="s">
        <v>38</v>
      </c>
      <c r="E149" s="129"/>
      <c r="F149" s="129">
        <v>40743</v>
      </c>
      <c r="G149" s="69" t="str">
        <f>IF(stdProdLT(Main[[#This Row],[Comments]])=0.1,"N/A",IF(stdProdLT(Main[[#This Row],[Comments]])=0,"",stdProdLT(Main[[#This Row],[Comments]])))</f>
        <v/>
      </c>
      <c r="H149" s="138" t="str">
        <f>IF(Main[[#This Row],[In Stock Date]]="N/A", "N/A",IF(AND(Main[[#This Row],[In Stock Date]]&lt;&gt;"",Main[[#This Row],[Revised Due Date]]&lt;&gt;"",Main[[#This Row],[In Stock Date]]&lt;&gt;""),Main[[#This Row],[In Stock Date]]-Main[[#This Row],[Revised Due Date]],""))</f>
        <v/>
      </c>
      <c r="I149" s="139" t="s">
        <v>4</v>
      </c>
      <c r="J149" s="139" t="s">
        <v>28</v>
      </c>
      <c r="K149" s="139" t="s">
        <v>4</v>
      </c>
      <c r="L149" s="129"/>
      <c r="M149" s="114" t="str">
        <f>IF(Main[[#This Row],[Tech Start Date]]&lt;1/1/1990,"",IF(Main[[#This Row],[Class]]="C",WORKDAY(Main[[#This Row],[Tech Start Date]],9),IF(Main[[#This Row],[Class]]="B", WORKDAY(Main[[#This Row],[Tech Start Date]],6),IF(Main[[#This Row],[Class]]="A",WORKDAY(Main[[#This Row],[Tech Start Date]],2),""))))</f>
        <v/>
      </c>
      <c r="N149" s="114" t="str">
        <f>IF(Main[[#This Row],[Tech Start Date]]&lt;1/1/1990,"",IF(Main[[#This Row],[Class]]="C",WORKDAY(Main[[#This Row],[Tech Start Date]],19),IF(Main[[#This Row],[Class]]="B", WORKDAY(Main[[#This Row],[Tech Start Date]],12),IF(Main[[#This Row],[Class]]="A",WORKDAY(Main[[#This Row],[Tech Start Date]],4),""))))</f>
        <v/>
      </c>
      <c r="O149" s="114" t="str">
        <f>IF(Main[[#This Row],[Tech Start Date]]&lt;1/1/1990,"",IF(Main[[#This Row],[Class]]="C",WORKDAY(Main[[#This Row],[Tech Start Date]],23),IF(Main[[#This Row],[Class]]="B", WORKDAY(Main[[#This Row],[Tech Start Date]],15),IF(Main[[#This Row],[Class]]="A",WORKDAY(Main[[#This Row],[Tech Start Date]],5),""))))</f>
        <v/>
      </c>
      <c r="P149" s="114" t="str">
        <f>IF(Main[[#This Row],[Tech Start Date]]&lt;1/1/1990,"",IF(Main[[#This Row],[Class]]="C",WORKDAY(Main[[#This Row],[Tech Start Date]],28),IF(Main[[#This Row],[Class]]="B", WORKDAY(Main[[#This Row],[Tech Start Date]],19),IF(Main[[#This Row],[Class]]="A",WORKDAY(Main[[#This Row],[Tech Start Date]],9),""))))</f>
        <v/>
      </c>
      <c r="Q149" s="129">
        <v>40638</v>
      </c>
      <c r="R149" s="129"/>
      <c r="S149" s="139" t="s">
        <v>11</v>
      </c>
      <c r="T149" s="115" t="s">
        <v>4</v>
      </c>
      <c r="U149" s="139" t="s">
        <v>12</v>
      </c>
      <c r="V149" s="139" t="s">
        <v>1914</v>
      </c>
      <c r="W149" s="139" t="s">
        <v>1922</v>
      </c>
      <c r="X149" s="139" t="s">
        <v>129</v>
      </c>
      <c r="Y149" s="112" t="s">
        <v>4</v>
      </c>
      <c r="Z149" s="112" t="s">
        <v>129</v>
      </c>
      <c r="AA149" s="139" t="s">
        <v>3375</v>
      </c>
    </row>
    <row r="150" spans="1:27" ht="17.25" customHeight="1">
      <c r="A150" s="69" t="str">
        <f>IF(priority(Main[[#This Row],[Comments]])&lt;&gt;0, priority(Main[[#This Row],[Comments]]),"")</f>
        <v/>
      </c>
      <c r="B150" s="63" t="s">
        <v>1022</v>
      </c>
      <c r="C150" s="148" t="s">
        <v>4</v>
      </c>
      <c r="D150" s="113" t="s">
        <v>39</v>
      </c>
      <c r="E150" s="129"/>
      <c r="F150" s="129"/>
      <c r="G150" s="69" t="str">
        <f>IF(stdProdLT(Main[[#This Row],[Comments]])=0.1,"N/A",IF(stdProdLT(Main[[#This Row],[Comments]])=0,"",stdProdLT(Main[[#This Row],[Comments]])))</f>
        <v/>
      </c>
      <c r="H150" s="138" t="str">
        <f>IF(Main[[#This Row],[In Stock Date]]="N/A", "N/A",IF(AND(Main[[#This Row],[In Stock Date]]&lt;&gt;"",Main[[#This Row],[Revised Due Date]]&lt;&gt;"",Main[[#This Row],[In Stock Date]]&lt;&gt;""),Main[[#This Row],[In Stock Date]]-Main[[#This Row],[Revised Due Date]],""))</f>
        <v/>
      </c>
      <c r="I150" s="139" t="s">
        <v>4</v>
      </c>
      <c r="J150" s="139" t="s">
        <v>4</v>
      </c>
      <c r="K150" s="140" t="s">
        <v>4</v>
      </c>
      <c r="L150" s="129"/>
      <c r="M150" s="114" t="str">
        <f>IF(Main[[#This Row],[Tech Start Date]]&lt;1/1/1990,"",IF(Main[[#This Row],[Class]]="C",WORKDAY(Main[[#This Row],[Tech Start Date]],9),IF(Main[[#This Row],[Class]]="B", WORKDAY(Main[[#This Row],[Tech Start Date]],6),IF(Main[[#This Row],[Class]]="A",WORKDAY(Main[[#This Row],[Tech Start Date]],2),""))))</f>
        <v/>
      </c>
      <c r="N150" s="114" t="str">
        <f>IF(Main[[#This Row],[Tech Start Date]]&lt;1/1/1990,"",IF(Main[[#This Row],[Class]]="C",WORKDAY(Main[[#This Row],[Tech Start Date]],19),IF(Main[[#This Row],[Class]]="B", WORKDAY(Main[[#This Row],[Tech Start Date]],12),IF(Main[[#This Row],[Class]]="A",WORKDAY(Main[[#This Row],[Tech Start Date]],4),""))))</f>
        <v/>
      </c>
      <c r="O150" s="114" t="str">
        <f>IF(Main[[#This Row],[Tech Start Date]]&lt;1/1/1990,"",IF(Main[[#This Row],[Class]]="C",WORKDAY(Main[[#This Row],[Tech Start Date]],23),IF(Main[[#This Row],[Class]]="B", WORKDAY(Main[[#This Row],[Tech Start Date]],15),IF(Main[[#This Row],[Class]]="A",WORKDAY(Main[[#This Row],[Tech Start Date]],5),""))))</f>
        <v/>
      </c>
      <c r="P150" s="114" t="str">
        <f>IF(Main[[#This Row],[Tech Start Date]]&lt;1/1/1990,"",IF(Main[[#This Row],[Class]]="C",WORKDAY(Main[[#This Row],[Tech Start Date]],28),IF(Main[[#This Row],[Class]]="B", WORKDAY(Main[[#This Row],[Tech Start Date]],19),IF(Main[[#This Row],[Class]]="A",WORKDAY(Main[[#This Row],[Tech Start Date]],9),""))))</f>
        <v/>
      </c>
      <c r="Q150" s="129">
        <v>40669</v>
      </c>
      <c r="R150" s="129"/>
      <c r="S150" s="139" t="s">
        <v>6</v>
      </c>
      <c r="T150" s="115" t="s">
        <v>4</v>
      </c>
      <c r="U150" s="139" t="s">
        <v>14</v>
      </c>
      <c r="V150" s="139" t="s">
        <v>1917</v>
      </c>
      <c r="W150" s="139" t="s">
        <v>4</v>
      </c>
      <c r="X150" s="139" t="s">
        <v>2818</v>
      </c>
      <c r="Y150" s="112" t="s">
        <v>2929</v>
      </c>
      <c r="Z150" s="112" t="s">
        <v>4</v>
      </c>
      <c r="AA150" s="139" t="s">
        <v>2818</v>
      </c>
    </row>
    <row r="151" spans="1:27" ht="17.25" customHeight="1">
      <c r="A151" s="69" t="str">
        <f>IF(priority(Main[[#This Row],[Comments]])&lt;&gt;0, priority(Main[[#This Row],[Comments]]),"")</f>
        <v/>
      </c>
      <c r="B151" s="63" t="s">
        <v>1023</v>
      </c>
      <c r="C151" s="148" t="s">
        <v>4</v>
      </c>
      <c r="D151" s="113" t="s">
        <v>40</v>
      </c>
      <c r="E151" s="129"/>
      <c r="F151" s="129"/>
      <c r="G151" s="69" t="str">
        <f>IF(stdProdLT(Main[[#This Row],[Comments]])=0.1,"N/A",IF(stdProdLT(Main[[#This Row],[Comments]])=0,"",stdProdLT(Main[[#This Row],[Comments]])))</f>
        <v/>
      </c>
      <c r="H151" s="138" t="str">
        <f>IF(Main[[#This Row],[In Stock Date]]="N/A", "N/A",IF(AND(Main[[#This Row],[In Stock Date]]&lt;&gt;"",Main[[#This Row],[Revised Due Date]]&lt;&gt;"",Main[[#This Row],[In Stock Date]]&lt;&gt;""),Main[[#This Row],[In Stock Date]]-Main[[#This Row],[Revised Due Date]],""))</f>
        <v/>
      </c>
      <c r="I151" s="139" t="s">
        <v>4</v>
      </c>
      <c r="J151" s="139" t="s">
        <v>4</v>
      </c>
      <c r="K151" s="139" t="s">
        <v>4</v>
      </c>
      <c r="L151" s="129"/>
      <c r="M151" s="114" t="str">
        <f>IF(Main[[#This Row],[Tech Start Date]]&lt;1/1/1990,"",IF(Main[[#This Row],[Class]]="C",WORKDAY(Main[[#This Row],[Tech Start Date]],9),IF(Main[[#This Row],[Class]]="B", WORKDAY(Main[[#This Row],[Tech Start Date]],6),IF(Main[[#This Row],[Class]]="A",WORKDAY(Main[[#This Row],[Tech Start Date]],2),""))))</f>
        <v/>
      </c>
      <c r="N151" s="114" t="str">
        <f>IF(Main[[#This Row],[Tech Start Date]]&lt;1/1/1990,"",IF(Main[[#This Row],[Class]]="C",WORKDAY(Main[[#This Row],[Tech Start Date]],19),IF(Main[[#This Row],[Class]]="B", WORKDAY(Main[[#This Row],[Tech Start Date]],12),IF(Main[[#This Row],[Class]]="A",WORKDAY(Main[[#This Row],[Tech Start Date]],4),""))))</f>
        <v/>
      </c>
      <c r="O151" s="114" t="str">
        <f>IF(Main[[#This Row],[Tech Start Date]]&lt;1/1/1990,"",IF(Main[[#This Row],[Class]]="C",WORKDAY(Main[[#This Row],[Tech Start Date]],23),IF(Main[[#This Row],[Class]]="B", WORKDAY(Main[[#This Row],[Tech Start Date]],15),IF(Main[[#This Row],[Class]]="A",WORKDAY(Main[[#This Row],[Tech Start Date]],5),""))))</f>
        <v/>
      </c>
      <c r="P151" s="114" t="str">
        <f>IF(Main[[#This Row],[Tech Start Date]]&lt;1/1/1990,"",IF(Main[[#This Row],[Class]]="C",WORKDAY(Main[[#This Row],[Tech Start Date]],28),IF(Main[[#This Row],[Class]]="B", WORKDAY(Main[[#This Row],[Tech Start Date]],19),IF(Main[[#This Row],[Class]]="A",WORKDAY(Main[[#This Row],[Tech Start Date]],9),""))))</f>
        <v/>
      </c>
      <c r="Q151" s="129">
        <v>40368</v>
      </c>
      <c r="R151" s="129"/>
      <c r="S151" s="139" t="s">
        <v>6</v>
      </c>
      <c r="T151" s="115" t="s">
        <v>4</v>
      </c>
      <c r="U151" s="139" t="s">
        <v>14</v>
      </c>
      <c r="V151" s="139" t="s">
        <v>1924</v>
      </c>
      <c r="W151" s="139" t="s">
        <v>1916</v>
      </c>
      <c r="X151" s="139" t="s">
        <v>50</v>
      </c>
      <c r="Y151" s="112" t="s">
        <v>2947</v>
      </c>
      <c r="Z151" s="112" t="s">
        <v>4</v>
      </c>
      <c r="AA151" s="139" t="s">
        <v>971</v>
      </c>
    </row>
    <row r="152" spans="1:27" ht="17.25" customHeight="1">
      <c r="A152" s="69" t="str">
        <f>IF(priority(Main[[#This Row],[Comments]])&lt;&gt;0, priority(Main[[#This Row],[Comments]]),"")</f>
        <v/>
      </c>
      <c r="B152" s="63" t="s">
        <v>1024</v>
      </c>
      <c r="C152" s="148" t="s">
        <v>33</v>
      </c>
      <c r="D152" s="113" t="s">
        <v>41</v>
      </c>
      <c r="E152" s="129"/>
      <c r="F152" s="129"/>
      <c r="G152" s="69" t="str">
        <f>IF(stdProdLT(Main[[#This Row],[Comments]])=0.1,"N/A",IF(stdProdLT(Main[[#This Row],[Comments]])=0,"",stdProdLT(Main[[#This Row],[Comments]])))</f>
        <v/>
      </c>
      <c r="H152" s="138" t="str">
        <f>IF(Main[[#This Row],[In Stock Date]]="N/A", "N/A",IF(AND(Main[[#This Row],[In Stock Date]]&lt;&gt;"",Main[[#This Row],[Revised Due Date]]&lt;&gt;"",Main[[#This Row],[In Stock Date]]&lt;&gt;""),Main[[#This Row],[In Stock Date]]-Main[[#This Row],[Revised Due Date]],""))</f>
        <v/>
      </c>
      <c r="I152" s="139" t="s">
        <v>4</v>
      </c>
      <c r="J152" s="139" t="s">
        <v>4</v>
      </c>
      <c r="K152" s="139" t="s">
        <v>4</v>
      </c>
      <c r="L152" s="129"/>
      <c r="M152" s="114" t="str">
        <f>IF(Main[[#This Row],[Tech Start Date]]&lt;1/1/1990,"",IF(Main[[#This Row],[Class]]="C",WORKDAY(Main[[#This Row],[Tech Start Date]],9),IF(Main[[#This Row],[Class]]="B", WORKDAY(Main[[#This Row],[Tech Start Date]],6),IF(Main[[#This Row],[Class]]="A",WORKDAY(Main[[#This Row],[Tech Start Date]],2),""))))</f>
        <v/>
      </c>
      <c r="N152" s="114" t="str">
        <f>IF(Main[[#This Row],[Tech Start Date]]&lt;1/1/1990,"",IF(Main[[#This Row],[Class]]="C",WORKDAY(Main[[#This Row],[Tech Start Date]],19),IF(Main[[#This Row],[Class]]="B", WORKDAY(Main[[#This Row],[Tech Start Date]],12),IF(Main[[#This Row],[Class]]="A",WORKDAY(Main[[#This Row],[Tech Start Date]],4),""))))</f>
        <v/>
      </c>
      <c r="O152" s="114" t="str">
        <f>IF(Main[[#This Row],[Tech Start Date]]&lt;1/1/1990,"",IF(Main[[#This Row],[Class]]="C",WORKDAY(Main[[#This Row],[Tech Start Date]],23),IF(Main[[#This Row],[Class]]="B", WORKDAY(Main[[#This Row],[Tech Start Date]],15),IF(Main[[#This Row],[Class]]="A",WORKDAY(Main[[#This Row],[Tech Start Date]],5),""))))</f>
        <v/>
      </c>
      <c r="P152" s="114" t="str">
        <f>IF(Main[[#This Row],[Tech Start Date]]&lt;1/1/1990,"",IF(Main[[#This Row],[Class]]="C",WORKDAY(Main[[#This Row],[Tech Start Date]],28),IF(Main[[#This Row],[Class]]="B", WORKDAY(Main[[#This Row],[Tech Start Date]],19),IF(Main[[#This Row],[Class]]="A",WORKDAY(Main[[#This Row],[Tech Start Date]],9),""))))</f>
        <v/>
      </c>
      <c r="Q152" s="129"/>
      <c r="R152" s="129"/>
      <c r="S152" s="139" t="s">
        <v>11</v>
      </c>
      <c r="T152" s="115" t="s">
        <v>4</v>
      </c>
      <c r="U152" s="139" t="s">
        <v>14</v>
      </c>
      <c r="V152" s="139" t="s">
        <v>1915</v>
      </c>
      <c r="W152" s="139" t="s">
        <v>1922</v>
      </c>
      <c r="X152" s="139" t="s">
        <v>2827</v>
      </c>
      <c r="Y152" s="112" t="s">
        <v>2948</v>
      </c>
      <c r="Z152" s="112" t="s">
        <v>4</v>
      </c>
      <c r="AA152" s="139" t="s">
        <v>2827</v>
      </c>
    </row>
    <row r="153" spans="1:27" ht="17.25" customHeight="1">
      <c r="A153" s="69" t="str">
        <f>IF(priority(Main[[#This Row],[Comments]])&lt;&gt;0, priority(Main[[#This Row],[Comments]]),"")</f>
        <v/>
      </c>
      <c r="B153" s="63" t="s">
        <v>1025</v>
      </c>
      <c r="C153" s="148" t="s">
        <v>4</v>
      </c>
      <c r="D153" s="113" t="s">
        <v>43</v>
      </c>
      <c r="E153" s="129">
        <v>40500.605023148149</v>
      </c>
      <c r="F153" s="129"/>
      <c r="G153" s="69" t="str">
        <f>IF(stdProdLT(Main[[#This Row],[Comments]])=0.1,"N/A",IF(stdProdLT(Main[[#This Row],[Comments]])=0,"",stdProdLT(Main[[#This Row],[Comments]])))</f>
        <v/>
      </c>
      <c r="H153" s="138" t="str">
        <f>IF(Main[[#This Row],[In Stock Date]]="N/A", "N/A",IF(AND(Main[[#This Row],[In Stock Date]]&lt;&gt;"",Main[[#This Row],[Revised Due Date]]&lt;&gt;"",Main[[#This Row],[In Stock Date]]&lt;&gt;""),Main[[#This Row],[In Stock Date]]-Main[[#This Row],[Revised Due Date]],""))</f>
        <v/>
      </c>
      <c r="I153" s="139" t="s">
        <v>4</v>
      </c>
      <c r="J153" s="139" t="s">
        <v>4</v>
      </c>
      <c r="K153" s="139" t="s">
        <v>4</v>
      </c>
      <c r="L153" s="129"/>
      <c r="M153" s="114" t="str">
        <f>IF(Main[[#This Row],[Tech Start Date]]&lt;1/1/1990,"",IF(Main[[#This Row],[Class]]="C",WORKDAY(Main[[#This Row],[Tech Start Date]],9),IF(Main[[#This Row],[Class]]="B", WORKDAY(Main[[#This Row],[Tech Start Date]],6),IF(Main[[#This Row],[Class]]="A",WORKDAY(Main[[#This Row],[Tech Start Date]],2),""))))</f>
        <v/>
      </c>
      <c r="N153" s="114" t="str">
        <f>IF(Main[[#This Row],[Tech Start Date]]&lt;1/1/1990,"",IF(Main[[#This Row],[Class]]="C",WORKDAY(Main[[#This Row],[Tech Start Date]],19),IF(Main[[#This Row],[Class]]="B", WORKDAY(Main[[#This Row],[Tech Start Date]],12),IF(Main[[#This Row],[Class]]="A",WORKDAY(Main[[#This Row],[Tech Start Date]],4),""))))</f>
        <v/>
      </c>
      <c r="O153" s="114" t="str">
        <f>IF(Main[[#This Row],[Tech Start Date]]&lt;1/1/1990,"",IF(Main[[#This Row],[Class]]="C",WORKDAY(Main[[#This Row],[Tech Start Date]],23),IF(Main[[#This Row],[Class]]="B", WORKDAY(Main[[#This Row],[Tech Start Date]],15),IF(Main[[#This Row],[Class]]="A",WORKDAY(Main[[#This Row],[Tech Start Date]],5),""))))</f>
        <v/>
      </c>
      <c r="P153" s="114" t="str">
        <f>IF(Main[[#This Row],[Tech Start Date]]&lt;1/1/1990,"",IF(Main[[#This Row],[Class]]="C",WORKDAY(Main[[#This Row],[Tech Start Date]],28),IF(Main[[#This Row],[Class]]="B", WORKDAY(Main[[#This Row],[Tech Start Date]],19),IF(Main[[#This Row],[Class]]="A",WORKDAY(Main[[#This Row],[Tech Start Date]],9),""))))</f>
        <v/>
      </c>
      <c r="Q153" s="129">
        <v>40519</v>
      </c>
      <c r="R153" s="129"/>
      <c r="S153" s="139" t="s">
        <v>4</v>
      </c>
      <c r="T153" s="115" t="s">
        <v>4</v>
      </c>
      <c r="U153" s="139" t="s">
        <v>7</v>
      </c>
      <c r="V153" s="139" t="s">
        <v>1914</v>
      </c>
      <c r="W153" s="139" t="s">
        <v>4</v>
      </c>
      <c r="X153" s="139" t="s">
        <v>2821</v>
      </c>
      <c r="Y153" s="112" t="s">
        <v>2936</v>
      </c>
      <c r="Z153" s="112" t="s">
        <v>4</v>
      </c>
      <c r="AA153" s="139" t="s">
        <v>2821</v>
      </c>
    </row>
    <row r="154" spans="1:27" ht="17.25" customHeight="1">
      <c r="A154" s="69" t="str">
        <f>IF(priority(Main[[#This Row],[Comments]])&lt;&gt;0, priority(Main[[#This Row],[Comments]]),"")</f>
        <v/>
      </c>
      <c r="B154" s="63" t="s">
        <v>1027</v>
      </c>
      <c r="C154" s="148" t="s">
        <v>4</v>
      </c>
      <c r="D154" s="113" t="s">
        <v>45</v>
      </c>
      <c r="E154" s="129">
        <v>40486.407523148147</v>
      </c>
      <c r="F154" s="129"/>
      <c r="G154" s="69" t="str">
        <f>IF(stdProdLT(Main[[#This Row],[Comments]])=0.1,"N/A",IF(stdProdLT(Main[[#This Row],[Comments]])=0,"",stdProdLT(Main[[#This Row],[Comments]])))</f>
        <v/>
      </c>
      <c r="H154" s="138" t="str">
        <f>IF(Main[[#This Row],[In Stock Date]]="N/A", "N/A",IF(AND(Main[[#This Row],[In Stock Date]]&lt;&gt;"",Main[[#This Row],[Revised Due Date]]&lt;&gt;"",Main[[#This Row],[In Stock Date]]&lt;&gt;""),Main[[#This Row],[In Stock Date]]-Main[[#This Row],[Revised Due Date]],""))</f>
        <v/>
      </c>
      <c r="I154" s="139" t="s">
        <v>4</v>
      </c>
      <c r="J154" s="139" t="s">
        <v>4</v>
      </c>
      <c r="K154" s="139" t="s">
        <v>4</v>
      </c>
      <c r="L154" s="129"/>
      <c r="M154" s="114" t="str">
        <f>IF(Main[[#This Row],[Tech Start Date]]&lt;1/1/1990,"",IF(Main[[#This Row],[Class]]="C",WORKDAY(Main[[#This Row],[Tech Start Date]],9),IF(Main[[#This Row],[Class]]="B", WORKDAY(Main[[#This Row],[Tech Start Date]],6),IF(Main[[#This Row],[Class]]="A",WORKDAY(Main[[#This Row],[Tech Start Date]],2),""))))</f>
        <v/>
      </c>
      <c r="N154" s="114" t="str">
        <f>IF(Main[[#This Row],[Tech Start Date]]&lt;1/1/1990,"",IF(Main[[#This Row],[Class]]="C",WORKDAY(Main[[#This Row],[Tech Start Date]],19),IF(Main[[#This Row],[Class]]="B", WORKDAY(Main[[#This Row],[Tech Start Date]],12),IF(Main[[#This Row],[Class]]="A",WORKDAY(Main[[#This Row],[Tech Start Date]],4),""))))</f>
        <v/>
      </c>
      <c r="O154" s="114" t="str">
        <f>IF(Main[[#This Row],[Tech Start Date]]&lt;1/1/1990,"",IF(Main[[#This Row],[Class]]="C",WORKDAY(Main[[#This Row],[Tech Start Date]],23),IF(Main[[#This Row],[Class]]="B", WORKDAY(Main[[#This Row],[Tech Start Date]],15),IF(Main[[#This Row],[Class]]="A",WORKDAY(Main[[#This Row],[Tech Start Date]],5),""))))</f>
        <v/>
      </c>
      <c r="P154" s="114" t="str">
        <f>IF(Main[[#This Row],[Tech Start Date]]&lt;1/1/1990,"",IF(Main[[#This Row],[Class]]="C",WORKDAY(Main[[#This Row],[Tech Start Date]],28),IF(Main[[#This Row],[Class]]="B", WORKDAY(Main[[#This Row],[Tech Start Date]],19),IF(Main[[#This Row],[Class]]="A",WORKDAY(Main[[#This Row],[Tech Start Date]],9),""))))</f>
        <v/>
      </c>
      <c r="Q154" s="129">
        <v>40522</v>
      </c>
      <c r="R154" s="129"/>
      <c r="S154" s="139" t="s">
        <v>6</v>
      </c>
      <c r="T154" s="115" t="s">
        <v>4</v>
      </c>
      <c r="U154" s="139" t="s">
        <v>7</v>
      </c>
      <c r="V154" s="139" t="s">
        <v>1914</v>
      </c>
      <c r="W154" s="139" t="s">
        <v>4</v>
      </c>
      <c r="X154" s="139" t="s">
        <v>2818</v>
      </c>
      <c r="Y154" s="112" t="s">
        <v>2929</v>
      </c>
      <c r="Z154" s="112" t="s">
        <v>4</v>
      </c>
      <c r="AA154" s="139" t="s">
        <v>2818</v>
      </c>
    </row>
    <row r="155" spans="1:27" ht="17.25" customHeight="1">
      <c r="A155" s="69" t="str">
        <f>IF(priority(Main[[#This Row],[Comments]])&lt;&gt;0, priority(Main[[#This Row],[Comments]]),"")</f>
        <v/>
      </c>
      <c r="B155" s="63" t="s">
        <v>1029</v>
      </c>
      <c r="C155" s="148" t="s">
        <v>47</v>
      </c>
      <c r="D155" s="113" t="s">
        <v>48</v>
      </c>
      <c r="E155" s="129"/>
      <c r="F155" s="129"/>
      <c r="G155" s="69" t="str">
        <f>IF(stdProdLT(Main[[#This Row],[Comments]])=0.1,"N/A",IF(stdProdLT(Main[[#This Row],[Comments]])=0,"",stdProdLT(Main[[#This Row],[Comments]])))</f>
        <v/>
      </c>
      <c r="H155" s="138" t="str">
        <f>IF(Main[[#This Row],[In Stock Date]]="N/A", "N/A",IF(AND(Main[[#This Row],[In Stock Date]]&lt;&gt;"",Main[[#This Row],[Revised Due Date]]&lt;&gt;"",Main[[#This Row],[In Stock Date]]&lt;&gt;""),Main[[#This Row],[In Stock Date]]-Main[[#This Row],[Revised Due Date]],""))</f>
        <v/>
      </c>
      <c r="I155" s="139" t="s">
        <v>4</v>
      </c>
      <c r="J155" s="139" t="s">
        <v>4</v>
      </c>
      <c r="K155" s="140" t="s">
        <v>4</v>
      </c>
      <c r="L155" s="129"/>
      <c r="M155" s="114" t="str">
        <f>IF(Main[[#This Row],[Tech Start Date]]&lt;1/1/1990,"",IF(Main[[#This Row],[Class]]="C",WORKDAY(Main[[#This Row],[Tech Start Date]],9),IF(Main[[#This Row],[Class]]="B", WORKDAY(Main[[#This Row],[Tech Start Date]],6),IF(Main[[#This Row],[Class]]="A",WORKDAY(Main[[#This Row],[Tech Start Date]],2),""))))</f>
        <v/>
      </c>
      <c r="N155" s="114" t="str">
        <f>IF(Main[[#This Row],[Tech Start Date]]&lt;1/1/1990,"",IF(Main[[#This Row],[Class]]="C",WORKDAY(Main[[#This Row],[Tech Start Date]],19),IF(Main[[#This Row],[Class]]="B", WORKDAY(Main[[#This Row],[Tech Start Date]],12),IF(Main[[#This Row],[Class]]="A",WORKDAY(Main[[#This Row],[Tech Start Date]],4),""))))</f>
        <v/>
      </c>
      <c r="O155" s="114" t="str">
        <f>IF(Main[[#This Row],[Tech Start Date]]&lt;1/1/1990,"",IF(Main[[#This Row],[Class]]="C",WORKDAY(Main[[#This Row],[Tech Start Date]],23),IF(Main[[#This Row],[Class]]="B", WORKDAY(Main[[#This Row],[Tech Start Date]],15),IF(Main[[#This Row],[Class]]="A",WORKDAY(Main[[#This Row],[Tech Start Date]],5),""))))</f>
        <v/>
      </c>
      <c r="P155" s="114" t="str">
        <f>IF(Main[[#This Row],[Tech Start Date]]&lt;1/1/1990,"",IF(Main[[#This Row],[Class]]="C",WORKDAY(Main[[#This Row],[Tech Start Date]],28),IF(Main[[#This Row],[Class]]="B", WORKDAY(Main[[#This Row],[Tech Start Date]],19),IF(Main[[#This Row],[Class]]="A",WORKDAY(Main[[#This Row],[Tech Start Date]],9),""))))</f>
        <v/>
      </c>
      <c r="Q155" s="129"/>
      <c r="R155" s="129"/>
      <c r="S155" s="139" t="s">
        <v>49</v>
      </c>
      <c r="T155" s="115" t="s">
        <v>4</v>
      </c>
      <c r="U155" s="139" t="s">
        <v>14</v>
      </c>
      <c r="V155" s="139" t="s">
        <v>1917</v>
      </c>
      <c r="W155" s="139" t="s">
        <v>1918</v>
      </c>
      <c r="X155" s="139" t="s">
        <v>306</v>
      </c>
      <c r="Y155" s="112" t="s">
        <v>2941</v>
      </c>
      <c r="Z155" s="112" t="s">
        <v>4</v>
      </c>
      <c r="AA155" s="139" t="s">
        <v>3376</v>
      </c>
    </row>
    <row r="156" spans="1:27" ht="17.25" customHeight="1">
      <c r="A156" s="69" t="str">
        <f>IF(priority(Main[[#This Row],[Comments]])&lt;&gt;0, priority(Main[[#This Row],[Comments]]),"")</f>
        <v/>
      </c>
      <c r="B156" s="63" t="s">
        <v>1043</v>
      </c>
      <c r="C156" s="148" t="s">
        <v>67</v>
      </c>
      <c r="D156" s="113" t="s">
        <v>68</v>
      </c>
      <c r="E156" s="129"/>
      <c r="F156" s="129"/>
      <c r="G156" s="69" t="str">
        <f>IF(stdProdLT(Main[[#This Row],[Comments]])=0.1,"N/A",IF(stdProdLT(Main[[#This Row],[Comments]])=0,"",stdProdLT(Main[[#This Row],[Comments]])))</f>
        <v/>
      </c>
      <c r="H156" s="138" t="str">
        <f>IF(Main[[#This Row],[In Stock Date]]="N/A", "N/A",IF(AND(Main[[#This Row],[In Stock Date]]&lt;&gt;"",Main[[#This Row],[Revised Due Date]]&lt;&gt;"",Main[[#This Row],[In Stock Date]]&lt;&gt;""),Main[[#This Row],[In Stock Date]]-Main[[#This Row],[Revised Due Date]],""))</f>
        <v/>
      </c>
      <c r="I156" s="139" t="s">
        <v>4</v>
      </c>
      <c r="J156" s="139" t="s">
        <v>4</v>
      </c>
      <c r="K156" s="140" t="s">
        <v>4</v>
      </c>
      <c r="L156" s="129"/>
      <c r="M156" s="114" t="str">
        <f>IF(Main[[#This Row],[Tech Start Date]]&lt;1/1/1990,"",IF(Main[[#This Row],[Class]]="C",WORKDAY(Main[[#This Row],[Tech Start Date]],9),IF(Main[[#This Row],[Class]]="B", WORKDAY(Main[[#This Row],[Tech Start Date]],6),IF(Main[[#This Row],[Class]]="A",WORKDAY(Main[[#This Row],[Tech Start Date]],2),""))))</f>
        <v/>
      </c>
      <c r="N156" s="114" t="str">
        <f>IF(Main[[#This Row],[Tech Start Date]]&lt;1/1/1990,"",IF(Main[[#This Row],[Class]]="C",WORKDAY(Main[[#This Row],[Tech Start Date]],19),IF(Main[[#This Row],[Class]]="B", WORKDAY(Main[[#This Row],[Tech Start Date]],12),IF(Main[[#This Row],[Class]]="A",WORKDAY(Main[[#This Row],[Tech Start Date]],4),""))))</f>
        <v/>
      </c>
      <c r="O156" s="114" t="str">
        <f>IF(Main[[#This Row],[Tech Start Date]]&lt;1/1/1990,"",IF(Main[[#This Row],[Class]]="C",WORKDAY(Main[[#This Row],[Tech Start Date]],23),IF(Main[[#This Row],[Class]]="B", WORKDAY(Main[[#This Row],[Tech Start Date]],15),IF(Main[[#This Row],[Class]]="A",WORKDAY(Main[[#This Row],[Tech Start Date]],5),""))))</f>
        <v/>
      </c>
      <c r="P156" s="114" t="str">
        <f>IF(Main[[#This Row],[Tech Start Date]]&lt;1/1/1990,"",IF(Main[[#This Row],[Class]]="C",WORKDAY(Main[[#This Row],[Tech Start Date]],28),IF(Main[[#This Row],[Class]]="B", WORKDAY(Main[[#This Row],[Tech Start Date]],19),IF(Main[[#This Row],[Class]]="A",WORKDAY(Main[[#This Row],[Tech Start Date]],9),""))))</f>
        <v/>
      </c>
      <c r="Q156" s="129">
        <v>40298</v>
      </c>
      <c r="R156" s="129"/>
      <c r="S156" s="139" t="s">
        <v>17</v>
      </c>
      <c r="T156" s="115" t="s">
        <v>4</v>
      </c>
      <c r="U156" s="139" t="s">
        <v>14</v>
      </c>
      <c r="V156" s="139" t="s">
        <v>1917</v>
      </c>
      <c r="W156" s="139" t="s">
        <v>1922</v>
      </c>
      <c r="X156" s="139" t="s">
        <v>306</v>
      </c>
      <c r="Y156" s="112" t="s">
        <v>2949</v>
      </c>
      <c r="Z156" s="112" t="s">
        <v>4</v>
      </c>
      <c r="AA156" s="139" t="s">
        <v>415</v>
      </c>
    </row>
    <row r="157" spans="1:27" ht="17.25" customHeight="1">
      <c r="A157" s="69" t="str">
        <f>IF(priority(Main[[#This Row],[Comments]])&lt;&gt;0, priority(Main[[#This Row],[Comments]]),"")</f>
        <v/>
      </c>
      <c r="B157" s="63" t="s">
        <v>1276</v>
      </c>
      <c r="C157" s="148" t="s">
        <v>4</v>
      </c>
      <c r="D157" s="113" t="s">
        <v>2326</v>
      </c>
      <c r="E157" s="129">
        <v>40578.5078587963</v>
      </c>
      <c r="F157" s="129"/>
      <c r="G157" s="69" t="str">
        <f>IF(stdProdLT(Main[[#This Row],[Comments]])=0.1,"N/A",IF(stdProdLT(Main[[#This Row],[Comments]])=0,"",stdProdLT(Main[[#This Row],[Comments]])))</f>
        <v/>
      </c>
      <c r="H157" s="138" t="str">
        <f>IF(Main[[#This Row],[In Stock Date]]="N/A", "N/A",IF(AND(Main[[#This Row],[In Stock Date]]&lt;&gt;"",Main[[#This Row],[Revised Due Date]]&lt;&gt;"",Main[[#This Row],[In Stock Date]]&lt;&gt;""),Main[[#This Row],[In Stock Date]]-Main[[#This Row],[Revised Due Date]],""))</f>
        <v/>
      </c>
      <c r="I157" s="139" t="s">
        <v>912</v>
      </c>
      <c r="J157" s="139" t="s">
        <v>52</v>
      </c>
      <c r="K157" s="139" t="s">
        <v>4</v>
      </c>
      <c r="L157" s="129"/>
      <c r="M157" s="114" t="str">
        <f>IF(Main[[#This Row],[Tech Start Date]]&lt;1/1/1990,"",IF(Main[[#This Row],[Class]]="C",WORKDAY(Main[[#This Row],[Tech Start Date]],9),IF(Main[[#This Row],[Class]]="B", WORKDAY(Main[[#This Row],[Tech Start Date]],6),IF(Main[[#This Row],[Class]]="A",WORKDAY(Main[[#This Row],[Tech Start Date]],2),""))))</f>
        <v/>
      </c>
      <c r="N157" s="114" t="str">
        <f>IF(Main[[#This Row],[Tech Start Date]]&lt;1/1/1990,"",IF(Main[[#This Row],[Class]]="C",WORKDAY(Main[[#This Row],[Tech Start Date]],19),IF(Main[[#This Row],[Class]]="B", WORKDAY(Main[[#This Row],[Tech Start Date]],12),IF(Main[[#This Row],[Class]]="A",WORKDAY(Main[[#This Row],[Tech Start Date]],4),""))))</f>
        <v/>
      </c>
      <c r="O157" s="114" t="str">
        <f>IF(Main[[#This Row],[Tech Start Date]]&lt;1/1/1990,"",IF(Main[[#This Row],[Class]]="C",WORKDAY(Main[[#This Row],[Tech Start Date]],23),IF(Main[[#This Row],[Class]]="B", WORKDAY(Main[[#This Row],[Tech Start Date]],15),IF(Main[[#This Row],[Class]]="A",WORKDAY(Main[[#This Row],[Tech Start Date]],5),""))))</f>
        <v/>
      </c>
      <c r="P157" s="114" t="str">
        <f>IF(Main[[#This Row],[Tech Start Date]]&lt;1/1/1990,"",IF(Main[[#This Row],[Class]]="C",WORKDAY(Main[[#This Row],[Tech Start Date]],28),IF(Main[[#This Row],[Class]]="B", WORKDAY(Main[[#This Row],[Tech Start Date]],19),IF(Main[[#This Row],[Class]]="A",WORKDAY(Main[[#This Row],[Tech Start Date]],9),""))))</f>
        <v/>
      </c>
      <c r="Q157" s="129">
        <v>40592</v>
      </c>
      <c r="R157" s="129"/>
      <c r="S157" s="139" t="s">
        <v>6</v>
      </c>
      <c r="T157" s="115" t="s">
        <v>4</v>
      </c>
      <c r="U157" s="139" t="s">
        <v>29</v>
      </c>
      <c r="V157" s="139" t="s">
        <v>1914</v>
      </c>
      <c r="W157" s="139" t="s">
        <v>1918</v>
      </c>
      <c r="X157" s="139" t="s">
        <v>2828</v>
      </c>
      <c r="Y157" s="112" t="s">
        <v>2950</v>
      </c>
      <c r="Z157" s="112" t="s">
        <v>4</v>
      </c>
      <c r="AA157" s="139" t="s">
        <v>2828</v>
      </c>
    </row>
    <row r="158" spans="1:27" ht="17.25" customHeight="1">
      <c r="A158" s="69" t="str">
        <f>IF(priority(Main[[#This Row],[Comments]])&lt;&gt;0, priority(Main[[#This Row],[Comments]]),"")</f>
        <v/>
      </c>
      <c r="B158" s="63" t="s">
        <v>1044</v>
      </c>
      <c r="C158" s="148" t="s">
        <v>4</v>
      </c>
      <c r="D158" s="113" t="s">
        <v>71</v>
      </c>
      <c r="E158" s="129"/>
      <c r="F158" s="129"/>
      <c r="G158" s="69" t="str">
        <f>IF(stdProdLT(Main[[#This Row],[Comments]])=0.1,"N/A",IF(stdProdLT(Main[[#This Row],[Comments]])=0,"",stdProdLT(Main[[#This Row],[Comments]])))</f>
        <v/>
      </c>
      <c r="H158" s="138" t="str">
        <f>IF(Main[[#This Row],[In Stock Date]]="N/A", "N/A",IF(AND(Main[[#This Row],[In Stock Date]]&lt;&gt;"",Main[[#This Row],[Revised Due Date]]&lt;&gt;"",Main[[#This Row],[In Stock Date]]&lt;&gt;""),Main[[#This Row],[In Stock Date]]-Main[[#This Row],[Revised Due Date]],""))</f>
        <v/>
      </c>
      <c r="I158" s="139" t="s">
        <v>4</v>
      </c>
      <c r="J158" s="139" t="s">
        <v>4</v>
      </c>
      <c r="K158" s="139" t="s">
        <v>4</v>
      </c>
      <c r="L158" s="129"/>
      <c r="M158" s="114" t="str">
        <f>IF(Main[[#This Row],[Tech Start Date]]&lt;1/1/1990,"",IF(Main[[#This Row],[Class]]="C",WORKDAY(Main[[#This Row],[Tech Start Date]],9),IF(Main[[#This Row],[Class]]="B", WORKDAY(Main[[#This Row],[Tech Start Date]],6),IF(Main[[#This Row],[Class]]="A",WORKDAY(Main[[#This Row],[Tech Start Date]],2),""))))</f>
        <v/>
      </c>
      <c r="N158" s="114" t="str">
        <f>IF(Main[[#This Row],[Tech Start Date]]&lt;1/1/1990,"",IF(Main[[#This Row],[Class]]="C",WORKDAY(Main[[#This Row],[Tech Start Date]],19),IF(Main[[#This Row],[Class]]="B", WORKDAY(Main[[#This Row],[Tech Start Date]],12),IF(Main[[#This Row],[Class]]="A",WORKDAY(Main[[#This Row],[Tech Start Date]],4),""))))</f>
        <v/>
      </c>
      <c r="O158" s="114" t="str">
        <f>IF(Main[[#This Row],[Tech Start Date]]&lt;1/1/1990,"",IF(Main[[#This Row],[Class]]="C",WORKDAY(Main[[#This Row],[Tech Start Date]],23),IF(Main[[#This Row],[Class]]="B", WORKDAY(Main[[#This Row],[Tech Start Date]],15),IF(Main[[#This Row],[Class]]="A",WORKDAY(Main[[#This Row],[Tech Start Date]],5),""))))</f>
        <v/>
      </c>
      <c r="P158" s="114" t="str">
        <f>IF(Main[[#This Row],[Tech Start Date]]&lt;1/1/1990,"",IF(Main[[#This Row],[Class]]="C",WORKDAY(Main[[#This Row],[Tech Start Date]],28),IF(Main[[#This Row],[Class]]="B", WORKDAY(Main[[#This Row],[Tech Start Date]],19),IF(Main[[#This Row],[Class]]="A",WORKDAY(Main[[#This Row],[Tech Start Date]],9),""))))</f>
        <v/>
      </c>
      <c r="Q158" s="129"/>
      <c r="R158" s="129"/>
      <c r="S158" s="139" t="s">
        <v>23</v>
      </c>
      <c r="T158" s="115" t="s">
        <v>4</v>
      </c>
      <c r="U158" s="139" t="s">
        <v>14</v>
      </c>
      <c r="V158" s="139" t="s">
        <v>1914</v>
      </c>
      <c r="W158" s="139" t="s">
        <v>1918</v>
      </c>
      <c r="X158" s="139" t="s">
        <v>399</v>
      </c>
      <c r="Y158" s="112" t="s">
        <v>4</v>
      </c>
      <c r="Z158" s="112" t="s">
        <v>4</v>
      </c>
      <c r="AA158" s="139" t="s">
        <v>3374</v>
      </c>
    </row>
    <row r="159" spans="1:27" ht="17.25" customHeight="1">
      <c r="A159" s="69" t="str">
        <f>IF(priority(Main[[#This Row],[Comments]])&lt;&gt;0, priority(Main[[#This Row],[Comments]]),"")</f>
        <v/>
      </c>
      <c r="B159" s="63" t="s">
        <v>1011</v>
      </c>
      <c r="C159" s="148" t="s">
        <v>15</v>
      </c>
      <c r="D159" s="113" t="s">
        <v>16</v>
      </c>
      <c r="E159" s="129">
        <v>40611.379872685182</v>
      </c>
      <c r="F159" s="129"/>
      <c r="G159" s="69" t="str">
        <f>IF(stdProdLT(Main[[#This Row],[Comments]])=0.1,"N/A",IF(stdProdLT(Main[[#This Row],[Comments]])=0,"",stdProdLT(Main[[#This Row],[Comments]])))</f>
        <v/>
      </c>
      <c r="H159" s="138" t="str">
        <f>IF(Main[[#This Row],[In Stock Date]]="N/A", "N/A",IF(AND(Main[[#This Row],[In Stock Date]]&lt;&gt;"",Main[[#This Row],[Revised Due Date]]&lt;&gt;"",Main[[#This Row],[In Stock Date]]&lt;&gt;""),Main[[#This Row],[In Stock Date]]-Main[[#This Row],[Revised Due Date]],""))</f>
        <v/>
      </c>
      <c r="I159" s="139" t="s">
        <v>4</v>
      </c>
      <c r="J159" s="139" t="s">
        <v>4</v>
      </c>
      <c r="K159" s="139" t="s">
        <v>4</v>
      </c>
      <c r="L159" s="129"/>
      <c r="M159" s="114" t="str">
        <f>IF(Main[[#This Row],[Tech Start Date]]&lt;1/1/1990,"",IF(Main[[#This Row],[Class]]="C",WORKDAY(Main[[#This Row],[Tech Start Date]],9),IF(Main[[#This Row],[Class]]="B", WORKDAY(Main[[#This Row],[Tech Start Date]],6),IF(Main[[#This Row],[Class]]="A",WORKDAY(Main[[#This Row],[Tech Start Date]],2),""))))</f>
        <v/>
      </c>
      <c r="N159" s="114" t="str">
        <f>IF(Main[[#This Row],[Tech Start Date]]&lt;1/1/1990,"",IF(Main[[#This Row],[Class]]="C",WORKDAY(Main[[#This Row],[Tech Start Date]],19),IF(Main[[#This Row],[Class]]="B", WORKDAY(Main[[#This Row],[Tech Start Date]],12),IF(Main[[#This Row],[Class]]="A",WORKDAY(Main[[#This Row],[Tech Start Date]],4),""))))</f>
        <v/>
      </c>
      <c r="O159" s="114" t="str">
        <f>IF(Main[[#This Row],[Tech Start Date]]&lt;1/1/1990,"",IF(Main[[#This Row],[Class]]="C",WORKDAY(Main[[#This Row],[Tech Start Date]],23),IF(Main[[#This Row],[Class]]="B", WORKDAY(Main[[#This Row],[Tech Start Date]],15),IF(Main[[#This Row],[Class]]="A",WORKDAY(Main[[#This Row],[Tech Start Date]],5),""))))</f>
        <v/>
      </c>
      <c r="P159" s="114" t="str">
        <f>IF(Main[[#This Row],[Tech Start Date]]&lt;1/1/1990,"",IF(Main[[#This Row],[Class]]="C",WORKDAY(Main[[#This Row],[Tech Start Date]],28),IF(Main[[#This Row],[Class]]="B", WORKDAY(Main[[#This Row],[Tech Start Date]],19),IF(Main[[#This Row],[Class]]="A",WORKDAY(Main[[#This Row],[Tech Start Date]],9),""))))</f>
        <v/>
      </c>
      <c r="Q159" s="129">
        <v>40695</v>
      </c>
      <c r="R159" s="129"/>
      <c r="S159" s="139" t="s">
        <v>17</v>
      </c>
      <c r="T159" s="115" t="s">
        <v>4</v>
      </c>
      <c r="U159" s="139" t="s">
        <v>7</v>
      </c>
      <c r="V159" s="139" t="s">
        <v>1917</v>
      </c>
      <c r="W159" s="139" t="s">
        <v>1919</v>
      </c>
      <c r="X159" s="139" t="s">
        <v>553</v>
      </c>
      <c r="Y159" s="112" t="s">
        <v>2952</v>
      </c>
      <c r="Z159" s="112" t="s">
        <v>4</v>
      </c>
      <c r="AA159" s="139" t="s">
        <v>553</v>
      </c>
    </row>
    <row r="160" spans="1:27" ht="17.25" customHeight="1">
      <c r="A160" s="69" t="str">
        <f>IF(priority(Main[[#This Row],[Comments]])&lt;&gt;0, priority(Main[[#This Row],[Comments]]),"")</f>
        <v/>
      </c>
      <c r="B160" s="63" t="s">
        <v>2168</v>
      </c>
      <c r="C160" s="148" t="s">
        <v>2160</v>
      </c>
      <c r="D160" s="113" t="s">
        <v>3244</v>
      </c>
      <c r="E160" s="129">
        <v>40781.402488425927</v>
      </c>
      <c r="F160" s="129"/>
      <c r="G160" s="69" t="str">
        <f>IF(stdProdLT(Main[[#This Row],[Comments]])=0.1,"N/A",IF(stdProdLT(Main[[#This Row],[Comments]])=0,"",stdProdLT(Main[[#This Row],[Comments]])))</f>
        <v/>
      </c>
      <c r="H160" s="138" t="str">
        <f>IF(Main[[#This Row],[In Stock Date]]="N/A", "N/A",IF(AND(Main[[#This Row],[In Stock Date]]&lt;&gt;"",Main[[#This Row],[Revised Due Date]]&lt;&gt;"",Main[[#This Row],[In Stock Date]]&lt;&gt;""),Main[[#This Row],[In Stock Date]]-Main[[#This Row],[Revised Due Date]],""))</f>
        <v/>
      </c>
      <c r="I160" s="139" t="s">
        <v>429</v>
      </c>
      <c r="J160" s="139" t="s">
        <v>70</v>
      </c>
      <c r="K160" s="139" t="s">
        <v>1923</v>
      </c>
      <c r="L160" s="129"/>
      <c r="M160" s="114" t="str">
        <f>IF(Main[[#This Row],[Tech Start Date]]&lt;1/1/1990,"",IF(Main[[#This Row],[Class]]="C",WORKDAY(Main[[#This Row],[Tech Start Date]],9),IF(Main[[#This Row],[Class]]="B", WORKDAY(Main[[#This Row],[Tech Start Date]],6),IF(Main[[#This Row],[Class]]="A",WORKDAY(Main[[#This Row],[Tech Start Date]],2),""))))</f>
        <v/>
      </c>
      <c r="N160" s="114" t="str">
        <f>IF(Main[[#This Row],[Tech Start Date]]&lt;1/1/1990,"",IF(Main[[#This Row],[Class]]="C",WORKDAY(Main[[#This Row],[Tech Start Date]],19),IF(Main[[#This Row],[Class]]="B", WORKDAY(Main[[#This Row],[Tech Start Date]],12),IF(Main[[#This Row],[Class]]="A",WORKDAY(Main[[#This Row],[Tech Start Date]],4),""))))</f>
        <v/>
      </c>
      <c r="O160" s="114" t="str">
        <f>IF(Main[[#This Row],[Tech Start Date]]&lt;1/1/1990,"",IF(Main[[#This Row],[Class]]="C",WORKDAY(Main[[#This Row],[Tech Start Date]],23),IF(Main[[#This Row],[Class]]="B", WORKDAY(Main[[#This Row],[Tech Start Date]],15),IF(Main[[#This Row],[Class]]="A",WORKDAY(Main[[#This Row],[Tech Start Date]],5),""))))</f>
        <v/>
      </c>
      <c r="P160" s="114" t="str">
        <f>IF(Main[[#This Row],[Tech Start Date]]&lt;1/1/1990,"",IF(Main[[#This Row],[Class]]="C",WORKDAY(Main[[#This Row],[Tech Start Date]],28),IF(Main[[#This Row],[Class]]="B", WORKDAY(Main[[#This Row],[Tech Start Date]],19),IF(Main[[#This Row],[Class]]="A",WORKDAY(Main[[#This Row],[Tech Start Date]],9),""))))</f>
        <v/>
      </c>
      <c r="Q160" s="129">
        <v>40836</v>
      </c>
      <c r="R160" s="129"/>
      <c r="S160" s="139" t="s">
        <v>6</v>
      </c>
      <c r="T160" s="115" t="s">
        <v>4</v>
      </c>
      <c r="U160" s="139" t="s">
        <v>29</v>
      </c>
      <c r="V160" s="139" t="s">
        <v>1917</v>
      </c>
      <c r="W160" s="139" t="s">
        <v>1918</v>
      </c>
      <c r="X160" s="139" t="s">
        <v>2836</v>
      </c>
      <c r="Y160" s="112" t="s">
        <v>2965</v>
      </c>
      <c r="Z160" s="112" t="s">
        <v>30</v>
      </c>
      <c r="AA160" s="139" t="s">
        <v>2836</v>
      </c>
    </row>
    <row r="161" spans="1:27" ht="17.25" customHeight="1">
      <c r="A161" s="69" t="str">
        <f>IF(priority(Main[[#This Row],[Comments]])&lt;&gt;0, priority(Main[[#This Row],[Comments]]),"")</f>
        <v/>
      </c>
      <c r="B161" s="63" t="s">
        <v>1046</v>
      </c>
      <c r="C161" s="148" t="s">
        <v>31</v>
      </c>
      <c r="D161" s="113" t="s">
        <v>77</v>
      </c>
      <c r="E161" s="129"/>
      <c r="F161" s="129">
        <v>40512</v>
      </c>
      <c r="G161" s="69" t="str">
        <f>IF(stdProdLT(Main[[#This Row],[Comments]])=0.1,"N/A",IF(stdProdLT(Main[[#This Row],[Comments]])=0,"",stdProdLT(Main[[#This Row],[Comments]])))</f>
        <v/>
      </c>
      <c r="H161" s="138" t="str">
        <f>IF(Main[[#This Row],[In Stock Date]]="N/A", "N/A",IF(AND(Main[[#This Row],[In Stock Date]]&lt;&gt;"",Main[[#This Row],[Revised Due Date]]&lt;&gt;"",Main[[#This Row],[In Stock Date]]&lt;&gt;""),Main[[#This Row],[In Stock Date]]-Main[[#This Row],[Revised Due Date]],""))</f>
        <v/>
      </c>
      <c r="I161" s="139" t="s">
        <v>4</v>
      </c>
      <c r="J161" s="139" t="s">
        <v>4</v>
      </c>
      <c r="K161" s="139" t="s">
        <v>4</v>
      </c>
      <c r="L161" s="129"/>
      <c r="M161" s="114" t="str">
        <f>IF(Main[[#This Row],[Tech Start Date]]&lt;1/1/1990,"",IF(Main[[#This Row],[Class]]="C",WORKDAY(Main[[#This Row],[Tech Start Date]],9),IF(Main[[#This Row],[Class]]="B", WORKDAY(Main[[#This Row],[Tech Start Date]],6),IF(Main[[#This Row],[Class]]="A",WORKDAY(Main[[#This Row],[Tech Start Date]],2),""))))</f>
        <v/>
      </c>
      <c r="N161" s="114" t="str">
        <f>IF(Main[[#This Row],[Tech Start Date]]&lt;1/1/1990,"",IF(Main[[#This Row],[Class]]="C",WORKDAY(Main[[#This Row],[Tech Start Date]],19),IF(Main[[#This Row],[Class]]="B", WORKDAY(Main[[#This Row],[Tech Start Date]],12),IF(Main[[#This Row],[Class]]="A",WORKDAY(Main[[#This Row],[Tech Start Date]],4),""))))</f>
        <v/>
      </c>
      <c r="O161" s="114" t="str">
        <f>IF(Main[[#This Row],[Tech Start Date]]&lt;1/1/1990,"",IF(Main[[#This Row],[Class]]="C",WORKDAY(Main[[#This Row],[Tech Start Date]],23),IF(Main[[#This Row],[Class]]="B", WORKDAY(Main[[#This Row],[Tech Start Date]],15),IF(Main[[#This Row],[Class]]="A",WORKDAY(Main[[#This Row],[Tech Start Date]],5),""))))</f>
        <v/>
      </c>
      <c r="P161" s="114" t="str">
        <f>IF(Main[[#This Row],[Tech Start Date]]&lt;1/1/1990,"",IF(Main[[#This Row],[Class]]="C",WORKDAY(Main[[#This Row],[Tech Start Date]],28),IF(Main[[#This Row],[Class]]="B", WORKDAY(Main[[#This Row],[Tech Start Date]],19),IF(Main[[#This Row],[Class]]="A",WORKDAY(Main[[#This Row],[Tech Start Date]],9),""))))</f>
        <v/>
      </c>
      <c r="Q161" s="129">
        <v>40415</v>
      </c>
      <c r="R161" s="129"/>
      <c r="S161" s="139" t="s">
        <v>11</v>
      </c>
      <c r="T161" s="115" t="s">
        <v>4</v>
      </c>
      <c r="U161" s="139" t="s">
        <v>14</v>
      </c>
      <c r="V161" s="139" t="s">
        <v>1917</v>
      </c>
      <c r="W161" s="139" t="s">
        <v>1920</v>
      </c>
      <c r="X161" s="139" t="s">
        <v>2830</v>
      </c>
      <c r="Y161" s="112" t="s">
        <v>2953</v>
      </c>
      <c r="Z161" s="112" t="s">
        <v>4</v>
      </c>
      <c r="AA161" s="139" t="s">
        <v>2830</v>
      </c>
    </row>
    <row r="162" spans="1:27" ht="17.25" customHeight="1">
      <c r="A162" s="69" t="str">
        <f>IF(priority(Main[[#This Row],[Comments]])&lt;&gt;0, priority(Main[[#This Row],[Comments]]),"")</f>
        <v/>
      </c>
      <c r="B162" s="63" t="s">
        <v>1047</v>
      </c>
      <c r="C162" s="148" t="s">
        <v>4</v>
      </c>
      <c r="D162" s="113" t="s">
        <v>78</v>
      </c>
      <c r="E162" s="129"/>
      <c r="F162" s="129"/>
      <c r="G162" s="69" t="str">
        <f>IF(stdProdLT(Main[[#This Row],[Comments]])=0.1,"N/A",IF(stdProdLT(Main[[#This Row],[Comments]])=0,"",stdProdLT(Main[[#This Row],[Comments]])))</f>
        <v/>
      </c>
      <c r="H162" s="138" t="str">
        <f>IF(Main[[#This Row],[In Stock Date]]="N/A", "N/A",IF(AND(Main[[#This Row],[In Stock Date]]&lt;&gt;"",Main[[#This Row],[Revised Due Date]]&lt;&gt;"",Main[[#This Row],[In Stock Date]]&lt;&gt;""),Main[[#This Row],[In Stock Date]]-Main[[#This Row],[Revised Due Date]],""))</f>
        <v/>
      </c>
      <c r="I162" s="139" t="s">
        <v>4</v>
      </c>
      <c r="J162" s="139" t="s">
        <v>4</v>
      </c>
      <c r="K162" s="140" t="s">
        <v>4</v>
      </c>
      <c r="L162" s="129"/>
      <c r="M162" s="114" t="str">
        <f>IF(Main[[#This Row],[Tech Start Date]]&lt;1/1/1990,"",IF(Main[[#This Row],[Class]]="C",WORKDAY(Main[[#This Row],[Tech Start Date]],9),IF(Main[[#This Row],[Class]]="B", WORKDAY(Main[[#This Row],[Tech Start Date]],6),IF(Main[[#This Row],[Class]]="A",WORKDAY(Main[[#This Row],[Tech Start Date]],2),""))))</f>
        <v/>
      </c>
      <c r="N162" s="114" t="str">
        <f>IF(Main[[#This Row],[Tech Start Date]]&lt;1/1/1990,"",IF(Main[[#This Row],[Class]]="C",WORKDAY(Main[[#This Row],[Tech Start Date]],19),IF(Main[[#This Row],[Class]]="B", WORKDAY(Main[[#This Row],[Tech Start Date]],12),IF(Main[[#This Row],[Class]]="A",WORKDAY(Main[[#This Row],[Tech Start Date]],4),""))))</f>
        <v/>
      </c>
      <c r="O162" s="114" t="str">
        <f>IF(Main[[#This Row],[Tech Start Date]]&lt;1/1/1990,"",IF(Main[[#This Row],[Class]]="C",WORKDAY(Main[[#This Row],[Tech Start Date]],23),IF(Main[[#This Row],[Class]]="B", WORKDAY(Main[[#This Row],[Tech Start Date]],15),IF(Main[[#This Row],[Class]]="A",WORKDAY(Main[[#This Row],[Tech Start Date]],5),""))))</f>
        <v/>
      </c>
      <c r="P162" s="114" t="str">
        <f>IF(Main[[#This Row],[Tech Start Date]]&lt;1/1/1990,"",IF(Main[[#This Row],[Class]]="C",WORKDAY(Main[[#This Row],[Tech Start Date]],28),IF(Main[[#This Row],[Class]]="B", WORKDAY(Main[[#This Row],[Tech Start Date]],19),IF(Main[[#This Row],[Class]]="A",WORKDAY(Main[[#This Row],[Tech Start Date]],9),""))))</f>
        <v/>
      </c>
      <c r="Q162" s="129"/>
      <c r="R162" s="129"/>
      <c r="S162" s="139" t="s">
        <v>49</v>
      </c>
      <c r="T162" s="115" t="s">
        <v>4</v>
      </c>
      <c r="U162" s="139" t="s">
        <v>14</v>
      </c>
      <c r="V162" s="139" t="s">
        <v>1914</v>
      </c>
      <c r="W162" s="139" t="s">
        <v>1918</v>
      </c>
      <c r="X162" s="139" t="s">
        <v>306</v>
      </c>
      <c r="Y162" s="112" t="s">
        <v>4</v>
      </c>
      <c r="Z162" s="112" t="s">
        <v>4</v>
      </c>
      <c r="AA162" s="139" t="s">
        <v>4</v>
      </c>
    </row>
    <row r="163" spans="1:27" ht="17.25" customHeight="1">
      <c r="A163" s="69" t="str">
        <f>IF(priority(Main[[#This Row],[Comments]])&lt;&gt;0, priority(Main[[#This Row],[Comments]]),"")</f>
        <v/>
      </c>
      <c r="B163" s="63" t="s">
        <v>2087</v>
      </c>
      <c r="C163" s="148" t="s">
        <v>2088</v>
      </c>
      <c r="D163" s="113" t="s">
        <v>2089</v>
      </c>
      <c r="E163" s="129"/>
      <c r="F163" s="129">
        <v>40831</v>
      </c>
      <c r="G163" s="69" t="str">
        <f>IF(stdProdLT(Main[[#This Row],[Comments]])=0.1,"N/A",IF(stdProdLT(Main[[#This Row],[Comments]])=0,"",stdProdLT(Main[[#This Row],[Comments]])))</f>
        <v/>
      </c>
      <c r="H163" s="138" t="str">
        <f>IF(Main[[#This Row],[In Stock Date]]="N/A", "N/A",IF(AND(Main[[#This Row],[In Stock Date]]&lt;&gt;"",Main[[#This Row],[Revised Due Date]]&lt;&gt;"",Main[[#This Row],[In Stock Date]]&lt;&gt;""),Main[[#This Row],[In Stock Date]]-Main[[#This Row],[Revised Due Date]],""))</f>
        <v/>
      </c>
      <c r="I163" s="139" t="s">
        <v>4</v>
      </c>
      <c r="J163" s="139" t="s">
        <v>4</v>
      </c>
      <c r="K163" s="139" t="s">
        <v>4</v>
      </c>
      <c r="L163" s="129"/>
      <c r="M163" s="114" t="str">
        <f>IF(Main[[#This Row],[Tech Start Date]]&lt;1/1/1990,"",IF(Main[[#This Row],[Class]]="C",WORKDAY(Main[[#This Row],[Tech Start Date]],9),IF(Main[[#This Row],[Class]]="B", WORKDAY(Main[[#This Row],[Tech Start Date]],6),IF(Main[[#This Row],[Class]]="A",WORKDAY(Main[[#This Row],[Tech Start Date]],2),""))))</f>
        <v/>
      </c>
      <c r="N163" s="114" t="str">
        <f>IF(Main[[#This Row],[Tech Start Date]]&lt;1/1/1990,"",IF(Main[[#This Row],[Class]]="C",WORKDAY(Main[[#This Row],[Tech Start Date]],19),IF(Main[[#This Row],[Class]]="B", WORKDAY(Main[[#This Row],[Tech Start Date]],12),IF(Main[[#This Row],[Class]]="A",WORKDAY(Main[[#This Row],[Tech Start Date]],4),""))))</f>
        <v/>
      </c>
      <c r="O163" s="114" t="str">
        <f>IF(Main[[#This Row],[Tech Start Date]]&lt;1/1/1990,"",IF(Main[[#This Row],[Class]]="C",WORKDAY(Main[[#This Row],[Tech Start Date]],23),IF(Main[[#This Row],[Class]]="B", WORKDAY(Main[[#This Row],[Tech Start Date]],15),IF(Main[[#This Row],[Class]]="A",WORKDAY(Main[[#This Row],[Tech Start Date]],5),""))))</f>
        <v/>
      </c>
      <c r="P163" s="114" t="str">
        <f>IF(Main[[#This Row],[Tech Start Date]]&lt;1/1/1990,"",IF(Main[[#This Row],[Class]]="C",WORKDAY(Main[[#This Row],[Tech Start Date]],28),IF(Main[[#This Row],[Class]]="B", WORKDAY(Main[[#This Row],[Tech Start Date]],19),IF(Main[[#This Row],[Class]]="A",WORKDAY(Main[[#This Row],[Tech Start Date]],9),""))))</f>
        <v/>
      </c>
      <c r="Q163" s="129">
        <v>40786</v>
      </c>
      <c r="R163" s="129"/>
      <c r="S163" s="139" t="s">
        <v>11</v>
      </c>
      <c r="T163" s="115" t="s">
        <v>4</v>
      </c>
      <c r="U163" s="139" t="s">
        <v>12</v>
      </c>
      <c r="V163" s="139" t="s">
        <v>1917</v>
      </c>
      <c r="W163" s="139" t="s">
        <v>1922</v>
      </c>
      <c r="X163" s="139" t="s">
        <v>2831</v>
      </c>
      <c r="Y163" s="112" t="s">
        <v>2954</v>
      </c>
      <c r="Z163" s="112" t="s">
        <v>4</v>
      </c>
      <c r="AA163" s="139" t="s">
        <v>2831</v>
      </c>
    </row>
    <row r="164" spans="1:27" ht="17.25" customHeight="1">
      <c r="A164" s="69" t="str">
        <f>IF(priority(Main[[#This Row],[Comments]])&lt;&gt;0, priority(Main[[#This Row],[Comments]]),"")</f>
        <v/>
      </c>
      <c r="B164" s="63" t="s">
        <v>2213</v>
      </c>
      <c r="C164" s="148" t="s">
        <v>2214</v>
      </c>
      <c r="D164" s="113" t="s">
        <v>2215</v>
      </c>
      <c r="E164" s="129">
        <v>40798.585381944446</v>
      </c>
      <c r="F164" s="129">
        <v>40848</v>
      </c>
      <c r="G164" s="69" t="str">
        <f>IF(stdProdLT(Main[[#This Row],[Comments]])=0.1,"N/A",IF(stdProdLT(Main[[#This Row],[Comments]])=0,"",stdProdLT(Main[[#This Row],[Comments]])))</f>
        <v/>
      </c>
      <c r="H164" s="138" t="str">
        <f>IF(Main[[#This Row],[In Stock Date]]="N/A", "N/A",IF(AND(Main[[#This Row],[In Stock Date]]&lt;&gt;"",Main[[#This Row],[Revised Due Date]]&lt;&gt;"",Main[[#This Row],[In Stock Date]]&lt;&gt;""),Main[[#This Row],[In Stock Date]]-Main[[#This Row],[Revised Due Date]],""))</f>
        <v/>
      </c>
      <c r="I164" s="139" t="s">
        <v>4</v>
      </c>
      <c r="J164" s="139" t="s">
        <v>4</v>
      </c>
      <c r="K164" s="139" t="s">
        <v>4</v>
      </c>
      <c r="L164" s="129"/>
      <c r="M164" s="114" t="str">
        <f>IF(Main[[#This Row],[Tech Start Date]]&lt;1/1/1990,"",IF(Main[[#This Row],[Class]]="C",WORKDAY(Main[[#This Row],[Tech Start Date]],9),IF(Main[[#This Row],[Class]]="B", WORKDAY(Main[[#This Row],[Tech Start Date]],6),IF(Main[[#This Row],[Class]]="A",WORKDAY(Main[[#This Row],[Tech Start Date]],2),""))))</f>
        <v/>
      </c>
      <c r="N164" s="114" t="str">
        <f>IF(Main[[#This Row],[Tech Start Date]]&lt;1/1/1990,"",IF(Main[[#This Row],[Class]]="C",WORKDAY(Main[[#This Row],[Tech Start Date]],19),IF(Main[[#This Row],[Class]]="B", WORKDAY(Main[[#This Row],[Tech Start Date]],12),IF(Main[[#This Row],[Class]]="A",WORKDAY(Main[[#This Row],[Tech Start Date]],4),""))))</f>
        <v/>
      </c>
      <c r="O164" s="114" t="str">
        <f>IF(Main[[#This Row],[Tech Start Date]]&lt;1/1/1990,"",IF(Main[[#This Row],[Class]]="C",WORKDAY(Main[[#This Row],[Tech Start Date]],23),IF(Main[[#This Row],[Class]]="B", WORKDAY(Main[[#This Row],[Tech Start Date]],15),IF(Main[[#This Row],[Class]]="A",WORKDAY(Main[[#This Row],[Tech Start Date]],5),""))))</f>
        <v/>
      </c>
      <c r="P164" s="114" t="str">
        <f>IF(Main[[#This Row],[Tech Start Date]]&lt;1/1/1990,"",IF(Main[[#This Row],[Class]]="C",WORKDAY(Main[[#This Row],[Tech Start Date]],28),IF(Main[[#This Row],[Class]]="B", WORKDAY(Main[[#This Row],[Tech Start Date]],19),IF(Main[[#This Row],[Class]]="A",WORKDAY(Main[[#This Row],[Tech Start Date]],9),""))))</f>
        <v/>
      </c>
      <c r="Q164" s="129"/>
      <c r="R164" s="129"/>
      <c r="S164" s="139" t="s">
        <v>49</v>
      </c>
      <c r="T164" s="115" t="s">
        <v>4</v>
      </c>
      <c r="U164" s="139" t="s">
        <v>7</v>
      </c>
      <c r="V164" s="139" t="s">
        <v>1914</v>
      </c>
      <c r="W164" s="139" t="s">
        <v>1919</v>
      </c>
      <c r="X164" s="139" t="s">
        <v>2832</v>
      </c>
      <c r="Y164" s="112" t="s">
        <v>2955</v>
      </c>
      <c r="Z164" s="112" t="s">
        <v>4</v>
      </c>
      <c r="AA164" s="139" t="s">
        <v>2832</v>
      </c>
    </row>
    <row r="165" spans="1:27" ht="17.25" customHeight="1">
      <c r="A165" s="69" t="str">
        <f>IF(priority(Main[[#This Row],[Comments]])&lt;&gt;0, priority(Main[[#This Row],[Comments]]),"")</f>
        <v/>
      </c>
      <c r="B165" s="63" t="s">
        <v>1048</v>
      </c>
      <c r="C165" s="148" t="s">
        <v>79</v>
      </c>
      <c r="D165" s="113" t="s">
        <v>80</v>
      </c>
      <c r="E165" s="129"/>
      <c r="F165" s="129"/>
      <c r="G165" s="69" t="str">
        <f>IF(stdProdLT(Main[[#This Row],[Comments]])=0.1,"N/A",IF(stdProdLT(Main[[#This Row],[Comments]])=0,"",stdProdLT(Main[[#This Row],[Comments]])))</f>
        <v/>
      </c>
      <c r="H165" s="138" t="str">
        <f>IF(Main[[#This Row],[In Stock Date]]="N/A", "N/A",IF(AND(Main[[#This Row],[In Stock Date]]&lt;&gt;"",Main[[#This Row],[Revised Due Date]]&lt;&gt;"",Main[[#This Row],[In Stock Date]]&lt;&gt;""),Main[[#This Row],[In Stock Date]]-Main[[#This Row],[Revised Due Date]],""))</f>
        <v/>
      </c>
      <c r="I165" s="139" t="s">
        <v>81</v>
      </c>
      <c r="J165" s="139" t="s">
        <v>4</v>
      </c>
      <c r="K165" s="139" t="s">
        <v>4</v>
      </c>
      <c r="L165" s="129"/>
      <c r="M165" s="114" t="str">
        <f>IF(Main[[#This Row],[Tech Start Date]]&lt;1/1/1990,"",IF(Main[[#This Row],[Class]]="C",WORKDAY(Main[[#This Row],[Tech Start Date]],9),IF(Main[[#This Row],[Class]]="B", WORKDAY(Main[[#This Row],[Tech Start Date]],6),IF(Main[[#This Row],[Class]]="A",WORKDAY(Main[[#This Row],[Tech Start Date]],2),""))))</f>
        <v/>
      </c>
      <c r="N165" s="114" t="str">
        <f>IF(Main[[#This Row],[Tech Start Date]]&lt;1/1/1990,"",IF(Main[[#This Row],[Class]]="C",WORKDAY(Main[[#This Row],[Tech Start Date]],19),IF(Main[[#This Row],[Class]]="B", WORKDAY(Main[[#This Row],[Tech Start Date]],12),IF(Main[[#This Row],[Class]]="A",WORKDAY(Main[[#This Row],[Tech Start Date]],4),""))))</f>
        <v/>
      </c>
      <c r="O165" s="114" t="str">
        <f>IF(Main[[#This Row],[Tech Start Date]]&lt;1/1/1990,"",IF(Main[[#This Row],[Class]]="C",WORKDAY(Main[[#This Row],[Tech Start Date]],23),IF(Main[[#This Row],[Class]]="B", WORKDAY(Main[[#This Row],[Tech Start Date]],15),IF(Main[[#This Row],[Class]]="A",WORKDAY(Main[[#This Row],[Tech Start Date]],5),""))))</f>
        <v/>
      </c>
      <c r="P165" s="114" t="str">
        <f>IF(Main[[#This Row],[Tech Start Date]]&lt;1/1/1990,"",IF(Main[[#This Row],[Class]]="C",WORKDAY(Main[[#This Row],[Tech Start Date]],28),IF(Main[[#This Row],[Class]]="B", WORKDAY(Main[[#This Row],[Tech Start Date]],19),IF(Main[[#This Row],[Class]]="A",WORKDAY(Main[[#This Row],[Tech Start Date]],9),""))))</f>
        <v/>
      </c>
      <c r="Q165" s="129">
        <v>39986</v>
      </c>
      <c r="R165" s="129"/>
      <c r="S165" s="139" t="s">
        <v>11</v>
      </c>
      <c r="T165" s="115" t="s">
        <v>4</v>
      </c>
      <c r="U165" s="139" t="s">
        <v>14</v>
      </c>
      <c r="V165" s="139" t="s">
        <v>1917</v>
      </c>
      <c r="W165" s="139" t="s">
        <v>1925</v>
      </c>
      <c r="X165" s="139" t="s">
        <v>2820</v>
      </c>
      <c r="Y165" s="112" t="s">
        <v>2956</v>
      </c>
      <c r="Z165" s="112" t="s">
        <v>4</v>
      </c>
      <c r="AA165" s="139" t="s">
        <v>2861</v>
      </c>
    </row>
    <row r="166" spans="1:27" ht="17.25" customHeight="1">
      <c r="A166" s="69" t="str">
        <f>IF(priority(Main[[#This Row],[Comments]])&lt;&gt;0, priority(Main[[#This Row],[Comments]]),"")</f>
        <v/>
      </c>
      <c r="B166" s="63" t="s">
        <v>1049</v>
      </c>
      <c r="C166" s="148" t="s">
        <v>4</v>
      </c>
      <c r="D166" s="113" t="s">
        <v>82</v>
      </c>
      <c r="E166" s="129"/>
      <c r="F166" s="129"/>
      <c r="G166" s="69" t="str">
        <f>IF(stdProdLT(Main[[#This Row],[Comments]])=0.1,"N/A",IF(stdProdLT(Main[[#This Row],[Comments]])=0,"",stdProdLT(Main[[#This Row],[Comments]])))</f>
        <v/>
      </c>
      <c r="H166" s="138" t="str">
        <f>IF(Main[[#This Row],[In Stock Date]]="N/A", "N/A",IF(AND(Main[[#This Row],[In Stock Date]]&lt;&gt;"",Main[[#This Row],[Revised Due Date]]&lt;&gt;"",Main[[#This Row],[In Stock Date]]&lt;&gt;""),Main[[#This Row],[In Stock Date]]-Main[[#This Row],[Revised Due Date]],""))</f>
        <v/>
      </c>
      <c r="I166" s="139" t="s">
        <v>4</v>
      </c>
      <c r="J166" s="139" t="s">
        <v>4</v>
      </c>
      <c r="K166" s="139" t="s">
        <v>4</v>
      </c>
      <c r="L166" s="129"/>
      <c r="M166" s="114" t="str">
        <f>IF(Main[[#This Row],[Tech Start Date]]&lt;1/1/1990,"",IF(Main[[#This Row],[Class]]="C",WORKDAY(Main[[#This Row],[Tech Start Date]],9),IF(Main[[#This Row],[Class]]="B", WORKDAY(Main[[#This Row],[Tech Start Date]],6),IF(Main[[#This Row],[Class]]="A",WORKDAY(Main[[#This Row],[Tech Start Date]],2),""))))</f>
        <v/>
      </c>
      <c r="N166" s="114" t="str">
        <f>IF(Main[[#This Row],[Tech Start Date]]&lt;1/1/1990,"",IF(Main[[#This Row],[Class]]="C",WORKDAY(Main[[#This Row],[Tech Start Date]],19),IF(Main[[#This Row],[Class]]="B", WORKDAY(Main[[#This Row],[Tech Start Date]],12),IF(Main[[#This Row],[Class]]="A",WORKDAY(Main[[#This Row],[Tech Start Date]],4),""))))</f>
        <v/>
      </c>
      <c r="O166" s="114" t="str">
        <f>IF(Main[[#This Row],[Tech Start Date]]&lt;1/1/1990,"",IF(Main[[#This Row],[Class]]="C",WORKDAY(Main[[#This Row],[Tech Start Date]],23),IF(Main[[#This Row],[Class]]="B", WORKDAY(Main[[#This Row],[Tech Start Date]],15),IF(Main[[#This Row],[Class]]="A",WORKDAY(Main[[#This Row],[Tech Start Date]],5),""))))</f>
        <v/>
      </c>
      <c r="P166" s="114" t="str">
        <f>IF(Main[[#This Row],[Tech Start Date]]&lt;1/1/1990,"",IF(Main[[#This Row],[Class]]="C",WORKDAY(Main[[#This Row],[Tech Start Date]],28),IF(Main[[#This Row],[Class]]="B", WORKDAY(Main[[#This Row],[Tech Start Date]],19),IF(Main[[#This Row],[Class]]="A",WORKDAY(Main[[#This Row],[Tech Start Date]],9),""))))</f>
        <v/>
      </c>
      <c r="Q166" s="129">
        <v>40602</v>
      </c>
      <c r="R166" s="129"/>
      <c r="S166" s="139" t="s">
        <v>6</v>
      </c>
      <c r="T166" s="115" t="s">
        <v>4</v>
      </c>
      <c r="U166" s="139" t="s">
        <v>14</v>
      </c>
      <c r="V166" s="139" t="s">
        <v>1924</v>
      </c>
      <c r="W166" s="139" t="s">
        <v>1918</v>
      </c>
      <c r="X166" s="139" t="s">
        <v>30</v>
      </c>
      <c r="Y166" s="112" t="s">
        <v>2957</v>
      </c>
      <c r="Z166" s="112" t="s">
        <v>4</v>
      </c>
      <c r="AA166" s="139" t="s">
        <v>30</v>
      </c>
    </row>
    <row r="167" spans="1:27" ht="17.25" customHeight="1">
      <c r="A167" s="69" t="str">
        <f>IF(priority(Main[[#This Row],[Comments]])&lt;&gt;0, priority(Main[[#This Row],[Comments]]),"")</f>
        <v/>
      </c>
      <c r="B167" s="63" t="s">
        <v>2682</v>
      </c>
      <c r="C167" s="148" t="s">
        <v>2683</v>
      </c>
      <c r="D167" s="113" t="s">
        <v>2684</v>
      </c>
      <c r="E167" s="129"/>
      <c r="F167" s="129"/>
      <c r="G167" s="69" t="str">
        <f>IF(stdProdLT(Main[[#This Row],[Comments]])=0.1,"N/A",IF(stdProdLT(Main[[#This Row],[Comments]])=0,"",stdProdLT(Main[[#This Row],[Comments]])))</f>
        <v/>
      </c>
      <c r="H167" s="138" t="str">
        <f>IF(Main[[#This Row],[In Stock Date]]="N/A", "N/A",IF(AND(Main[[#This Row],[In Stock Date]]&lt;&gt;"",Main[[#This Row],[Revised Due Date]]&lt;&gt;"",Main[[#This Row],[In Stock Date]]&lt;&gt;""),Main[[#This Row],[In Stock Date]]-Main[[#This Row],[Revised Due Date]],""))</f>
        <v/>
      </c>
      <c r="I167" s="139" t="s">
        <v>4</v>
      </c>
      <c r="J167" s="139" t="s">
        <v>4</v>
      </c>
      <c r="K167" s="139" t="s">
        <v>4</v>
      </c>
      <c r="L167" s="129"/>
      <c r="M167" s="114" t="str">
        <f>IF(Main[[#This Row],[Tech Start Date]]&lt;1/1/1990,"",IF(Main[[#This Row],[Class]]="C",WORKDAY(Main[[#This Row],[Tech Start Date]],9),IF(Main[[#This Row],[Class]]="B", WORKDAY(Main[[#This Row],[Tech Start Date]],6),IF(Main[[#This Row],[Class]]="A",WORKDAY(Main[[#This Row],[Tech Start Date]],2),""))))</f>
        <v/>
      </c>
      <c r="N167" s="114" t="str">
        <f>IF(Main[[#This Row],[Tech Start Date]]&lt;1/1/1990,"",IF(Main[[#This Row],[Class]]="C",WORKDAY(Main[[#This Row],[Tech Start Date]],19),IF(Main[[#This Row],[Class]]="B", WORKDAY(Main[[#This Row],[Tech Start Date]],12),IF(Main[[#This Row],[Class]]="A",WORKDAY(Main[[#This Row],[Tech Start Date]],4),""))))</f>
        <v/>
      </c>
      <c r="O167" s="114" t="str">
        <f>IF(Main[[#This Row],[Tech Start Date]]&lt;1/1/1990,"",IF(Main[[#This Row],[Class]]="C",WORKDAY(Main[[#This Row],[Tech Start Date]],23),IF(Main[[#This Row],[Class]]="B", WORKDAY(Main[[#This Row],[Tech Start Date]],15),IF(Main[[#This Row],[Class]]="A",WORKDAY(Main[[#This Row],[Tech Start Date]],5),""))))</f>
        <v/>
      </c>
      <c r="P167" s="114" t="str">
        <f>IF(Main[[#This Row],[Tech Start Date]]&lt;1/1/1990,"",IF(Main[[#This Row],[Class]]="C",WORKDAY(Main[[#This Row],[Tech Start Date]],28),IF(Main[[#This Row],[Class]]="B", WORKDAY(Main[[#This Row],[Tech Start Date]],19),IF(Main[[#This Row],[Class]]="A",WORKDAY(Main[[#This Row],[Tech Start Date]],9),""))))</f>
        <v/>
      </c>
      <c r="Q167" s="129"/>
      <c r="R167" s="129"/>
      <c r="S167" s="139" t="s">
        <v>6</v>
      </c>
      <c r="T167" s="115" t="s">
        <v>4</v>
      </c>
      <c r="U167" s="139" t="s">
        <v>14</v>
      </c>
      <c r="V167" s="139" t="s">
        <v>1917</v>
      </c>
      <c r="W167" s="139" t="s">
        <v>1922</v>
      </c>
      <c r="X167" s="139" t="s">
        <v>883</v>
      </c>
      <c r="Y167" s="112" t="s">
        <v>2958</v>
      </c>
      <c r="Z167" s="112" t="s">
        <v>4</v>
      </c>
      <c r="AA167" s="139" t="s">
        <v>3377</v>
      </c>
    </row>
    <row r="168" spans="1:27" ht="17.25" customHeight="1">
      <c r="A168" s="69" t="str">
        <f>IF(priority(Main[[#This Row],[Comments]])&lt;&gt;0, priority(Main[[#This Row],[Comments]]),"")</f>
        <v/>
      </c>
      <c r="B168" s="63" t="s">
        <v>1050</v>
      </c>
      <c r="C168" s="148" t="s">
        <v>86</v>
      </c>
      <c r="D168" s="113" t="s">
        <v>87</v>
      </c>
      <c r="E168" s="129"/>
      <c r="F168" s="129">
        <v>40555</v>
      </c>
      <c r="G168" s="69" t="str">
        <f>IF(stdProdLT(Main[[#This Row],[Comments]])=0.1,"N/A",IF(stdProdLT(Main[[#This Row],[Comments]])=0,"",stdProdLT(Main[[#This Row],[Comments]])))</f>
        <v/>
      </c>
      <c r="H168" s="138" t="str">
        <f>IF(Main[[#This Row],[In Stock Date]]="N/A", "N/A",IF(AND(Main[[#This Row],[In Stock Date]]&lt;&gt;"",Main[[#This Row],[Revised Due Date]]&lt;&gt;"",Main[[#This Row],[In Stock Date]]&lt;&gt;""),Main[[#This Row],[In Stock Date]]-Main[[#This Row],[Revised Due Date]],""))</f>
        <v/>
      </c>
      <c r="I168" s="139" t="s">
        <v>4</v>
      </c>
      <c r="J168" s="139" t="s">
        <v>75</v>
      </c>
      <c r="K168" s="139" t="s">
        <v>4</v>
      </c>
      <c r="L168" s="129"/>
      <c r="M168" s="114" t="str">
        <f>IF(Main[[#This Row],[Tech Start Date]]&lt;1/1/1990,"",IF(Main[[#This Row],[Class]]="C",WORKDAY(Main[[#This Row],[Tech Start Date]],9),IF(Main[[#This Row],[Class]]="B", WORKDAY(Main[[#This Row],[Tech Start Date]],6),IF(Main[[#This Row],[Class]]="A",WORKDAY(Main[[#This Row],[Tech Start Date]],2),""))))</f>
        <v/>
      </c>
      <c r="N168" s="114" t="str">
        <f>IF(Main[[#This Row],[Tech Start Date]]&lt;1/1/1990,"",IF(Main[[#This Row],[Class]]="C",WORKDAY(Main[[#This Row],[Tech Start Date]],19),IF(Main[[#This Row],[Class]]="B", WORKDAY(Main[[#This Row],[Tech Start Date]],12),IF(Main[[#This Row],[Class]]="A",WORKDAY(Main[[#This Row],[Tech Start Date]],4),""))))</f>
        <v/>
      </c>
      <c r="O168" s="114" t="str">
        <f>IF(Main[[#This Row],[Tech Start Date]]&lt;1/1/1990,"",IF(Main[[#This Row],[Class]]="C",WORKDAY(Main[[#This Row],[Tech Start Date]],23),IF(Main[[#This Row],[Class]]="B", WORKDAY(Main[[#This Row],[Tech Start Date]],15),IF(Main[[#This Row],[Class]]="A",WORKDAY(Main[[#This Row],[Tech Start Date]],5),""))))</f>
        <v/>
      </c>
      <c r="P168" s="114" t="str">
        <f>IF(Main[[#This Row],[Tech Start Date]]&lt;1/1/1990,"",IF(Main[[#This Row],[Class]]="C",WORKDAY(Main[[#This Row],[Tech Start Date]],28),IF(Main[[#This Row],[Class]]="B", WORKDAY(Main[[#This Row],[Tech Start Date]],19),IF(Main[[#This Row],[Class]]="A",WORKDAY(Main[[#This Row],[Tech Start Date]],9),""))))</f>
        <v/>
      </c>
      <c r="Q168" s="129">
        <v>40446</v>
      </c>
      <c r="R168" s="129"/>
      <c r="S168" s="139" t="s">
        <v>49</v>
      </c>
      <c r="T168" s="115" t="s">
        <v>4</v>
      </c>
      <c r="U168" s="139" t="s">
        <v>14</v>
      </c>
      <c r="V168" s="139" t="s">
        <v>1917</v>
      </c>
      <c r="W168" s="139" t="s">
        <v>1916</v>
      </c>
      <c r="X168" s="139" t="s">
        <v>306</v>
      </c>
      <c r="Y168" s="112" t="s">
        <v>2976</v>
      </c>
      <c r="Z168" s="112" t="s">
        <v>306</v>
      </c>
      <c r="AA168" s="139" t="s">
        <v>306</v>
      </c>
    </row>
    <row r="169" spans="1:27" ht="17.25" customHeight="1">
      <c r="A169" s="69" t="str">
        <f>IF(priority(Main[[#This Row],[Comments]])&lt;&gt;0, priority(Main[[#This Row],[Comments]]),"")</f>
        <v/>
      </c>
      <c r="B169" s="63" t="s">
        <v>2541</v>
      </c>
      <c r="C169" s="148" t="s">
        <v>2354</v>
      </c>
      <c r="D169" s="113" t="s">
        <v>2542</v>
      </c>
      <c r="E169" s="129"/>
      <c r="F169" s="129">
        <v>41008</v>
      </c>
      <c r="G169" s="69" t="str">
        <f>IF(stdProdLT(Main[[#This Row],[Comments]])=0.1,"N/A",IF(stdProdLT(Main[[#This Row],[Comments]])=0,"",stdProdLT(Main[[#This Row],[Comments]])))</f>
        <v/>
      </c>
      <c r="H169" s="138" t="str">
        <f>IF(Main[[#This Row],[In Stock Date]]="N/A", "N/A",IF(AND(Main[[#This Row],[In Stock Date]]&lt;&gt;"",Main[[#This Row],[Revised Due Date]]&lt;&gt;"",Main[[#This Row],[In Stock Date]]&lt;&gt;""),Main[[#This Row],[In Stock Date]]-Main[[#This Row],[Revised Due Date]],""))</f>
        <v/>
      </c>
      <c r="I169" s="139" t="s">
        <v>4</v>
      </c>
      <c r="J169" s="139" t="s">
        <v>4</v>
      </c>
      <c r="K169" s="139" t="s">
        <v>4</v>
      </c>
      <c r="L169" s="129"/>
      <c r="M169" s="114" t="str">
        <f>IF(Main[[#This Row],[Tech Start Date]]&lt;1/1/1990,"",IF(Main[[#This Row],[Class]]="C",WORKDAY(Main[[#This Row],[Tech Start Date]],9),IF(Main[[#This Row],[Class]]="B", WORKDAY(Main[[#This Row],[Tech Start Date]],6),IF(Main[[#This Row],[Class]]="A",WORKDAY(Main[[#This Row],[Tech Start Date]],2),""))))</f>
        <v/>
      </c>
      <c r="N169" s="114" t="str">
        <f>IF(Main[[#This Row],[Tech Start Date]]&lt;1/1/1990,"",IF(Main[[#This Row],[Class]]="C",WORKDAY(Main[[#This Row],[Tech Start Date]],19),IF(Main[[#This Row],[Class]]="B", WORKDAY(Main[[#This Row],[Tech Start Date]],12),IF(Main[[#This Row],[Class]]="A",WORKDAY(Main[[#This Row],[Tech Start Date]],4),""))))</f>
        <v/>
      </c>
      <c r="O169" s="114" t="str">
        <f>IF(Main[[#This Row],[Tech Start Date]]&lt;1/1/1990,"",IF(Main[[#This Row],[Class]]="C",WORKDAY(Main[[#This Row],[Tech Start Date]],23),IF(Main[[#This Row],[Class]]="B", WORKDAY(Main[[#This Row],[Tech Start Date]],15),IF(Main[[#This Row],[Class]]="A",WORKDAY(Main[[#This Row],[Tech Start Date]],5),""))))</f>
        <v/>
      </c>
      <c r="P169" s="114" t="str">
        <f>IF(Main[[#This Row],[Tech Start Date]]&lt;1/1/1990,"",IF(Main[[#This Row],[Class]]="C",WORKDAY(Main[[#This Row],[Tech Start Date]],28),IF(Main[[#This Row],[Class]]="B", WORKDAY(Main[[#This Row],[Tech Start Date]],19),IF(Main[[#This Row],[Class]]="A",WORKDAY(Main[[#This Row],[Tech Start Date]],9),""))))</f>
        <v/>
      </c>
      <c r="Q169" s="129">
        <v>40826</v>
      </c>
      <c r="R169" s="129"/>
      <c r="S169" s="139" t="s">
        <v>11</v>
      </c>
      <c r="T169" s="115" t="s">
        <v>4</v>
      </c>
      <c r="U169" s="139" t="s">
        <v>12</v>
      </c>
      <c r="V169" s="139" t="s">
        <v>1917</v>
      </c>
      <c r="W169" s="139" t="s">
        <v>1920</v>
      </c>
      <c r="X169" s="139" t="s">
        <v>2843</v>
      </c>
      <c r="Y169" s="112" t="s">
        <v>4</v>
      </c>
      <c r="Z169" s="112" t="s">
        <v>4</v>
      </c>
      <c r="AA169" s="139" t="s">
        <v>2843</v>
      </c>
    </row>
    <row r="170" spans="1:27" ht="17.25" customHeight="1">
      <c r="A170" s="69" t="str">
        <f>IF(priority(Main[[#This Row],[Comments]])&lt;&gt;0, priority(Main[[#This Row],[Comments]]),"")</f>
        <v/>
      </c>
      <c r="B170" s="63" t="s">
        <v>1051</v>
      </c>
      <c r="C170" s="148" t="s">
        <v>88</v>
      </c>
      <c r="D170" s="113" t="s">
        <v>89</v>
      </c>
      <c r="E170" s="129"/>
      <c r="F170" s="129">
        <v>40709</v>
      </c>
      <c r="G170" s="69" t="str">
        <f>IF(stdProdLT(Main[[#This Row],[Comments]])=0.1,"N/A",IF(stdProdLT(Main[[#This Row],[Comments]])=0,"",stdProdLT(Main[[#This Row],[Comments]])))</f>
        <v/>
      </c>
      <c r="H170" s="138" t="str">
        <f>IF(Main[[#This Row],[In Stock Date]]="N/A", "N/A",IF(AND(Main[[#This Row],[In Stock Date]]&lt;&gt;"",Main[[#This Row],[Revised Due Date]]&lt;&gt;"",Main[[#This Row],[In Stock Date]]&lt;&gt;""),Main[[#This Row],[In Stock Date]]-Main[[#This Row],[Revised Due Date]],""))</f>
        <v/>
      </c>
      <c r="I170" s="139" t="s">
        <v>4</v>
      </c>
      <c r="J170" s="139" t="s">
        <v>28</v>
      </c>
      <c r="K170" s="140" t="s">
        <v>1927</v>
      </c>
      <c r="L170" s="129"/>
      <c r="M170" s="114" t="str">
        <f>IF(Main[[#This Row],[Tech Start Date]]&lt;1/1/1990,"",IF(Main[[#This Row],[Class]]="C",WORKDAY(Main[[#This Row],[Tech Start Date]],9),IF(Main[[#This Row],[Class]]="B", WORKDAY(Main[[#This Row],[Tech Start Date]],6),IF(Main[[#This Row],[Class]]="A",WORKDAY(Main[[#This Row],[Tech Start Date]],2),""))))</f>
        <v/>
      </c>
      <c r="N170" s="114" t="str">
        <f>IF(Main[[#This Row],[Tech Start Date]]&lt;1/1/1990,"",IF(Main[[#This Row],[Class]]="C",WORKDAY(Main[[#This Row],[Tech Start Date]],19),IF(Main[[#This Row],[Class]]="B", WORKDAY(Main[[#This Row],[Tech Start Date]],12),IF(Main[[#This Row],[Class]]="A",WORKDAY(Main[[#This Row],[Tech Start Date]],4),""))))</f>
        <v/>
      </c>
      <c r="O170" s="114" t="str">
        <f>IF(Main[[#This Row],[Tech Start Date]]&lt;1/1/1990,"",IF(Main[[#This Row],[Class]]="C",WORKDAY(Main[[#This Row],[Tech Start Date]],23),IF(Main[[#This Row],[Class]]="B", WORKDAY(Main[[#This Row],[Tech Start Date]],15),IF(Main[[#This Row],[Class]]="A",WORKDAY(Main[[#This Row],[Tech Start Date]],5),""))))</f>
        <v/>
      </c>
      <c r="P170" s="114" t="str">
        <f>IF(Main[[#This Row],[Tech Start Date]]&lt;1/1/1990,"",IF(Main[[#This Row],[Class]]="C",WORKDAY(Main[[#This Row],[Tech Start Date]],28),IF(Main[[#This Row],[Class]]="B", WORKDAY(Main[[#This Row],[Tech Start Date]],19),IF(Main[[#This Row],[Class]]="A",WORKDAY(Main[[#This Row],[Tech Start Date]],9),""))))</f>
        <v/>
      </c>
      <c r="Q170" s="129">
        <v>40612</v>
      </c>
      <c r="R170" s="129"/>
      <c r="S170" s="139" t="s">
        <v>11</v>
      </c>
      <c r="T170" s="115" t="s">
        <v>4</v>
      </c>
      <c r="U170" s="139" t="s">
        <v>14</v>
      </c>
      <c r="V170" s="139" t="s">
        <v>1914</v>
      </c>
      <c r="W170" s="139" t="s">
        <v>1919</v>
      </c>
      <c r="X170" s="139" t="s">
        <v>2844</v>
      </c>
      <c r="Y170" s="112" t="s">
        <v>2977</v>
      </c>
      <c r="Z170" s="112" t="s">
        <v>129</v>
      </c>
      <c r="AA170" s="139" t="s">
        <v>2844</v>
      </c>
    </row>
    <row r="171" spans="1:27" ht="17.25" customHeight="1">
      <c r="A171" s="69" t="str">
        <f>IF(priority(Main[[#This Row],[Comments]])&lt;&gt;0, priority(Main[[#This Row],[Comments]]),"")</f>
        <v/>
      </c>
      <c r="B171" s="63" t="s">
        <v>1052</v>
      </c>
      <c r="C171" s="148" t="s">
        <v>4</v>
      </c>
      <c r="D171" s="113" t="s">
        <v>90</v>
      </c>
      <c r="E171" s="129"/>
      <c r="F171" s="129"/>
      <c r="G171" s="69" t="str">
        <f>IF(stdProdLT(Main[[#This Row],[Comments]])=0.1,"N/A",IF(stdProdLT(Main[[#This Row],[Comments]])=0,"",stdProdLT(Main[[#This Row],[Comments]])))</f>
        <v/>
      </c>
      <c r="H171" s="138" t="str">
        <f>IF(Main[[#This Row],[In Stock Date]]="N/A", "N/A",IF(AND(Main[[#This Row],[In Stock Date]]&lt;&gt;"",Main[[#This Row],[Revised Due Date]]&lt;&gt;"",Main[[#This Row],[In Stock Date]]&lt;&gt;""),Main[[#This Row],[In Stock Date]]-Main[[#This Row],[Revised Due Date]],""))</f>
        <v/>
      </c>
      <c r="I171" s="139" t="s">
        <v>4</v>
      </c>
      <c r="J171" s="139" t="s">
        <v>4</v>
      </c>
      <c r="K171" s="139" t="s">
        <v>4</v>
      </c>
      <c r="L171" s="129"/>
      <c r="M171" s="114" t="str">
        <f>IF(Main[[#This Row],[Tech Start Date]]&lt;1/1/1990,"",IF(Main[[#This Row],[Class]]="C",WORKDAY(Main[[#This Row],[Tech Start Date]],9),IF(Main[[#This Row],[Class]]="B", WORKDAY(Main[[#This Row],[Tech Start Date]],6),IF(Main[[#This Row],[Class]]="A",WORKDAY(Main[[#This Row],[Tech Start Date]],2),""))))</f>
        <v/>
      </c>
      <c r="N171" s="114" t="str">
        <f>IF(Main[[#This Row],[Tech Start Date]]&lt;1/1/1990,"",IF(Main[[#This Row],[Class]]="C",WORKDAY(Main[[#This Row],[Tech Start Date]],19),IF(Main[[#This Row],[Class]]="B", WORKDAY(Main[[#This Row],[Tech Start Date]],12),IF(Main[[#This Row],[Class]]="A",WORKDAY(Main[[#This Row],[Tech Start Date]],4),""))))</f>
        <v/>
      </c>
      <c r="O171" s="114" t="str">
        <f>IF(Main[[#This Row],[Tech Start Date]]&lt;1/1/1990,"",IF(Main[[#This Row],[Class]]="C",WORKDAY(Main[[#This Row],[Tech Start Date]],23),IF(Main[[#This Row],[Class]]="B", WORKDAY(Main[[#This Row],[Tech Start Date]],15),IF(Main[[#This Row],[Class]]="A",WORKDAY(Main[[#This Row],[Tech Start Date]],5),""))))</f>
        <v/>
      </c>
      <c r="P171" s="114" t="str">
        <f>IF(Main[[#This Row],[Tech Start Date]]&lt;1/1/1990,"",IF(Main[[#This Row],[Class]]="C",WORKDAY(Main[[#This Row],[Tech Start Date]],28),IF(Main[[#This Row],[Class]]="B", WORKDAY(Main[[#This Row],[Tech Start Date]],19),IF(Main[[#This Row],[Class]]="A",WORKDAY(Main[[#This Row],[Tech Start Date]],9),""))))</f>
        <v/>
      </c>
      <c r="Q171" s="129"/>
      <c r="R171" s="129"/>
      <c r="S171" s="139" t="s">
        <v>23</v>
      </c>
      <c r="T171" s="115" t="s">
        <v>4</v>
      </c>
      <c r="U171" s="139" t="s">
        <v>14</v>
      </c>
      <c r="V171" s="139" t="s">
        <v>1914</v>
      </c>
      <c r="W171" s="139" t="s">
        <v>1918</v>
      </c>
      <c r="X171" s="139" t="s">
        <v>399</v>
      </c>
      <c r="Y171" s="112" t="s">
        <v>2958</v>
      </c>
      <c r="Z171" s="112" t="s">
        <v>4</v>
      </c>
      <c r="AA171" s="139" t="s">
        <v>3377</v>
      </c>
    </row>
    <row r="172" spans="1:27" ht="17.25" customHeight="1">
      <c r="A172" s="69" t="str">
        <f>IF(priority(Main[[#This Row],[Comments]])&lt;&gt;0, priority(Main[[#This Row],[Comments]]),"")</f>
        <v/>
      </c>
      <c r="B172" s="63" t="s">
        <v>1054</v>
      </c>
      <c r="C172" s="148" t="s">
        <v>93</v>
      </c>
      <c r="D172" s="113" t="s">
        <v>94</v>
      </c>
      <c r="E172" s="129"/>
      <c r="F172" s="129">
        <v>40299</v>
      </c>
      <c r="G172" s="69" t="str">
        <f>IF(stdProdLT(Main[[#This Row],[Comments]])=0.1,"N/A",IF(stdProdLT(Main[[#This Row],[Comments]])=0,"",stdProdLT(Main[[#This Row],[Comments]])))</f>
        <v/>
      </c>
      <c r="H172" s="138" t="str">
        <f>IF(Main[[#This Row],[In Stock Date]]="N/A", "N/A",IF(AND(Main[[#This Row],[In Stock Date]]&lt;&gt;"",Main[[#This Row],[Revised Due Date]]&lt;&gt;"",Main[[#This Row],[In Stock Date]]&lt;&gt;""),Main[[#This Row],[In Stock Date]]-Main[[#This Row],[Revised Due Date]],""))</f>
        <v/>
      </c>
      <c r="I172" s="139" t="s">
        <v>4</v>
      </c>
      <c r="J172" s="139" t="s">
        <v>4</v>
      </c>
      <c r="K172" s="139" t="s">
        <v>4</v>
      </c>
      <c r="L172" s="129"/>
      <c r="M172" s="114" t="str">
        <f>IF(Main[[#This Row],[Tech Start Date]]&lt;1/1/1990,"",IF(Main[[#This Row],[Class]]="C",WORKDAY(Main[[#This Row],[Tech Start Date]],9),IF(Main[[#This Row],[Class]]="B", WORKDAY(Main[[#This Row],[Tech Start Date]],6),IF(Main[[#This Row],[Class]]="A",WORKDAY(Main[[#This Row],[Tech Start Date]],2),""))))</f>
        <v/>
      </c>
      <c r="N172" s="114" t="str">
        <f>IF(Main[[#This Row],[Tech Start Date]]&lt;1/1/1990,"",IF(Main[[#This Row],[Class]]="C",WORKDAY(Main[[#This Row],[Tech Start Date]],19),IF(Main[[#This Row],[Class]]="B", WORKDAY(Main[[#This Row],[Tech Start Date]],12),IF(Main[[#This Row],[Class]]="A",WORKDAY(Main[[#This Row],[Tech Start Date]],4),""))))</f>
        <v/>
      </c>
      <c r="O172" s="114" t="str">
        <f>IF(Main[[#This Row],[Tech Start Date]]&lt;1/1/1990,"",IF(Main[[#This Row],[Class]]="C",WORKDAY(Main[[#This Row],[Tech Start Date]],23),IF(Main[[#This Row],[Class]]="B", WORKDAY(Main[[#This Row],[Tech Start Date]],15),IF(Main[[#This Row],[Class]]="A",WORKDAY(Main[[#This Row],[Tech Start Date]],5),""))))</f>
        <v/>
      </c>
      <c r="P172" s="114" t="str">
        <f>IF(Main[[#This Row],[Tech Start Date]]&lt;1/1/1990,"",IF(Main[[#This Row],[Class]]="C",WORKDAY(Main[[#This Row],[Tech Start Date]],28),IF(Main[[#This Row],[Class]]="B", WORKDAY(Main[[#This Row],[Tech Start Date]],19),IF(Main[[#This Row],[Class]]="A",WORKDAY(Main[[#This Row],[Tech Start Date]],9),""))))</f>
        <v/>
      </c>
      <c r="Q172" s="129">
        <v>40209</v>
      </c>
      <c r="R172" s="129"/>
      <c r="S172" s="139" t="s">
        <v>11</v>
      </c>
      <c r="T172" s="115" t="s">
        <v>4</v>
      </c>
      <c r="U172" s="139" t="s">
        <v>14</v>
      </c>
      <c r="V172" s="139" t="s">
        <v>1914</v>
      </c>
      <c r="W172" s="139" t="s">
        <v>1925</v>
      </c>
      <c r="X172" s="139" t="s">
        <v>2845</v>
      </c>
      <c r="Y172" s="112" t="s">
        <v>4</v>
      </c>
      <c r="Z172" s="112" t="s">
        <v>4</v>
      </c>
      <c r="AA172" s="139" t="s">
        <v>2845</v>
      </c>
    </row>
    <row r="173" spans="1:27" ht="17.25" customHeight="1">
      <c r="A173" s="69" t="str">
        <f>IF(priority(Main[[#This Row],[Comments]])&lt;&gt;0, priority(Main[[#This Row],[Comments]]),"")</f>
        <v/>
      </c>
      <c r="B173" s="63" t="s">
        <v>1548</v>
      </c>
      <c r="C173" s="148" t="s">
        <v>4</v>
      </c>
      <c r="D173" s="113" t="s">
        <v>2688</v>
      </c>
      <c r="E173" s="129">
        <v>40718.447500000002</v>
      </c>
      <c r="F173" s="129"/>
      <c r="G173" s="69" t="str">
        <f>IF(stdProdLT(Main[[#This Row],[Comments]])=0.1,"N/A",IF(stdProdLT(Main[[#This Row],[Comments]])=0,"",stdProdLT(Main[[#This Row],[Comments]])))</f>
        <v/>
      </c>
      <c r="H173" s="138" t="str">
        <f>IF(Main[[#This Row],[In Stock Date]]="N/A", "N/A",IF(AND(Main[[#This Row],[In Stock Date]]&lt;&gt;"",Main[[#This Row],[Revised Due Date]]&lt;&gt;"",Main[[#This Row],[In Stock Date]]&lt;&gt;""),Main[[#This Row],[In Stock Date]]-Main[[#This Row],[Revised Due Date]],""))</f>
        <v/>
      </c>
      <c r="I173" s="139" t="s">
        <v>530</v>
      </c>
      <c r="J173" s="139" t="s">
        <v>52</v>
      </c>
      <c r="K173" s="139" t="s">
        <v>1923</v>
      </c>
      <c r="L173" s="129"/>
      <c r="M173" s="114" t="str">
        <f>IF(Main[[#This Row],[Tech Start Date]]&lt;1/1/1990,"",IF(Main[[#This Row],[Class]]="C",WORKDAY(Main[[#This Row],[Tech Start Date]],9),IF(Main[[#This Row],[Class]]="B", WORKDAY(Main[[#This Row],[Tech Start Date]],6),IF(Main[[#This Row],[Class]]="A",WORKDAY(Main[[#This Row],[Tech Start Date]],2),""))))</f>
        <v/>
      </c>
      <c r="N173" s="114" t="str">
        <f>IF(Main[[#This Row],[Tech Start Date]]&lt;1/1/1990,"",IF(Main[[#This Row],[Class]]="C",WORKDAY(Main[[#This Row],[Tech Start Date]],19),IF(Main[[#This Row],[Class]]="B", WORKDAY(Main[[#This Row],[Tech Start Date]],12),IF(Main[[#This Row],[Class]]="A",WORKDAY(Main[[#This Row],[Tech Start Date]],4),""))))</f>
        <v/>
      </c>
      <c r="O173" s="114" t="str">
        <f>IF(Main[[#This Row],[Tech Start Date]]&lt;1/1/1990,"",IF(Main[[#This Row],[Class]]="C",WORKDAY(Main[[#This Row],[Tech Start Date]],23),IF(Main[[#This Row],[Class]]="B", WORKDAY(Main[[#This Row],[Tech Start Date]],15),IF(Main[[#This Row],[Class]]="A",WORKDAY(Main[[#This Row],[Tech Start Date]],5),""))))</f>
        <v/>
      </c>
      <c r="P173" s="114" t="str">
        <f>IF(Main[[#This Row],[Tech Start Date]]&lt;1/1/1990,"",IF(Main[[#This Row],[Class]]="C",WORKDAY(Main[[#This Row],[Tech Start Date]],28),IF(Main[[#This Row],[Class]]="B", WORKDAY(Main[[#This Row],[Tech Start Date]],19),IF(Main[[#This Row],[Class]]="A",WORKDAY(Main[[#This Row],[Tech Start Date]],9),""))))</f>
        <v/>
      </c>
      <c r="Q173" s="129">
        <v>40786</v>
      </c>
      <c r="R173" s="129"/>
      <c r="S173" s="139" t="s">
        <v>6</v>
      </c>
      <c r="T173" s="115" t="s">
        <v>4</v>
      </c>
      <c r="U173" s="139" t="s">
        <v>29</v>
      </c>
      <c r="V173" s="139" t="s">
        <v>1917</v>
      </c>
      <c r="W173" s="139" t="s">
        <v>1918</v>
      </c>
      <c r="X173" s="139" t="s">
        <v>306</v>
      </c>
      <c r="Y173" s="112" t="s">
        <v>2941</v>
      </c>
      <c r="Z173" s="112" t="s">
        <v>30</v>
      </c>
      <c r="AA173" s="139" t="s">
        <v>306</v>
      </c>
    </row>
    <row r="174" spans="1:27" ht="17.25" customHeight="1">
      <c r="A174" s="69" t="str">
        <f>IF(priority(Main[[#This Row],[Comments]])&lt;&gt;0, priority(Main[[#This Row],[Comments]]),"")</f>
        <v/>
      </c>
      <c r="B174" s="63" t="s">
        <v>1056</v>
      </c>
      <c r="C174" s="148" t="s">
        <v>4</v>
      </c>
      <c r="D174" s="113" t="s">
        <v>39</v>
      </c>
      <c r="E174" s="129"/>
      <c r="F174" s="129"/>
      <c r="G174" s="69" t="str">
        <f>IF(stdProdLT(Main[[#This Row],[Comments]])=0.1,"N/A",IF(stdProdLT(Main[[#This Row],[Comments]])=0,"",stdProdLT(Main[[#This Row],[Comments]])))</f>
        <v/>
      </c>
      <c r="H174" s="138" t="str">
        <f>IF(Main[[#This Row],[In Stock Date]]="N/A", "N/A",IF(AND(Main[[#This Row],[In Stock Date]]&lt;&gt;"",Main[[#This Row],[Revised Due Date]]&lt;&gt;"",Main[[#This Row],[In Stock Date]]&lt;&gt;""),Main[[#This Row],[In Stock Date]]-Main[[#This Row],[Revised Due Date]],""))</f>
        <v/>
      </c>
      <c r="I174" s="139" t="s">
        <v>4</v>
      </c>
      <c r="J174" s="139" t="s">
        <v>4</v>
      </c>
      <c r="K174" s="139" t="s">
        <v>4</v>
      </c>
      <c r="L174" s="129"/>
      <c r="M174" s="114" t="str">
        <f>IF(Main[[#This Row],[Tech Start Date]]&lt;1/1/1990,"",IF(Main[[#This Row],[Class]]="C",WORKDAY(Main[[#This Row],[Tech Start Date]],9),IF(Main[[#This Row],[Class]]="B", WORKDAY(Main[[#This Row],[Tech Start Date]],6),IF(Main[[#This Row],[Class]]="A",WORKDAY(Main[[#This Row],[Tech Start Date]],2),""))))</f>
        <v/>
      </c>
      <c r="N174" s="114" t="str">
        <f>IF(Main[[#This Row],[Tech Start Date]]&lt;1/1/1990,"",IF(Main[[#This Row],[Class]]="C",WORKDAY(Main[[#This Row],[Tech Start Date]],19),IF(Main[[#This Row],[Class]]="B", WORKDAY(Main[[#This Row],[Tech Start Date]],12),IF(Main[[#This Row],[Class]]="A",WORKDAY(Main[[#This Row],[Tech Start Date]],4),""))))</f>
        <v/>
      </c>
      <c r="O174" s="114" t="str">
        <f>IF(Main[[#This Row],[Tech Start Date]]&lt;1/1/1990,"",IF(Main[[#This Row],[Class]]="C",WORKDAY(Main[[#This Row],[Tech Start Date]],23),IF(Main[[#This Row],[Class]]="B", WORKDAY(Main[[#This Row],[Tech Start Date]],15),IF(Main[[#This Row],[Class]]="A",WORKDAY(Main[[#This Row],[Tech Start Date]],5),""))))</f>
        <v/>
      </c>
      <c r="P174" s="114" t="str">
        <f>IF(Main[[#This Row],[Tech Start Date]]&lt;1/1/1990,"",IF(Main[[#This Row],[Class]]="C",WORKDAY(Main[[#This Row],[Tech Start Date]],28),IF(Main[[#This Row],[Class]]="B", WORKDAY(Main[[#This Row],[Tech Start Date]],19),IF(Main[[#This Row],[Class]]="A",WORKDAY(Main[[#This Row],[Tech Start Date]],9),""))))</f>
        <v/>
      </c>
      <c r="Q174" s="129">
        <v>40669</v>
      </c>
      <c r="R174" s="129"/>
      <c r="S174" s="139" t="s">
        <v>6</v>
      </c>
      <c r="T174" s="115" t="s">
        <v>4</v>
      </c>
      <c r="U174" s="139" t="s">
        <v>14</v>
      </c>
      <c r="V174" s="139" t="s">
        <v>1917</v>
      </c>
      <c r="W174" s="139" t="s">
        <v>4</v>
      </c>
      <c r="X174" s="139" t="s">
        <v>2818</v>
      </c>
      <c r="Y174" s="112" t="s">
        <v>2929</v>
      </c>
      <c r="Z174" s="112" t="s">
        <v>4</v>
      </c>
      <c r="AA174" s="139" t="s">
        <v>2818</v>
      </c>
    </row>
    <row r="175" spans="1:27" ht="17.25" customHeight="1">
      <c r="A175" s="69" t="str">
        <f>IF(priority(Main[[#This Row],[Comments]])&lt;&gt;0, priority(Main[[#This Row],[Comments]]),"")</f>
        <v/>
      </c>
      <c r="B175" s="63" t="s">
        <v>1057</v>
      </c>
      <c r="C175" s="148" t="s">
        <v>47</v>
      </c>
      <c r="D175" s="113" t="s">
        <v>91</v>
      </c>
      <c r="E175" s="129"/>
      <c r="F175" s="129"/>
      <c r="G175" s="69" t="str">
        <f>IF(stdProdLT(Main[[#This Row],[Comments]])=0.1,"N/A",IF(stdProdLT(Main[[#This Row],[Comments]])=0,"",stdProdLT(Main[[#This Row],[Comments]])))</f>
        <v/>
      </c>
      <c r="H175" s="138" t="str">
        <f>IF(Main[[#This Row],[In Stock Date]]="N/A", "N/A",IF(AND(Main[[#This Row],[In Stock Date]]&lt;&gt;"",Main[[#This Row],[Revised Due Date]]&lt;&gt;"",Main[[#This Row],[In Stock Date]]&lt;&gt;""),Main[[#This Row],[In Stock Date]]-Main[[#This Row],[Revised Due Date]],""))</f>
        <v/>
      </c>
      <c r="I175" s="139" t="s">
        <v>4</v>
      </c>
      <c r="J175" s="139" t="s">
        <v>4</v>
      </c>
      <c r="K175" s="139" t="s">
        <v>4</v>
      </c>
      <c r="L175" s="129"/>
      <c r="M175" s="114" t="str">
        <f>IF(Main[[#This Row],[Tech Start Date]]&lt;1/1/1990,"",IF(Main[[#This Row],[Class]]="C",WORKDAY(Main[[#This Row],[Tech Start Date]],9),IF(Main[[#This Row],[Class]]="B", WORKDAY(Main[[#This Row],[Tech Start Date]],6),IF(Main[[#This Row],[Class]]="A",WORKDAY(Main[[#This Row],[Tech Start Date]],2),""))))</f>
        <v/>
      </c>
      <c r="N175" s="114" t="str">
        <f>IF(Main[[#This Row],[Tech Start Date]]&lt;1/1/1990,"",IF(Main[[#This Row],[Class]]="C",WORKDAY(Main[[#This Row],[Tech Start Date]],19),IF(Main[[#This Row],[Class]]="B", WORKDAY(Main[[#This Row],[Tech Start Date]],12),IF(Main[[#This Row],[Class]]="A",WORKDAY(Main[[#This Row],[Tech Start Date]],4),""))))</f>
        <v/>
      </c>
      <c r="O175" s="114" t="str">
        <f>IF(Main[[#This Row],[Tech Start Date]]&lt;1/1/1990,"",IF(Main[[#This Row],[Class]]="C",WORKDAY(Main[[#This Row],[Tech Start Date]],23),IF(Main[[#This Row],[Class]]="B", WORKDAY(Main[[#This Row],[Tech Start Date]],15),IF(Main[[#This Row],[Class]]="A",WORKDAY(Main[[#This Row],[Tech Start Date]],5),""))))</f>
        <v/>
      </c>
      <c r="P175" s="114" t="str">
        <f>IF(Main[[#This Row],[Tech Start Date]]&lt;1/1/1990,"",IF(Main[[#This Row],[Class]]="C",WORKDAY(Main[[#This Row],[Tech Start Date]],28),IF(Main[[#This Row],[Class]]="B", WORKDAY(Main[[#This Row],[Tech Start Date]],19),IF(Main[[#This Row],[Class]]="A",WORKDAY(Main[[#This Row],[Tech Start Date]],9),""))))</f>
        <v/>
      </c>
      <c r="Q175" s="129"/>
      <c r="R175" s="129"/>
      <c r="S175" s="139" t="s">
        <v>49</v>
      </c>
      <c r="T175" s="115" t="s">
        <v>4</v>
      </c>
      <c r="U175" s="139" t="s">
        <v>14</v>
      </c>
      <c r="V175" s="139" t="s">
        <v>1917</v>
      </c>
      <c r="W175" s="139" t="s">
        <v>1918</v>
      </c>
      <c r="X175" s="139" t="s">
        <v>306</v>
      </c>
      <c r="Y175" s="112" t="s">
        <v>2941</v>
      </c>
      <c r="Z175" s="112" t="s">
        <v>4</v>
      </c>
      <c r="AA175" s="139" t="s">
        <v>3376</v>
      </c>
    </row>
    <row r="176" spans="1:27" ht="17.25" customHeight="1">
      <c r="A176" s="69" t="str">
        <f>IF(priority(Main[[#This Row],[Comments]])&lt;&gt;0, priority(Main[[#This Row],[Comments]]),"")</f>
        <v/>
      </c>
      <c r="B176" s="63" t="s">
        <v>1058</v>
      </c>
      <c r="C176" s="148" t="s">
        <v>4</v>
      </c>
      <c r="D176" s="113" t="s">
        <v>92</v>
      </c>
      <c r="E176" s="129"/>
      <c r="F176" s="129"/>
      <c r="G176" s="69" t="str">
        <f>IF(stdProdLT(Main[[#This Row],[Comments]])=0.1,"N/A",IF(stdProdLT(Main[[#This Row],[Comments]])=0,"",stdProdLT(Main[[#This Row],[Comments]])))</f>
        <v/>
      </c>
      <c r="H176" s="138" t="str">
        <f>IF(Main[[#This Row],[In Stock Date]]="N/A", "N/A",IF(AND(Main[[#This Row],[In Stock Date]]&lt;&gt;"",Main[[#This Row],[Revised Due Date]]&lt;&gt;"",Main[[#This Row],[In Stock Date]]&lt;&gt;""),Main[[#This Row],[In Stock Date]]-Main[[#This Row],[Revised Due Date]],""))</f>
        <v/>
      </c>
      <c r="I176" s="139" t="s">
        <v>4</v>
      </c>
      <c r="J176" s="139" t="s">
        <v>4</v>
      </c>
      <c r="K176" s="140" t="s">
        <v>4</v>
      </c>
      <c r="L176" s="129"/>
      <c r="M176" s="114" t="str">
        <f>IF(Main[[#This Row],[Tech Start Date]]&lt;1/1/1990,"",IF(Main[[#This Row],[Class]]="C",WORKDAY(Main[[#This Row],[Tech Start Date]],9),IF(Main[[#This Row],[Class]]="B", WORKDAY(Main[[#This Row],[Tech Start Date]],6),IF(Main[[#This Row],[Class]]="A",WORKDAY(Main[[#This Row],[Tech Start Date]],2),""))))</f>
        <v/>
      </c>
      <c r="N176" s="114" t="str">
        <f>IF(Main[[#This Row],[Tech Start Date]]&lt;1/1/1990,"",IF(Main[[#This Row],[Class]]="C",WORKDAY(Main[[#This Row],[Tech Start Date]],19),IF(Main[[#This Row],[Class]]="B", WORKDAY(Main[[#This Row],[Tech Start Date]],12),IF(Main[[#This Row],[Class]]="A",WORKDAY(Main[[#This Row],[Tech Start Date]],4),""))))</f>
        <v/>
      </c>
      <c r="O176" s="114" t="str">
        <f>IF(Main[[#This Row],[Tech Start Date]]&lt;1/1/1990,"",IF(Main[[#This Row],[Class]]="C",WORKDAY(Main[[#This Row],[Tech Start Date]],23),IF(Main[[#This Row],[Class]]="B", WORKDAY(Main[[#This Row],[Tech Start Date]],15),IF(Main[[#This Row],[Class]]="A",WORKDAY(Main[[#This Row],[Tech Start Date]],5),""))))</f>
        <v/>
      </c>
      <c r="P176" s="114" t="str">
        <f>IF(Main[[#This Row],[Tech Start Date]]&lt;1/1/1990,"",IF(Main[[#This Row],[Class]]="C",WORKDAY(Main[[#This Row],[Tech Start Date]],28),IF(Main[[#This Row],[Class]]="B", WORKDAY(Main[[#This Row],[Tech Start Date]],19),IF(Main[[#This Row],[Class]]="A",WORKDAY(Main[[#This Row],[Tech Start Date]],9),""))))</f>
        <v/>
      </c>
      <c r="Q176" s="129">
        <v>40289</v>
      </c>
      <c r="R176" s="129"/>
      <c r="S176" s="139" t="s">
        <v>11</v>
      </c>
      <c r="T176" s="115" t="s">
        <v>4</v>
      </c>
      <c r="U176" s="139" t="s">
        <v>14</v>
      </c>
      <c r="V176" s="139" t="s">
        <v>1914</v>
      </c>
      <c r="W176" s="139" t="s">
        <v>1916</v>
      </c>
      <c r="X176" s="139" t="s">
        <v>2821</v>
      </c>
      <c r="Y176" s="112" t="s">
        <v>2936</v>
      </c>
      <c r="Z176" s="112" t="s">
        <v>4</v>
      </c>
      <c r="AA176" s="139" t="s">
        <v>2821</v>
      </c>
    </row>
    <row r="177" spans="1:27" ht="17.25" customHeight="1">
      <c r="A177" s="69" t="str">
        <f>IF(priority(Main[[#This Row],[Comments]])&lt;&gt;0, priority(Main[[#This Row],[Comments]]),"")</f>
        <v/>
      </c>
      <c r="B177" s="63" t="s">
        <v>1059</v>
      </c>
      <c r="C177" s="148" t="s">
        <v>95</v>
      </c>
      <c r="D177" s="113" t="s">
        <v>96</v>
      </c>
      <c r="E177" s="129"/>
      <c r="F177" s="129"/>
      <c r="G177" s="69" t="str">
        <f>IF(stdProdLT(Main[[#This Row],[Comments]])=0.1,"N/A",IF(stdProdLT(Main[[#This Row],[Comments]])=0,"",stdProdLT(Main[[#This Row],[Comments]])))</f>
        <v/>
      </c>
      <c r="H177" s="138" t="str">
        <f>IF(Main[[#This Row],[In Stock Date]]="N/A", "N/A",IF(AND(Main[[#This Row],[In Stock Date]]&lt;&gt;"",Main[[#This Row],[Revised Due Date]]&lt;&gt;"",Main[[#This Row],[In Stock Date]]&lt;&gt;""),Main[[#This Row],[In Stock Date]]-Main[[#This Row],[Revised Due Date]],""))</f>
        <v/>
      </c>
      <c r="I177" s="139" t="s">
        <v>4</v>
      </c>
      <c r="J177" s="139" t="s">
        <v>4</v>
      </c>
      <c r="K177" s="139" t="s">
        <v>4</v>
      </c>
      <c r="L177" s="129"/>
      <c r="M177" s="114" t="str">
        <f>IF(Main[[#This Row],[Tech Start Date]]&lt;1/1/1990,"",IF(Main[[#This Row],[Class]]="C",WORKDAY(Main[[#This Row],[Tech Start Date]],9),IF(Main[[#This Row],[Class]]="B", WORKDAY(Main[[#This Row],[Tech Start Date]],6),IF(Main[[#This Row],[Class]]="A",WORKDAY(Main[[#This Row],[Tech Start Date]],2),""))))</f>
        <v/>
      </c>
      <c r="N177" s="114" t="str">
        <f>IF(Main[[#This Row],[Tech Start Date]]&lt;1/1/1990,"",IF(Main[[#This Row],[Class]]="C",WORKDAY(Main[[#This Row],[Tech Start Date]],19),IF(Main[[#This Row],[Class]]="B", WORKDAY(Main[[#This Row],[Tech Start Date]],12),IF(Main[[#This Row],[Class]]="A",WORKDAY(Main[[#This Row],[Tech Start Date]],4),""))))</f>
        <v/>
      </c>
      <c r="O177" s="114" t="str">
        <f>IF(Main[[#This Row],[Tech Start Date]]&lt;1/1/1990,"",IF(Main[[#This Row],[Class]]="C",WORKDAY(Main[[#This Row],[Tech Start Date]],23),IF(Main[[#This Row],[Class]]="B", WORKDAY(Main[[#This Row],[Tech Start Date]],15),IF(Main[[#This Row],[Class]]="A",WORKDAY(Main[[#This Row],[Tech Start Date]],5),""))))</f>
        <v/>
      </c>
      <c r="P177" s="114" t="str">
        <f>IF(Main[[#This Row],[Tech Start Date]]&lt;1/1/1990,"",IF(Main[[#This Row],[Class]]="C",WORKDAY(Main[[#This Row],[Tech Start Date]],28),IF(Main[[#This Row],[Class]]="B", WORKDAY(Main[[#This Row],[Tech Start Date]],19),IF(Main[[#This Row],[Class]]="A",WORKDAY(Main[[#This Row],[Tech Start Date]],9),""))))</f>
        <v/>
      </c>
      <c r="Q177" s="129">
        <v>40302</v>
      </c>
      <c r="R177" s="129"/>
      <c r="S177" s="139" t="s">
        <v>6</v>
      </c>
      <c r="T177" s="115" t="s">
        <v>4</v>
      </c>
      <c r="U177" s="139" t="s">
        <v>14</v>
      </c>
      <c r="V177" s="139" t="s">
        <v>1914</v>
      </c>
      <c r="W177" s="139" t="s">
        <v>1920</v>
      </c>
      <c r="X177" s="139" t="s">
        <v>129</v>
      </c>
      <c r="Y177" s="112" t="s">
        <v>4</v>
      </c>
      <c r="Z177" s="112" t="s">
        <v>4</v>
      </c>
      <c r="AA177" s="139" t="s">
        <v>883</v>
      </c>
    </row>
    <row r="178" spans="1:27" ht="17.25" customHeight="1">
      <c r="A178" s="69" t="str">
        <f>IF(priority(Main[[#This Row],[Comments]])&lt;&gt;0, priority(Main[[#This Row],[Comments]]),"")</f>
        <v/>
      </c>
      <c r="B178" s="63" t="s">
        <v>1060</v>
      </c>
      <c r="C178" s="148" t="s">
        <v>4</v>
      </c>
      <c r="D178" s="113" t="s">
        <v>105</v>
      </c>
      <c r="E178" s="129"/>
      <c r="F178" s="129"/>
      <c r="G178" s="69" t="str">
        <f>IF(stdProdLT(Main[[#This Row],[Comments]])=0.1,"N/A",IF(stdProdLT(Main[[#This Row],[Comments]])=0,"",stdProdLT(Main[[#This Row],[Comments]])))</f>
        <v/>
      </c>
      <c r="H178" s="138" t="str">
        <f>IF(Main[[#This Row],[In Stock Date]]="N/A", "N/A",IF(AND(Main[[#This Row],[In Stock Date]]&lt;&gt;"",Main[[#This Row],[Revised Due Date]]&lt;&gt;"",Main[[#This Row],[In Stock Date]]&lt;&gt;""),Main[[#This Row],[In Stock Date]]-Main[[#This Row],[Revised Due Date]],""))</f>
        <v/>
      </c>
      <c r="I178" s="139" t="s">
        <v>44</v>
      </c>
      <c r="J178" s="139" t="s">
        <v>28</v>
      </c>
      <c r="K178" s="139" t="s">
        <v>1923</v>
      </c>
      <c r="L178" s="129"/>
      <c r="M178" s="114" t="str">
        <f>IF(Main[[#This Row],[Tech Start Date]]&lt;1/1/1990,"",IF(Main[[#This Row],[Class]]="C",WORKDAY(Main[[#This Row],[Tech Start Date]],9),IF(Main[[#This Row],[Class]]="B", WORKDAY(Main[[#This Row],[Tech Start Date]],6),IF(Main[[#This Row],[Class]]="A",WORKDAY(Main[[#This Row],[Tech Start Date]],2),""))))</f>
        <v/>
      </c>
      <c r="N178" s="114" t="str">
        <f>IF(Main[[#This Row],[Tech Start Date]]&lt;1/1/1990,"",IF(Main[[#This Row],[Class]]="C",WORKDAY(Main[[#This Row],[Tech Start Date]],19),IF(Main[[#This Row],[Class]]="B", WORKDAY(Main[[#This Row],[Tech Start Date]],12),IF(Main[[#This Row],[Class]]="A",WORKDAY(Main[[#This Row],[Tech Start Date]],4),""))))</f>
        <v/>
      </c>
      <c r="O178" s="114" t="str">
        <f>IF(Main[[#This Row],[Tech Start Date]]&lt;1/1/1990,"",IF(Main[[#This Row],[Class]]="C",WORKDAY(Main[[#This Row],[Tech Start Date]],23),IF(Main[[#This Row],[Class]]="B", WORKDAY(Main[[#This Row],[Tech Start Date]],15),IF(Main[[#This Row],[Class]]="A",WORKDAY(Main[[#This Row],[Tech Start Date]],5),""))))</f>
        <v/>
      </c>
      <c r="P178" s="114" t="str">
        <f>IF(Main[[#This Row],[Tech Start Date]]&lt;1/1/1990,"",IF(Main[[#This Row],[Class]]="C",WORKDAY(Main[[#This Row],[Tech Start Date]],28),IF(Main[[#This Row],[Class]]="B", WORKDAY(Main[[#This Row],[Tech Start Date]],19),IF(Main[[#This Row],[Class]]="A",WORKDAY(Main[[#This Row],[Tech Start Date]],9),""))))</f>
        <v/>
      </c>
      <c r="Q178" s="129">
        <v>40725</v>
      </c>
      <c r="R178" s="129"/>
      <c r="S178" s="139" t="s">
        <v>6</v>
      </c>
      <c r="T178" s="115" t="s">
        <v>4</v>
      </c>
      <c r="U178" s="139" t="s">
        <v>14</v>
      </c>
      <c r="V178" s="139" t="s">
        <v>1917</v>
      </c>
      <c r="W178" s="139" t="s">
        <v>1918</v>
      </c>
      <c r="X178" s="139" t="s">
        <v>2819</v>
      </c>
      <c r="Y178" s="112" t="s">
        <v>2932</v>
      </c>
      <c r="Z178" s="112" t="s">
        <v>44</v>
      </c>
      <c r="AA178" s="139" t="s">
        <v>2819</v>
      </c>
    </row>
    <row r="179" spans="1:27" ht="17.25" customHeight="1">
      <c r="A179" s="69" t="str">
        <f>IF(priority(Main[[#This Row],[Comments]])&lt;&gt;0, priority(Main[[#This Row],[Comments]]),"")</f>
        <v/>
      </c>
      <c r="B179" s="63" t="s">
        <v>1061</v>
      </c>
      <c r="C179" s="148" t="s">
        <v>106</v>
      </c>
      <c r="D179" s="113" t="s">
        <v>107</v>
      </c>
      <c r="E179" s="129"/>
      <c r="F179" s="129"/>
      <c r="G179" s="69" t="str">
        <f>IF(stdProdLT(Main[[#This Row],[Comments]])=0.1,"N/A",IF(stdProdLT(Main[[#This Row],[Comments]])=0,"",stdProdLT(Main[[#This Row],[Comments]])))</f>
        <v/>
      </c>
      <c r="H179" s="138" t="str">
        <f>IF(Main[[#This Row],[In Stock Date]]="N/A", "N/A",IF(AND(Main[[#This Row],[In Stock Date]]&lt;&gt;"",Main[[#This Row],[Revised Due Date]]&lt;&gt;"",Main[[#This Row],[In Stock Date]]&lt;&gt;""),Main[[#This Row],[In Stock Date]]-Main[[#This Row],[Revised Due Date]],""))</f>
        <v/>
      </c>
      <c r="I179" s="139" t="s">
        <v>108</v>
      </c>
      <c r="J179" s="139" t="s">
        <v>28</v>
      </c>
      <c r="K179" s="139" t="s">
        <v>1927</v>
      </c>
      <c r="L179" s="129"/>
      <c r="M179" s="114" t="str">
        <f>IF(Main[[#This Row],[Tech Start Date]]&lt;1/1/1990,"",IF(Main[[#This Row],[Class]]="C",WORKDAY(Main[[#This Row],[Tech Start Date]],9),IF(Main[[#This Row],[Class]]="B", WORKDAY(Main[[#This Row],[Tech Start Date]],6),IF(Main[[#This Row],[Class]]="A",WORKDAY(Main[[#This Row],[Tech Start Date]],2),""))))</f>
        <v/>
      </c>
      <c r="N179" s="114" t="str">
        <f>IF(Main[[#This Row],[Tech Start Date]]&lt;1/1/1990,"",IF(Main[[#This Row],[Class]]="C",WORKDAY(Main[[#This Row],[Tech Start Date]],19),IF(Main[[#This Row],[Class]]="B", WORKDAY(Main[[#This Row],[Tech Start Date]],12),IF(Main[[#This Row],[Class]]="A",WORKDAY(Main[[#This Row],[Tech Start Date]],4),""))))</f>
        <v/>
      </c>
      <c r="O179" s="114" t="str">
        <f>IF(Main[[#This Row],[Tech Start Date]]&lt;1/1/1990,"",IF(Main[[#This Row],[Class]]="C",WORKDAY(Main[[#This Row],[Tech Start Date]],23),IF(Main[[#This Row],[Class]]="B", WORKDAY(Main[[#This Row],[Tech Start Date]],15),IF(Main[[#This Row],[Class]]="A",WORKDAY(Main[[#This Row],[Tech Start Date]],5),""))))</f>
        <v/>
      </c>
      <c r="P179" s="114" t="str">
        <f>IF(Main[[#This Row],[Tech Start Date]]&lt;1/1/1990,"",IF(Main[[#This Row],[Class]]="C",WORKDAY(Main[[#This Row],[Tech Start Date]],28),IF(Main[[#This Row],[Class]]="B", WORKDAY(Main[[#This Row],[Tech Start Date]],19),IF(Main[[#This Row],[Class]]="A",WORKDAY(Main[[#This Row],[Tech Start Date]],9),""))))</f>
        <v/>
      </c>
      <c r="Q179" s="129">
        <v>40626</v>
      </c>
      <c r="R179" s="129"/>
      <c r="S179" s="139" t="s">
        <v>11</v>
      </c>
      <c r="T179" s="115" t="s">
        <v>4</v>
      </c>
      <c r="U179" s="139" t="s">
        <v>14</v>
      </c>
      <c r="V179" s="139" t="s">
        <v>1915</v>
      </c>
      <c r="W179" s="139" t="s">
        <v>1916</v>
      </c>
      <c r="X179" s="139" t="s">
        <v>2816</v>
      </c>
      <c r="Y179" s="112" t="s">
        <v>2928</v>
      </c>
      <c r="Z179" s="112" t="s">
        <v>108</v>
      </c>
      <c r="AA179" s="139" t="s">
        <v>2816</v>
      </c>
    </row>
    <row r="180" spans="1:27" ht="17.25" customHeight="1">
      <c r="A180" s="69" t="str">
        <f>IF(priority(Main[[#This Row],[Comments]])&lt;&gt;0, priority(Main[[#This Row],[Comments]]),"")</f>
        <v/>
      </c>
      <c r="B180" s="63" t="s">
        <v>1068</v>
      </c>
      <c r="C180" s="148" t="s">
        <v>31</v>
      </c>
      <c r="D180" s="113" t="s">
        <v>109</v>
      </c>
      <c r="E180" s="129"/>
      <c r="F180" s="129"/>
      <c r="G180" s="69" t="str">
        <f>IF(stdProdLT(Main[[#This Row],[Comments]])=0.1,"N/A",IF(stdProdLT(Main[[#This Row],[Comments]])=0,"",stdProdLT(Main[[#This Row],[Comments]])))</f>
        <v/>
      </c>
      <c r="H180" s="138" t="str">
        <f>IF(Main[[#This Row],[In Stock Date]]="N/A", "N/A",IF(AND(Main[[#This Row],[In Stock Date]]&lt;&gt;"",Main[[#This Row],[Revised Due Date]]&lt;&gt;"",Main[[#This Row],[In Stock Date]]&lt;&gt;""),Main[[#This Row],[In Stock Date]]-Main[[#This Row],[Revised Due Date]],""))</f>
        <v/>
      </c>
      <c r="I180" s="139" t="s">
        <v>4</v>
      </c>
      <c r="J180" s="139" t="s">
        <v>4</v>
      </c>
      <c r="K180" s="140" t="s">
        <v>4</v>
      </c>
      <c r="L180" s="129"/>
      <c r="M180" s="114" t="str">
        <f>IF(Main[[#This Row],[Tech Start Date]]&lt;1/1/1990,"",IF(Main[[#This Row],[Class]]="C",WORKDAY(Main[[#This Row],[Tech Start Date]],9),IF(Main[[#This Row],[Class]]="B", WORKDAY(Main[[#This Row],[Tech Start Date]],6),IF(Main[[#This Row],[Class]]="A",WORKDAY(Main[[#This Row],[Tech Start Date]],2),""))))</f>
        <v/>
      </c>
      <c r="N180" s="114" t="str">
        <f>IF(Main[[#This Row],[Tech Start Date]]&lt;1/1/1990,"",IF(Main[[#This Row],[Class]]="C",WORKDAY(Main[[#This Row],[Tech Start Date]],19),IF(Main[[#This Row],[Class]]="B", WORKDAY(Main[[#This Row],[Tech Start Date]],12),IF(Main[[#This Row],[Class]]="A",WORKDAY(Main[[#This Row],[Tech Start Date]],4),""))))</f>
        <v/>
      </c>
      <c r="O180" s="114" t="str">
        <f>IF(Main[[#This Row],[Tech Start Date]]&lt;1/1/1990,"",IF(Main[[#This Row],[Class]]="C",WORKDAY(Main[[#This Row],[Tech Start Date]],23),IF(Main[[#This Row],[Class]]="B", WORKDAY(Main[[#This Row],[Tech Start Date]],15),IF(Main[[#This Row],[Class]]="A",WORKDAY(Main[[#This Row],[Tech Start Date]],5),""))))</f>
        <v/>
      </c>
      <c r="P180" s="114" t="str">
        <f>IF(Main[[#This Row],[Tech Start Date]]&lt;1/1/1990,"",IF(Main[[#This Row],[Class]]="C",WORKDAY(Main[[#This Row],[Tech Start Date]],28),IF(Main[[#This Row],[Class]]="B", WORKDAY(Main[[#This Row],[Tech Start Date]],19),IF(Main[[#This Row],[Class]]="A",WORKDAY(Main[[#This Row],[Tech Start Date]],9),""))))</f>
        <v/>
      </c>
      <c r="Q180" s="129">
        <v>40318</v>
      </c>
      <c r="R180" s="129"/>
      <c r="S180" s="139" t="s">
        <v>11</v>
      </c>
      <c r="T180" s="115" t="s">
        <v>4</v>
      </c>
      <c r="U180" s="139" t="s">
        <v>14</v>
      </c>
      <c r="V180" s="139" t="s">
        <v>1917</v>
      </c>
      <c r="W180" s="139" t="s">
        <v>1916</v>
      </c>
      <c r="X180" s="139" t="s">
        <v>2830</v>
      </c>
      <c r="Y180" s="112" t="s">
        <v>4</v>
      </c>
      <c r="Z180" s="112" t="s">
        <v>4</v>
      </c>
      <c r="AA180" s="139" t="s">
        <v>2830</v>
      </c>
    </row>
    <row r="181" spans="1:27" ht="17.25" customHeight="1">
      <c r="A181" s="98" t="str">
        <f>IF(priority(Main[[#This Row],[Comments]])&lt;&gt;0, priority(Main[[#This Row],[Comments]]),"")</f>
        <v/>
      </c>
      <c r="B181" s="63" t="s">
        <v>2042</v>
      </c>
      <c r="C181" s="149" t="s">
        <v>4</v>
      </c>
      <c r="D181" s="121" t="s">
        <v>2041</v>
      </c>
      <c r="E181" s="131"/>
      <c r="F181" s="131"/>
      <c r="G181" s="98" t="str">
        <f>IF(stdProdLT(Main[[#This Row],[Comments]])=0.1,"N/A",IF(stdProdLT(Main[[#This Row],[Comments]])=0,"",stdProdLT(Main[[#This Row],[Comments]])))</f>
        <v/>
      </c>
      <c r="H181" s="142" t="str">
        <f>IF(Main[[#This Row],[In Stock Date]]="N/A", "N/A",IF(AND(Main[[#This Row],[In Stock Date]]&lt;&gt;"",Main[[#This Row],[Revised Due Date]]&lt;&gt;"",Main[[#This Row],[In Stock Date]]&lt;&gt;""),Main[[#This Row],[In Stock Date]]-Main[[#This Row],[Revised Due Date]],""))</f>
        <v/>
      </c>
      <c r="I181" s="143" t="s">
        <v>4</v>
      </c>
      <c r="J181" s="143" t="s">
        <v>4</v>
      </c>
      <c r="K181" s="143" t="s">
        <v>4</v>
      </c>
      <c r="L181" s="131"/>
      <c r="M181" s="122" t="str">
        <f>IF(Main[[#This Row],[Tech Start Date]]&lt;1/1/1990,"",IF(Main[[#This Row],[Class]]="C",WORKDAY(Main[[#This Row],[Tech Start Date]],9),IF(Main[[#This Row],[Class]]="B", WORKDAY(Main[[#This Row],[Tech Start Date]],6),IF(Main[[#This Row],[Class]]="A",WORKDAY(Main[[#This Row],[Tech Start Date]],2),""))))</f>
        <v/>
      </c>
      <c r="N181" s="122" t="str">
        <f>IF(Main[[#This Row],[Tech Start Date]]&lt;1/1/1990,"",IF(Main[[#This Row],[Class]]="C",WORKDAY(Main[[#This Row],[Tech Start Date]],19),IF(Main[[#This Row],[Class]]="B", WORKDAY(Main[[#This Row],[Tech Start Date]],12),IF(Main[[#This Row],[Class]]="A",WORKDAY(Main[[#This Row],[Tech Start Date]],4),""))))</f>
        <v/>
      </c>
      <c r="O181" s="122" t="str">
        <f>IF(Main[[#This Row],[Tech Start Date]]&lt;1/1/1990,"",IF(Main[[#This Row],[Class]]="C",WORKDAY(Main[[#This Row],[Tech Start Date]],23),IF(Main[[#This Row],[Class]]="B", WORKDAY(Main[[#This Row],[Tech Start Date]],15),IF(Main[[#This Row],[Class]]="A",WORKDAY(Main[[#This Row],[Tech Start Date]],5),""))))</f>
        <v/>
      </c>
      <c r="P181" s="122" t="str">
        <f>IF(Main[[#This Row],[Tech Start Date]]&lt;1/1/1990,"",IF(Main[[#This Row],[Class]]="C",WORKDAY(Main[[#This Row],[Tech Start Date]],28),IF(Main[[#This Row],[Class]]="B", WORKDAY(Main[[#This Row],[Tech Start Date]],19),IF(Main[[#This Row],[Class]]="A",WORKDAY(Main[[#This Row],[Tech Start Date]],9),""))))</f>
        <v/>
      </c>
      <c r="Q181" s="131"/>
      <c r="R181" s="131"/>
      <c r="S181" s="143" t="s">
        <v>6</v>
      </c>
      <c r="T181" s="123" t="s">
        <v>4</v>
      </c>
      <c r="U181" s="143" t="s">
        <v>14</v>
      </c>
      <c r="V181" s="143" t="s">
        <v>1915</v>
      </c>
      <c r="W181" s="143" t="s">
        <v>1918</v>
      </c>
      <c r="X181" s="143" t="s">
        <v>306</v>
      </c>
      <c r="Y181" s="120" t="s">
        <v>4</v>
      </c>
      <c r="Z181" s="120" t="s">
        <v>4</v>
      </c>
      <c r="AA181" s="143" t="s">
        <v>4</v>
      </c>
    </row>
    <row r="182" spans="1:27" ht="17.25" customHeight="1">
      <c r="A182" s="69" t="str">
        <f>IF(priority(Main[[#This Row],[Comments]])&lt;&gt;0, priority(Main[[#This Row],[Comments]]),"")</f>
        <v/>
      </c>
      <c r="B182" s="63" t="s">
        <v>1069</v>
      </c>
      <c r="C182" s="148" t="s">
        <v>19</v>
      </c>
      <c r="D182" s="113" t="s">
        <v>110</v>
      </c>
      <c r="E182" s="129"/>
      <c r="F182" s="129">
        <v>40548</v>
      </c>
      <c r="G182" s="69" t="str">
        <f>IF(stdProdLT(Main[[#This Row],[Comments]])=0.1,"N/A",IF(stdProdLT(Main[[#This Row],[Comments]])=0,"",stdProdLT(Main[[#This Row],[Comments]])))</f>
        <v/>
      </c>
      <c r="H182" s="138" t="str">
        <f>IF(Main[[#This Row],[In Stock Date]]="N/A", "N/A",IF(AND(Main[[#This Row],[In Stock Date]]&lt;&gt;"",Main[[#This Row],[Revised Due Date]]&lt;&gt;"",Main[[#This Row],[In Stock Date]]&lt;&gt;""),Main[[#This Row],[In Stock Date]]-Main[[#This Row],[Revised Due Date]],""))</f>
        <v/>
      </c>
      <c r="I182" s="139" t="s">
        <v>4</v>
      </c>
      <c r="J182" s="139" t="s">
        <v>4</v>
      </c>
      <c r="K182" s="139" t="s">
        <v>4</v>
      </c>
      <c r="L182" s="129"/>
      <c r="M182" s="114" t="str">
        <f>IF(Main[[#This Row],[Tech Start Date]]&lt;1/1/1990,"",IF(Main[[#This Row],[Class]]="C",WORKDAY(Main[[#This Row],[Tech Start Date]],9),IF(Main[[#This Row],[Class]]="B", WORKDAY(Main[[#This Row],[Tech Start Date]],6),IF(Main[[#This Row],[Class]]="A",WORKDAY(Main[[#This Row],[Tech Start Date]],2),""))))</f>
        <v/>
      </c>
      <c r="N182" s="114" t="str">
        <f>IF(Main[[#This Row],[Tech Start Date]]&lt;1/1/1990,"",IF(Main[[#This Row],[Class]]="C",WORKDAY(Main[[#This Row],[Tech Start Date]],19),IF(Main[[#This Row],[Class]]="B", WORKDAY(Main[[#This Row],[Tech Start Date]],12),IF(Main[[#This Row],[Class]]="A",WORKDAY(Main[[#This Row],[Tech Start Date]],4),""))))</f>
        <v/>
      </c>
      <c r="O182" s="114" t="str">
        <f>IF(Main[[#This Row],[Tech Start Date]]&lt;1/1/1990,"",IF(Main[[#This Row],[Class]]="C",WORKDAY(Main[[#This Row],[Tech Start Date]],23),IF(Main[[#This Row],[Class]]="B", WORKDAY(Main[[#This Row],[Tech Start Date]],15),IF(Main[[#This Row],[Class]]="A",WORKDAY(Main[[#This Row],[Tech Start Date]],5),""))))</f>
        <v/>
      </c>
      <c r="P182" s="114" t="str">
        <f>IF(Main[[#This Row],[Tech Start Date]]&lt;1/1/1990,"",IF(Main[[#This Row],[Class]]="C",WORKDAY(Main[[#This Row],[Tech Start Date]],28),IF(Main[[#This Row],[Class]]="B", WORKDAY(Main[[#This Row],[Tech Start Date]],19),IF(Main[[#This Row],[Class]]="A",WORKDAY(Main[[#This Row],[Tech Start Date]],9),""))))</f>
        <v/>
      </c>
      <c r="Q182" s="129">
        <v>40415</v>
      </c>
      <c r="R182" s="129"/>
      <c r="S182" s="139" t="s">
        <v>17</v>
      </c>
      <c r="T182" s="115" t="s">
        <v>4</v>
      </c>
      <c r="U182" s="139" t="s">
        <v>12</v>
      </c>
      <c r="V182" s="139" t="s">
        <v>1917</v>
      </c>
      <c r="W182" s="139" t="s">
        <v>1922</v>
      </c>
      <c r="X182" s="139" t="s">
        <v>2833</v>
      </c>
      <c r="Y182" s="112" t="s">
        <v>2939</v>
      </c>
      <c r="Z182" s="112" t="s">
        <v>4</v>
      </c>
      <c r="AA182" s="139" t="s">
        <v>2833</v>
      </c>
    </row>
    <row r="183" spans="1:27" ht="17.25" customHeight="1">
      <c r="A183" s="69" t="str">
        <f>IF(priority(Main[[#This Row],[Comments]])&lt;&gt;0, priority(Main[[#This Row],[Comments]]),"")</f>
        <v/>
      </c>
      <c r="B183" s="63" t="s">
        <v>1062</v>
      </c>
      <c r="C183" s="148" t="s">
        <v>4</v>
      </c>
      <c r="D183" s="113" t="s">
        <v>97</v>
      </c>
      <c r="E183" s="129"/>
      <c r="F183" s="129"/>
      <c r="G183" s="69" t="str">
        <f>IF(stdProdLT(Main[[#This Row],[Comments]])=0.1,"N/A",IF(stdProdLT(Main[[#This Row],[Comments]])=0,"",stdProdLT(Main[[#This Row],[Comments]])))</f>
        <v/>
      </c>
      <c r="H183" s="138" t="str">
        <f>IF(Main[[#This Row],[In Stock Date]]="N/A", "N/A",IF(AND(Main[[#This Row],[In Stock Date]]&lt;&gt;"",Main[[#This Row],[Revised Due Date]]&lt;&gt;"",Main[[#This Row],[In Stock Date]]&lt;&gt;""),Main[[#This Row],[In Stock Date]]-Main[[#This Row],[Revised Due Date]],""))</f>
        <v/>
      </c>
      <c r="I183" s="139" t="s">
        <v>4</v>
      </c>
      <c r="J183" s="139" t="s">
        <v>4</v>
      </c>
      <c r="K183" s="139" t="s">
        <v>4</v>
      </c>
      <c r="L183" s="129"/>
      <c r="M183" s="114" t="str">
        <f>IF(Main[[#This Row],[Tech Start Date]]&lt;1/1/1990,"",IF(Main[[#This Row],[Class]]="C",WORKDAY(Main[[#This Row],[Tech Start Date]],9),IF(Main[[#This Row],[Class]]="B", WORKDAY(Main[[#This Row],[Tech Start Date]],6),IF(Main[[#This Row],[Class]]="A",WORKDAY(Main[[#This Row],[Tech Start Date]],2),""))))</f>
        <v/>
      </c>
      <c r="N183" s="114" t="str">
        <f>IF(Main[[#This Row],[Tech Start Date]]&lt;1/1/1990,"",IF(Main[[#This Row],[Class]]="C",WORKDAY(Main[[#This Row],[Tech Start Date]],19),IF(Main[[#This Row],[Class]]="B", WORKDAY(Main[[#This Row],[Tech Start Date]],12),IF(Main[[#This Row],[Class]]="A",WORKDAY(Main[[#This Row],[Tech Start Date]],4),""))))</f>
        <v/>
      </c>
      <c r="O183" s="114" t="str">
        <f>IF(Main[[#This Row],[Tech Start Date]]&lt;1/1/1990,"",IF(Main[[#This Row],[Class]]="C",WORKDAY(Main[[#This Row],[Tech Start Date]],23),IF(Main[[#This Row],[Class]]="B", WORKDAY(Main[[#This Row],[Tech Start Date]],15),IF(Main[[#This Row],[Class]]="A",WORKDAY(Main[[#This Row],[Tech Start Date]],5),""))))</f>
        <v/>
      </c>
      <c r="P183" s="114" t="str">
        <f>IF(Main[[#This Row],[Tech Start Date]]&lt;1/1/1990,"",IF(Main[[#This Row],[Class]]="C",WORKDAY(Main[[#This Row],[Tech Start Date]],28),IF(Main[[#This Row],[Class]]="B", WORKDAY(Main[[#This Row],[Tech Start Date]],19),IF(Main[[#This Row],[Class]]="A",WORKDAY(Main[[#This Row],[Tech Start Date]],9),""))))</f>
        <v/>
      </c>
      <c r="Q183" s="129">
        <v>40858</v>
      </c>
      <c r="R183" s="129"/>
      <c r="S183" s="139" t="s">
        <v>17</v>
      </c>
      <c r="T183" s="115" t="s">
        <v>4</v>
      </c>
      <c r="U183" s="139" t="s">
        <v>14</v>
      </c>
      <c r="V183" s="139" t="s">
        <v>1914</v>
      </c>
      <c r="W183" s="139" t="s">
        <v>1919</v>
      </c>
      <c r="X183" s="139" t="s">
        <v>50</v>
      </c>
      <c r="Y183" s="112" t="s">
        <v>2959</v>
      </c>
      <c r="Z183" s="112" t="s">
        <v>4</v>
      </c>
      <c r="AA183" s="139" t="s">
        <v>2828</v>
      </c>
    </row>
    <row r="184" spans="1:27" ht="17.25" customHeight="1">
      <c r="A184" s="69" t="str">
        <f>IF(priority(Main[[#This Row],[Comments]])&lt;&gt;0, priority(Main[[#This Row],[Comments]]),"")</f>
        <v/>
      </c>
      <c r="B184" s="63" t="s">
        <v>1063</v>
      </c>
      <c r="C184" s="148" t="s">
        <v>4</v>
      </c>
      <c r="D184" s="113" t="s">
        <v>98</v>
      </c>
      <c r="E184" s="129">
        <v>40373.607708333337</v>
      </c>
      <c r="F184" s="129"/>
      <c r="G184" s="69" t="str">
        <f>IF(stdProdLT(Main[[#This Row],[Comments]])=0.1,"N/A",IF(stdProdLT(Main[[#This Row],[Comments]])=0,"",stdProdLT(Main[[#This Row],[Comments]])))</f>
        <v/>
      </c>
      <c r="H184" s="138" t="str">
        <f>IF(Main[[#This Row],[In Stock Date]]="N/A", "N/A",IF(AND(Main[[#This Row],[In Stock Date]]&lt;&gt;"",Main[[#This Row],[Revised Due Date]]&lt;&gt;"",Main[[#This Row],[In Stock Date]]&lt;&gt;""),Main[[#This Row],[In Stock Date]]-Main[[#This Row],[Revised Due Date]],""))</f>
        <v/>
      </c>
      <c r="I184" s="139" t="s">
        <v>4</v>
      </c>
      <c r="J184" s="139" t="s">
        <v>4</v>
      </c>
      <c r="K184" s="139" t="s">
        <v>4</v>
      </c>
      <c r="L184" s="129"/>
      <c r="M184" s="114" t="str">
        <f>IF(Main[[#This Row],[Tech Start Date]]&lt;1/1/1990,"",IF(Main[[#This Row],[Class]]="C",WORKDAY(Main[[#This Row],[Tech Start Date]],9),IF(Main[[#This Row],[Class]]="B", WORKDAY(Main[[#This Row],[Tech Start Date]],6),IF(Main[[#This Row],[Class]]="A",WORKDAY(Main[[#This Row],[Tech Start Date]],2),""))))</f>
        <v/>
      </c>
      <c r="N184" s="114" t="str">
        <f>IF(Main[[#This Row],[Tech Start Date]]&lt;1/1/1990,"",IF(Main[[#This Row],[Class]]="C",WORKDAY(Main[[#This Row],[Tech Start Date]],19),IF(Main[[#This Row],[Class]]="B", WORKDAY(Main[[#This Row],[Tech Start Date]],12),IF(Main[[#This Row],[Class]]="A",WORKDAY(Main[[#This Row],[Tech Start Date]],4),""))))</f>
        <v/>
      </c>
      <c r="O184" s="114" t="str">
        <f>IF(Main[[#This Row],[Tech Start Date]]&lt;1/1/1990,"",IF(Main[[#This Row],[Class]]="C",WORKDAY(Main[[#This Row],[Tech Start Date]],23),IF(Main[[#This Row],[Class]]="B", WORKDAY(Main[[#This Row],[Tech Start Date]],15),IF(Main[[#This Row],[Class]]="A",WORKDAY(Main[[#This Row],[Tech Start Date]],5),""))))</f>
        <v/>
      </c>
      <c r="P184" s="114" t="str">
        <f>IF(Main[[#This Row],[Tech Start Date]]&lt;1/1/1990,"",IF(Main[[#This Row],[Class]]="C",WORKDAY(Main[[#This Row],[Tech Start Date]],28),IF(Main[[#This Row],[Class]]="B", WORKDAY(Main[[#This Row],[Tech Start Date]],19),IF(Main[[#This Row],[Class]]="A",WORKDAY(Main[[#This Row],[Tech Start Date]],9),""))))</f>
        <v/>
      </c>
      <c r="Q184" s="129">
        <v>40382</v>
      </c>
      <c r="R184" s="129"/>
      <c r="S184" s="139" t="s">
        <v>6</v>
      </c>
      <c r="T184" s="115" t="s">
        <v>4</v>
      </c>
      <c r="U184" s="139" t="s">
        <v>7</v>
      </c>
      <c r="V184" s="139" t="s">
        <v>1914</v>
      </c>
      <c r="W184" s="139" t="s">
        <v>1918</v>
      </c>
      <c r="X184" s="139" t="s">
        <v>399</v>
      </c>
      <c r="Y184" s="112" t="s">
        <v>4</v>
      </c>
      <c r="Z184" s="112" t="s">
        <v>4</v>
      </c>
      <c r="AA184" s="139" t="s">
        <v>3383</v>
      </c>
    </row>
    <row r="185" spans="1:27" ht="17.25" customHeight="1">
      <c r="A185" s="69" t="str">
        <f>IF(priority(Main[[#This Row],[Comments]])&lt;&gt;0, priority(Main[[#This Row],[Comments]]),"")</f>
        <v/>
      </c>
      <c r="B185" s="63" t="s">
        <v>1064</v>
      </c>
      <c r="C185" s="148" t="s">
        <v>99</v>
      </c>
      <c r="D185" s="113" t="s">
        <v>100</v>
      </c>
      <c r="E185" s="129"/>
      <c r="F185" s="129"/>
      <c r="G185" s="69" t="str">
        <f>IF(stdProdLT(Main[[#This Row],[Comments]])=0.1,"N/A",IF(stdProdLT(Main[[#This Row],[Comments]])=0,"",stdProdLT(Main[[#This Row],[Comments]])))</f>
        <v/>
      </c>
      <c r="H185" s="138" t="str">
        <f>IF(Main[[#This Row],[In Stock Date]]="N/A", "N/A",IF(AND(Main[[#This Row],[In Stock Date]]&lt;&gt;"",Main[[#This Row],[Revised Due Date]]&lt;&gt;"",Main[[#This Row],[In Stock Date]]&lt;&gt;""),Main[[#This Row],[In Stock Date]]-Main[[#This Row],[Revised Due Date]],""))</f>
        <v/>
      </c>
      <c r="I185" s="139" t="s">
        <v>4</v>
      </c>
      <c r="J185" s="139" t="s">
        <v>4</v>
      </c>
      <c r="K185" s="139" t="s">
        <v>4</v>
      </c>
      <c r="L185" s="129"/>
      <c r="M185" s="114" t="str">
        <f>IF(Main[[#This Row],[Tech Start Date]]&lt;1/1/1990,"",IF(Main[[#This Row],[Class]]="C",WORKDAY(Main[[#This Row],[Tech Start Date]],9),IF(Main[[#This Row],[Class]]="B", WORKDAY(Main[[#This Row],[Tech Start Date]],6),IF(Main[[#This Row],[Class]]="A",WORKDAY(Main[[#This Row],[Tech Start Date]],2),""))))</f>
        <v/>
      </c>
      <c r="N185" s="114" t="str">
        <f>IF(Main[[#This Row],[Tech Start Date]]&lt;1/1/1990,"",IF(Main[[#This Row],[Class]]="C",WORKDAY(Main[[#This Row],[Tech Start Date]],19),IF(Main[[#This Row],[Class]]="B", WORKDAY(Main[[#This Row],[Tech Start Date]],12),IF(Main[[#This Row],[Class]]="A",WORKDAY(Main[[#This Row],[Tech Start Date]],4),""))))</f>
        <v/>
      </c>
      <c r="O185" s="114" t="str">
        <f>IF(Main[[#This Row],[Tech Start Date]]&lt;1/1/1990,"",IF(Main[[#This Row],[Class]]="C",WORKDAY(Main[[#This Row],[Tech Start Date]],23),IF(Main[[#This Row],[Class]]="B", WORKDAY(Main[[#This Row],[Tech Start Date]],15),IF(Main[[#This Row],[Class]]="A",WORKDAY(Main[[#This Row],[Tech Start Date]],5),""))))</f>
        <v/>
      </c>
      <c r="P185" s="114" t="str">
        <f>IF(Main[[#This Row],[Tech Start Date]]&lt;1/1/1990,"",IF(Main[[#This Row],[Class]]="C",WORKDAY(Main[[#This Row],[Tech Start Date]],28),IF(Main[[#This Row],[Class]]="B", WORKDAY(Main[[#This Row],[Tech Start Date]],19),IF(Main[[#This Row],[Class]]="A",WORKDAY(Main[[#This Row],[Tech Start Date]],9),""))))</f>
        <v/>
      </c>
      <c r="Q185" s="129"/>
      <c r="R185" s="129"/>
      <c r="S185" s="139" t="s">
        <v>49</v>
      </c>
      <c r="T185" s="115" t="s">
        <v>4</v>
      </c>
      <c r="U185" s="139" t="s">
        <v>12</v>
      </c>
      <c r="V185" s="139" t="s">
        <v>1915</v>
      </c>
      <c r="W185" s="139" t="s">
        <v>1916</v>
      </c>
      <c r="X185" s="139" t="s">
        <v>2834</v>
      </c>
      <c r="Y185" s="112" t="s">
        <v>2960</v>
      </c>
      <c r="Z185" s="112" t="s">
        <v>4</v>
      </c>
      <c r="AA185" s="139" t="s">
        <v>3384</v>
      </c>
    </row>
    <row r="186" spans="1:27" ht="17.25" customHeight="1">
      <c r="A186" s="69" t="str">
        <f>IF(priority(Main[[#This Row],[Comments]])&lt;&gt;0, priority(Main[[#This Row],[Comments]]),"")</f>
        <v/>
      </c>
      <c r="B186" s="63" t="s">
        <v>1065</v>
      </c>
      <c r="C186" s="148" t="s">
        <v>67</v>
      </c>
      <c r="D186" s="113" t="s">
        <v>101</v>
      </c>
      <c r="E186" s="129"/>
      <c r="F186" s="129">
        <v>40664</v>
      </c>
      <c r="G186" s="69" t="str">
        <f>IF(stdProdLT(Main[[#This Row],[Comments]])=0.1,"N/A",IF(stdProdLT(Main[[#This Row],[Comments]])=0,"",stdProdLT(Main[[#This Row],[Comments]])))</f>
        <v/>
      </c>
      <c r="H186" s="138" t="str">
        <f>IF(Main[[#This Row],[In Stock Date]]="N/A", "N/A",IF(AND(Main[[#This Row],[In Stock Date]]&lt;&gt;"",Main[[#This Row],[Revised Due Date]]&lt;&gt;"",Main[[#This Row],[In Stock Date]]&lt;&gt;""),Main[[#This Row],[In Stock Date]]-Main[[#This Row],[Revised Due Date]],""))</f>
        <v/>
      </c>
      <c r="I186" s="139" t="s">
        <v>102</v>
      </c>
      <c r="J186" s="139" t="s">
        <v>51</v>
      </c>
      <c r="K186" s="140" t="s">
        <v>1923</v>
      </c>
      <c r="L186" s="129"/>
      <c r="M186" s="114" t="str">
        <f>IF(Main[[#This Row],[Tech Start Date]]&lt;1/1/1990,"",IF(Main[[#This Row],[Class]]="C",WORKDAY(Main[[#This Row],[Tech Start Date]],9),IF(Main[[#This Row],[Class]]="B", WORKDAY(Main[[#This Row],[Tech Start Date]],6),IF(Main[[#This Row],[Class]]="A",WORKDAY(Main[[#This Row],[Tech Start Date]],2),""))))</f>
        <v/>
      </c>
      <c r="N186" s="114" t="str">
        <f>IF(Main[[#This Row],[Tech Start Date]]&lt;1/1/1990,"",IF(Main[[#This Row],[Class]]="C",WORKDAY(Main[[#This Row],[Tech Start Date]],19),IF(Main[[#This Row],[Class]]="B", WORKDAY(Main[[#This Row],[Tech Start Date]],12),IF(Main[[#This Row],[Class]]="A",WORKDAY(Main[[#This Row],[Tech Start Date]],4),""))))</f>
        <v/>
      </c>
      <c r="O186" s="114" t="str">
        <f>IF(Main[[#This Row],[Tech Start Date]]&lt;1/1/1990,"",IF(Main[[#This Row],[Class]]="C",WORKDAY(Main[[#This Row],[Tech Start Date]],23),IF(Main[[#This Row],[Class]]="B", WORKDAY(Main[[#This Row],[Tech Start Date]],15),IF(Main[[#This Row],[Class]]="A",WORKDAY(Main[[#This Row],[Tech Start Date]],5),""))))</f>
        <v/>
      </c>
      <c r="P186" s="114" t="str">
        <f>IF(Main[[#This Row],[Tech Start Date]]&lt;1/1/1990,"",IF(Main[[#This Row],[Class]]="C",WORKDAY(Main[[#This Row],[Tech Start Date]],28),IF(Main[[#This Row],[Class]]="B", WORKDAY(Main[[#This Row],[Tech Start Date]],19),IF(Main[[#This Row],[Class]]="A",WORKDAY(Main[[#This Row],[Tech Start Date]],9),""))))</f>
        <v/>
      </c>
      <c r="Q186" s="129">
        <v>40585</v>
      </c>
      <c r="R186" s="129"/>
      <c r="S186" s="139" t="s">
        <v>11</v>
      </c>
      <c r="T186" s="115" t="s">
        <v>4</v>
      </c>
      <c r="U186" s="139" t="s">
        <v>14</v>
      </c>
      <c r="V186" s="139" t="s">
        <v>1914</v>
      </c>
      <c r="W186" s="139" t="s">
        <v>1920</v>
      </c>
      <c r="X186" s="139" t="s">
        <v>50</v>
      </c>
      <c r="Y186" s="112" t="s">
        <v>2961</v>
      </c>
      <c r="Z186" s="112" t="s">
        <v>129</v>
      </c>
      <c r="AA186" s="139" t="s">
        <v>50</v>
      </c>
    </row>
    <row r="187" spans="1:27" ht="17.25" customHeight="1">
      <c r="A187" s="69" t="str">
        <f>IF(priority(Main[[#This Row],[Comments]])&lt;&gt;0, priority(Main[[#This Row],[Comments]]),"")</f>
        <v/>
      </c>
      <c r="B187" s="63" t="s">
        <v>2445</v>
      </c>
      <c r="C187" s="148" t="s">
        <v>4</v>
      </c>
      <c r="D187" s="113" t="s">
        <v>2689</v>
      </c>
      <c r="E187" s="129">
        <v>40869.337650462963</v>
      </c>
      <c r="F187" s="129"/>
      <c r="G187" s="69" t="str">
        <f>IF(stdProdLT(Main[[#This Row],[Comments]])=0.1,"N/A",IF(stdProdLT(Main[[#This Row],[Comments]])=0,"",stdProdLT(Main[[#This Row],[Comments]])))</f>
        <v/>
      </c>
      <c r="H187" s="138" t="str">
        <f>IF(Main[[#This Row],[In Stock Date]]="N/A", "N/A",IF(AND(Main[[#This Row],[In Stock Date]]&lt;&gt;"",Main[[#This Row],[Revised Due Date]]&lt;&gt;"",Main[[#This Row],[In Stock Date]]&lt;&gt;""),Main[[#This Row],[In Stock Date]]-Main[[#This Row],[Revised Due Date]],""))</f>
        <v/>
      </c>
      <c r="I187" s="139" t="s">
        <v>4</v>
      </c>
      <c r="J187" s="139" t="s">
        <v>4</v>
      </c>
      <c r="K187" s="139" t="s">
        <v>4</v>
      </c>
      <c r="L187" s="129"/>
      <c r="M187" s="114" t="str">
        <f>IF(Main[[#This Row],[Tech Start Date]]&lt;1/1/1990,"",IF(Main[[#This Row],[Class]]="C",WORKDAY(Main[[#This Row],[Tech Start Date]],9),IF(Main[[#This Row],[Class]]="B", WORKDAY(Main[[#This Row],[Tech Start Date]],6),IF(Main[[#This Row],[Class]]="A",WORKDAY(Main[[#This Row],[Tech Start Date]],2),""))))</f>
        <v/>
      </c>
      <c r="N187" s="114" t="str">
        <f>IF(Main[[#This Row],[Tech Start Date]]&lt;1/1/1990,"",IF(Main[[#This Row],[Class]]="C",WORKDAY(Main[[#This Row],[Tech Start Date]],19),IF(Main[[#This Row],[Class]]="B", WORKDAY(Main[[#This Row],[Tech Start Date]],12),IF(Main[[#This Row],[Class]]="A",WORKDAY(Main[[#This Row],[Tech Start Date]],4),""))))</f>
        <v/>
      </c>
      <c r="O187" s="114" t="str">
        <f>IF(Main[[#This Row],[Tech Start Date]]&lt;1/1/1990,"",IF(Main[[#This Row],[Class]]="C",WORKDAY(Main[[#This Row],[Tech Start Date]],23),IF(Main[[#This Row],[Class]]="B", WORKDAY(Main[[#This Row],[Tech Start Date]],15),IF(Main[[#This Row],[Class]]="A",WORKDAY(Main[[#This Row],[Tech Start Date]],5),""))))</f>
        <v/>
      </c>
      <c r="P187" s="114" t="str">
        <f>IF(Main[[#This Row],[Tech Start Date]]&lt;1/1/1990,"",IF(Main[[#This Row],[Class]]="C",WORKDAY(Main[[#This Row],[Tech Start Date]],28),IF(Main[[#This Row],[Class]]="B", WORKDAY(Main[[#This Row],[Tech Start Date]],19),IF(Main[[#This Row],[Class]]="A",WORKDAY(Main[[#This Row],[Tech Start Date]],9),""))))</f>
        <v/>
      </c>
      <c r="Q187" s="129"/>
      <c r="R187" s="129"/>
      <c r="S187" s="139" t="s">
        <v>6</v>
      </c>
      <c r="T187" s="115" t="s">
        <v>2690</v>
      </c>
      <c r="U187" s="139" t="s">
        <v>29</v>
      </c>
      <c r="V187" s="139" t="s">
        <v>1914</v>
      </c>
      <c r="W187" s="139" t="s">
        <v>1918</v>
      </c>
      <c r="X187" s="139" t="s">
        <v>102</v>
      </c>
      <c r="Y187" s="112" t="s">
        <v>2962</v>
      </c>
      <c r="Z187" s="112" t="s">
        <v>4</v>
      </c>
      <c r="AA187" s="139" t="s">
        <v>3385</v>
      </c>
    </row>
    <row r="188" spans="1:27" ht="17.25" customHeight="1">
      <c r="A188" s="69" t="str">
        <f>IF(priority(Main[[#This Row],[Comments]])&lt;&gt;0, priority(Main[[#This Row],[Comments]]),"")</f>
        <v/>
      </c>
      <c r="B188" s="63" t="s">
        <v>1067</v>
      </c>
      <c r="C188" s="148" t="s">
        <v>31</v>
      </c>
      <c r="D188" s="113" t="s">
        <v>104</v>
      </c>
      <c r="E188" s="129"/>
      <c r="F188" s="129"/>
      <c r="G188" s="69" t="str">
        <f>IF(stdProdLT(Main[[#This Row],[Comments]])=0.1,"N/A",IF(stdProdLT(Main[[#This Row],[Comments]])=0,"",stdProdLT(Main[[#This Row],[Comments]])))</f>
        <v/>
      </c>
      <c r="H188" s="138" t="str">
        <f>IF(Main[[#This Row],[In Stock Date]]="N/A", "N/A",IF(AND(Main[[#This Row],[In Stock Date]]&lt;&gt;"",Main[[#This Row],[Revised Due Date]]&lt;&gt;"",Main[[#This Row],[In Stock Date]]&lt;&gt;""),Main[[#This Row],[In Stock Date]]-Main[[#This Row],[Revised Due Date]],""))</f>
        <v/>
      </c>
      <c r="I188" s="139" t="s">
        <v>4</v>
      </c>
      <c r="J188" s="139" t="s">
        <v>4</v>
      </c>
      <c r="K188" s="140" t="s">
        <v>4</v>
      </c>
      <c r="L188" s="129"/>
      <c r="M188" s="114" t="str">
        <f>IF(Main[[#This Row],[Tech Start Date]]&lt;1/1/1990,"",IF(Main[[#This Row],[Class]]="C",WORKDAY(Main[[#This Row],[Tech Start Date]],9),IF(Main[[#This Row],[Class]]="B", WORKDAY(Main[[#This Row],[Tech Start Date]],6),IF(Main[[#This Row],[Class]]="A",WORKDAY(Main[[#This Row],[Tech Start Date]],2),""))))</f>
        <v/>
      </c>
      <c r="N188" s="114" t="str">
        <f>IF(Main[[#This Row],[Tech Start Date]]&lt;1/1/1990,"",IF(Main[[#This Row],[Class]]="C",WORKDAY(Main[[#This Row],[Tech Start Date]],19),IF(Main[[#This Row],[Class]]="B", WORKDAY(Main[[#This Row],[Tech Start Date]],12),IF(Main[[#This Row],[Class]]="A",WORKDAY(Main[[#This Row],[Tech Start Date]],4),""))))</f>
        <v/>
      </c>
      <c r="O188" s="114" t="str">
        <f>IF(Main[[#This Row],[Tech Start Date]]&lt;1/1/1990,"",IF(Main[[#This Row],[Class]]="C",WORKDAY(Main[[#This Row],[Tech Start Date]],23),IF(Main[[#This Row],[Class]]="B", WORKDAY(Main[[#This Row],[Tech Start Date]],15),IF(Main[[#This Row],[Class]]="A",WORKDAY(Main[[#This Row],[Tech Start Date]],5),""))))</f>
        <v/>
      </c>
      <c r="P188" s="114" t="str">
        <f>IF(Main[[#This Row],[Tech Start Date]]&lt;1/1/1990,"",IF(Main[[#This Row],[Class]]="C",WORKDAY(Main[[#This Row],[Tech Start Date]],28),IF(Main[[#This Row],[Class]]="B", WORKDAY(Main[[#This Row],[Tech Start Date]],19),IF(Main[[#This Row],[Class]]="A",WORKDAY(Main[[#This Row],[Tech Start Date]],9),""))))</f>
        <v/>
      </c>
      <c r="Q188" s="129">
        <v>40318</v>
      </c>
      <c r="R188" s="129"/>
      <c r="S188" s="139" t="s">
        <v>11</v>
      </c>
      <c r="T188" s="115" t="s">
        <v>4</v>
      </c>
      <c r="U188" s="139" t="s">
        <v>14</v>
      </c>
      <c r="V188" s="139" t="s">
        <v>1924</v>
      </c>
      <c r="W188" s="139" t="s">
        <v>1916</v>
      </c>
      <c r="X188" s="139" t="s">
        <v>2830</v>
      </c>
      <c r="Y188" s="112" t="s">
        <v>4</v>
      </c>
      <c r="Z188" s="112" t="s">
        <v>4</v>
      </c>
      <c r="AA188" s="139" t="s">
        <v>2830</v>
      </c>
    </row>
    <row r="189" spans="1:27" ht="17.25" customHeight="1">
      <c r="A189" s="69" t="str">
        <f>IF(priority(Main[[#This Row],[Comments]])&lt;&gt;0, priority(Main[[#This Row],[Comments]]),"")</f>
        <v/>
      </c>
      <c r="B189" s="63" t="s">
        <v>2693</v>
      </c>
      <c r="C189" s="148" t="s">
        <v>2694</v>
      </c>
      <c r="D189" s="113" t="s">
        <v>2695</v>
      </c>
      <c r="E189" s="129"/>
      <c r="F189" s="129"/>
      <c r="G189" s="69" t="str">
        <f>IF(stdProdLT(Main[[#This Row],[Comments]])=0.1,"N/A",IF(stdProdLT(Main[[#This Row],[Comments]])=0,"",stdProdLT(Main[[#This Row],[Comments]])))</f>
        <v/>
      </c>
      <c r="H189" s="138" t="str">
        <f>IF(Main[[#This Row],[In Stock Date]]="N/A", "N/A",IF(AND(Main[[#This Row],[In Stock Date]]&lt;&gt;"",Main[[#This Row],[Revised Due Date]]&lt;&gt;"",Main[[#This Row],[In Stock Date]]&lt;&gt;""),Main[[#This Row],[In Stock Date]]-Main[[#This Row],[Revised Due Date]],""))</f>
        <v/>
      </c>
      <c r="I189" s="139" t="s">
        <v>4</v>
      </c>
      <c r="J189" s="139" t="s">
        <v>4</v>
      </c>
      <c r="K189" s="139" t="s">
        <v>4</v>
      </c>
      <c r="L189" s="129"/>
      <c r="M189" s="114" t="str">
        <f>IF(Main[[#This Row],[Tech Start Date]]&lt;1/1/1990,"",IF(Main[[#This Row],[Class]]="C",WORKDAY(Main[[#This Row],[Tech Start Date]],9),IF(Main[[#This Row],[Class]]="B", WORKDAY(Main[[#This Row],[Tech Start Date]],6),IF(Main[[#This Row],[Class]]="A",WORKDAY(Main[[#This Row],[Tech Start Date]],2),""))))</f>
        <v/>
      </c>
      <c r="N189" s="114" t="str">
        <f>IF(Main[[#This Row],[Tech Start Date]]&lt;1/1/1990,"",IF(Main[[#This Row],[Class]]="C",WORKDAY(Main[[#This Row],[Tech Start Date]],19),IF(Main[[#This Row],[Class]]="B", WORKDAY(Main[[#This Row],[Tech Start Date]],12),IF(Main[[#This Row],[Class]]="A",WORKDAY(Main[[#This Row],[Tech Start Date]],4),""))))</f>
        <v/>
      </c>
      <c r="O189" s="114" t="str">
        <f>IF(Main[[#This Row],[Tech Start Date]]&lt;1/1/1990,"",IF(Main[[#This Row],[Class]]="C",WORKDAY(Main[[#This Row],[Tech Start Date]],23),IF(Main[[#This Row],[Class]]="B", WORKDAY(Main[[#This Row],[Tech Start Date]],15),IF(Main[[#This Row],[Class]]="A",WORKDAY(Main[[#This Row],[Tech Start Date]],5),""))))</f>
        <v/>
      </c>
      <c r="P189" s="114" t="str">
        <f>IF(Main[[#This Row],[Tech Start Date]]&lt;1/1/1990,"",IF(Main[[#This Row],[Class]]="C",WORKDAY(Main[[#This Row],[Tech Start Date]],28),IF(Main[[#This Row],[Class]]="B", WORKDAY(Main[[#This Row],[Tech Start Date]],19),IF(Main[[#This Row],[Class]]="A",WORKDAY(Main[[#This Row],[Tech Start Date]],9),""))))</f>
        <v/>
      </c>
      <c r="Q189" s="129">
        <v>40921</v>
      </c>
      <c r="R189" s="129"/>
      <c r="S189" s="139" t="s">
        <v>11</v>
      </c>
      <c r="T189" s="115" t="s">
        <v>4</v>
      </c>
      <c r="U189" s="139" t="s">
        <v>12</v>
      </c>
      <c r="V189" s="139" t="s">
        <v>1915</v>
      </c>
      <c r="W189" s="139" t="s">
        <v>1916</v>
      </c>
      <c r="X189" s="139" t="s">
        <v>2816</v>
      </c>
      <c r="Y189" s="112" t="s">
        <v>4</v>
      </c>
      <c r="Z189" s="112" t="s">
        <v>4</v>
      </c>
      <c r="AA189" s="139" t="s">
        <v>2816</v>
      </c>
    </row>
    <row r="190" spans="1:27" ht="17.25" customHeight="1">
      <c r="A190" s="69" t="str">
        <f>IF(priority(Main[[#This Row],[Comments]])&lt;&gt;0, priority(Main[[#This Row],[Comments]]),"")</f>
        <v/>
      </c>
      <c r="B190" s="63" t="s">
        <v>3579</v>
      </c>
      <c r="C190" s="148" t="s">
        <v>275</v>
      </c>
      <c r="D190" s="113" t="s">
        <v>3580</v>
      </c>
      <c r="E190" s="129">
        <v>40962.69332175926</v>
      </c>
      <c r="F190" s="129">
        <v>41091</v>
      </c>
      <c r="G190" s="69" t="str">
        <f>IF(stdProdLT(Main[[#This Row],[Comments]])=0.1,"N/A",IF(stdProdLT(Main[[#This Row],[Comments]])=0,"",stdProdLT(Main[[#This Row],[Comments]])))</f>
        <v>N/A</v>
      </c>
      <c r="H190" s="138" t="str">
        <f>IF(Main[[#This Row],[In Stock Date]]="N/A", "N/A",IF(AND(Main[[#This Row],[In Stock Date]]&lt;&gt;"",Main[[#This Row],[Revised Due Date]]&lt;&gt;"",Main[[#This Row],[In Stock Date]]&lt;&gt;""),Main[[#This Row],[In Stock Date]]-Main[[#This Row],[Revised Due Date]],""))</f>
        <v/>
      </c>
      <c r="I190" s="139" t="s">
        <v>4</v>
      </c>
      <c r="J190" s="139" t="s">
        <v>4</v>
      </c>
      <c r="K190" s="139" t="s">
        <v>4</v>
      </c>
      <c r="L190" s="129"/>
      <c r="M190" s="114" t="str">
        <f>IF(Main[[#This Row],[Tech Start Date]]&lt;1/1/1990,"",IF(Main[[#This Row],[Class]]="C",WORKDAY(Main[[#This Row],[Tech Start Date]],9),IF(Main[[#This Row],[Class]]="B", WORKDAY(Main[[#This Row],[Tech Start Date]],6),IF(Main[[#This Row],[Class]]="A",WORKDAY(Main[[#This Row],[Tech Start Date]],2),""))))</f>
        <v/>
      </c>
      <c r="N190" s="114" t="str">
        <f>IF(Main[[#This Row],[Tech Start Date]]&lt;1/1/1990,"",IF(Main[[#This Row],[Class]]="C",WORKDAY(Main[[#This Row],[Tech Start Date]],19),IF(Main[[#This Row],[Class]]="B", WORKDAY(Main[[#This Row],[Tech Start Date]],12),IF(Main[[#This Row],[Class]]="A",WORKDAY(Main[[#This Row],[Tech Start Date]],4),""))))</f>
        <v/>
      </c>
      <c r="O190" s="114" t="str">
        <f>IF(Main[[#This Row],[Tech Start Date]]&lt;1/1/1990,"",IF(Main[[#This Row],[Class]]="C",WORKDAY(Main[[#This Row],[Tech Start Date]],23),IF(Main[[#This Row],[Class]]="B", WORKDAY(Main[[#This Row],[Tech Start Date]],15),IF(Main[[#This Row],[Class]]="A",WORKDAY(Main[[#This Row],[Tech Start Date]],5),""))))</f>
        <v/>
      </c>
      <c r="P190" s="114" t="str">
        <f>IF(Main[[#This Row],[Tech Start Date]]&lt;1/1/1990,"",IF(Main[[#This Row],[Class]]="C",WORKDAY(Main[[#This Row],[Tech Start Date]],28),IF(Main[[#This Row],[Class]]="B", WORKDAY(Main[[#This Row],[Tech Start Date]],19),IF(Main[[#This Row],[Class]]="A",WORKDAY(Main[[#This Row],[Tech Start Date]],9),""))))</f>
        <v/>
      </c>
      <c r="Q190" s="129"/>
      <c r="R190" s="129"/>
      <c r="S190" s="139" t="s">
        <v>17</v>
      </c>
      <c r="T190" s="115" t="s">
        <v>3581</v>
      </c>
      <c r="U190" s="139" t="s">
        <v>7</v>
      </c>
      <c r="V190" s="139" t="s">
        <v>1917</v>
      </c>
      <c r="W190" s="139" t="s">
        <v>1919</v>
      </c>
      <c r="X190" s="139" t="s">
        <v>50</v>
      </c>
      <c r="Y190" s="112" t="s">
        <v>3582</v>
      </c>
      <c r="Z190" s="112" t="s">
        <v>4</v>
      </c>
      <c r="AA190" s="139" t="s">
        <v>65</v>
      </c>
    </row>
    <row r="191" spans="1:27" ht="17.25" customHeight="1">
      <c r="A191" s="69" t="str">
        <f>IF(priority(Main[[#This Row],[Comments]])&lt;&gt;0, priority(Main[[#This Row],[Comments]]),"")</f>
        <v/>
      </c>
      <c r="B191" s="63" t="s">
        <v>2556</v>
      </c>
      <c r="C191" s="148" t="s">
        <v>4</v>
      </c>
      <c r="D191" s="113" t="s">
        <v>2557</v>
      </c>
      <c r="E191" s="129"/>
      <c r="F191" s="129"/>
      <c r="G191" s="69" t="str">
        <f>IF(stdProdLT(Main[[#This Row],[Comments]])=0.1,"N/A",IF(stdProdLT(Main[[#This Row],[Comments]])=0,"",stdProdLT(Main[[#This Row],[Comments]])))</f>
        <v/>
      </c>
      <c r="H191" s="138" t="str">
        <f>IF(Main[[#This Row],[In Stock Date]]="N/A", "N/A",IF(AND(Main[[#This Row],[In Stock Date]]&lt;&gt;"",Main[[#This Row],[Revised Due Date]]&lt;&gt;"",Main[[#This Row],[In Stock Date]]&lt;&gt;""),Main[[#This Row],[In Stock Date]]-Main[[#This Row],[Revised Due Date]],""))</f>
        <v/>
      </c>
      <c r="I191" s="139" t="s">
        <v>30</v>
      </c>
      <c r="J191" s="139" t="s">
        <v>21</v>
      </c>
      <c r="K191" s="139" t="s">
        <v>4</v>
      </c>
      <c r="L191" s="129"/>
      <c r="M191" s="114" t="str">
        <f>IF(Main[[#This Row],[Tech Start Date]]&lt;1/1/1990,"",IF(Main[[#This Row],[Class]]="C",WORKDAY(Main[[#This Row],[Tech Start Date]],9),IF(Main[[#This Row],[Class]]="B", WORKDAY(Main[[#This Row],[Tech Start Date]],6),IF(Main[[#This Row],[Class]]="A",WORKDAY(Main[[#This Row],[Tech Start Date]],2),""))))</f>
        <v/>
      </c>
      <c r="N191" s="114" t="str">
        <f>IF(Main[[#This Row],[Tech Start Date]]&lt;1/1/1990,"",IF(Main[[#This Row],[Class]]="C",WORKDAY(Main[[#This Row],[Tech Start Date]],19),IF(Main[[#This Row],[Class]]="B", WORKDAY(Main[[#This Row],[Tech Start Date]],12),IF(Main[[#This Row],[Class]]="A",WORKDAY(Main[[#This Row],[Tech Start Date]],4),""))))</f>
        <v/>
      </c>
      <c r="O191" s="114" t="str">
        <f>IF(Main[[#This Row],[Tech Start Date]]&lt;1/1/1990,"",IF(Main[[#This Row],[Class]]="C",WORKDAY(Main[[#This Row],[Tech Start Date]],23),IF(Main[[#This Row],[Class]]="B", WORKDAY(Main[[#This Row],[Tech Start Date]],15),IF(Main[[#This Row],[Class]]="A",WORKDAY(Main[[#This Row],[Tech Start Date]],5),""))))</f>
        <v/>
      </c>
      <c r="P191" s="114" t="str">
        <f>IF(Main[[#This Row],[Tech Start Date]]&lt;1/1/1990,"",IF(Main[[#This Row],[Class]]="C",WORKDAY(Main[[#This Row],[Tech Start Date]],28),IF(Main[[#This Row],[Class]]="B", WORKDAY(Main[[#This Row],[Tech Start Date]],19),IF(Main[[#This Row],[Class]]="A",WORKDAY(Main[[#This Row],[Tech Start Date]],9),""))))</f>
        <v/>
      </c>
      <c r="Q191" s="129"/>
      <c r="R191" s="129"/>
      <c r="S191" s="139" t="s">
        <v>6</v>
      </c>
      <c r="T191" s="115" t="s">
        <v>4</v>
      </c>
      <c r="U191" s="139" t="s">
        <v>14</v>
      </c>
      <c r="V191" s="139" t="s">
        <v>1917</v>
      </c>
      <c r="W191" s="139" t="s">
        <v>1916</v>
      </c>
      <c r="X191" s="139" t="s">
        <v>306</v>
      </c>
      <c r="Y191" s="112" t="s">
        <v>4</v>
      </c>
      <c r="Z191" s="112" t="s">
        <v>30</v>
      </c>
      <c r="AA191" s="139" t="s">
        <v>3386</v>
      </c>
    </row>
    <row r="192" spans="1:27" ht="17.25" customHeight="1">
      <c r="A192" s="69" t="str">
        <f>IF(priority(Main[[#This Row],[Comments]])&lt;&gt;0, priority(Main[[#This Row],[Comments]]),"")</f>
        <v/>
      </c>
      <c r="B192" s="63" t="s">
        <v>1070</v>
      </c>
      <c r="C192" s="148" t="s">
        <v>4</v>
      </c>
      <c r="D192" s="113" t="s">
        <v>111</v>
      </c>
      <c r="E192" s="129"/>
      <c r="F192" s="129"/>
      <c r="G192" s="69" t="str">
        <f>IF(stdProdLT(Main[[#This Row],[Comments]])=0.1,"N/A",IF(stdProdLT(Main[[#This Row],[Comments]])=0,"",stdProdLT(Main[[#This Row],[Comments]])))</f>
        <v/>
      </c>
      <c r="H192" s="138" t="str">
        <f>IF(Main[[#This Row],[In Stock Date]]="N/A", "N/A",IF(AND(Main[[#This Row],[In Stock Date]]&lt;&gt;"",Main[[#This Row],[Revised Due Date]]&lt;&gt;"",Main[[#This Row],[In Stock Date]]&lt;&gt;""),Main[[#This Row],[In Stock Date]]-Main[[#This Row],[Revised Due Date]],""))</f>
        <v/>
      </c>
      <c r="I192" s="139" t="s">
        <v>306</v>
      </c>
      <c r="J192" s="139" t="s">
        <v>75</v>
      </c>
      <c r="K192" s="139" t="s">
        <v>1923</v>
      </c>
      <c r="L192" s="129"/>
      <c r="M192" s="114" t="str">
        <f>IF(Main[[#This Row],[Tech Start Date]]&lt;1/1/1990,"",IF(Main[[#This Row],[Class]]="C",WORKDAY(Main[[#This Row],[Tech Start Date]],9),IF(Main[[#This Row],[Class]]="B", WORKDAY(Main[[#This Row],[Tech Start Date]],6),IF(Main[[#This Row],[Class]]="A",WORKDAY(Main[[#This Row],[Tech Start Date]],2),""))))</f>
        <v/>
      </c>
      <c r="N192" s="114" t="str">
        <f>IF(Main[[#This Row],[Tech Start Date]]&lt;1/1/1990,"",IF(Main[[#This Row],[Class]]="C",WORKDAY(Main[[#This Row],[Tech Start Date]],19),IF(Main[[#This Row],[Class]]="B", WORKDAY(Main[[#This Row],[Tech Start Date]],12),IF(Main[[#This Row],[Class]]="A",WORKDAY(Main[[#This Row],[Tech Start Date]],4),""))))</f>
        <v/>
      </c>
      <c r="O192" s="114" t="str">
        <f>IF(Main[[#This Row],[Tech Start Date]]&lt;1/1/1990,"",IF(Main[[#This Row],[Class]]="C",WORKDAY(Main[[#This Row],[Tech Start Date]],23),IF(Main[[#This Row],[Class]]="B", WORKDAY(Main[[#This Row],[Tech Start Date]],15),IF(Main[[#This Row],[Class]]="A",WORKDAY(Main[[#This Row],[Tech Start Date]],5),""))))</f>
        <v/>
      </c>
      <c r="P192" s="114" t="str">
        <f>IF(Main[[#This Row],[Tech Start Date]]&lt;1/1/1990,"",IF(Main[[#This Row],[Class]]="C",WORKDAY(Main[[#This Row],[Tech Start Date]],28),IF(Main[[#This Row],[Class]]="B", WORKDAY(Main[[#This Row],[Tech Start Date]],19),IF(Main[[#This Row],[Class]]="A",WORKDAY(Main[[#This Row],[Tech Start Date]],9),""))))</f>
        <v/>
      </c>
      <c r="Q192" s="129">
        <v>40336</v>
      </c>
      <c r="R192" s="129"/>
      <c r="S192" s="139" t="s">
        <v>6</v>
      </c>
      <c r="T192" s="115" t="s">
        <v>4</v>
      </c>
      <c r="U192" s="139" t="s">
        <v>14</v>
      </c>
      <c r="V192" s="139" t="s">
        <v>1917</v>
      </c>
      <c r="W192" s="139" t="s">
        <v>1916</v>
      </c>
      <c r="X192" s="139" t="s">
        <v>883</v>
      </c>
      <c r="Y192" s="112" t="s">
        <v>2963</v>
      </c>
      <c r="Z192" s="112" t="s">
        <v>30</v>
      </c>
      <c r="AA192" s="139" t="s">
        <v>883</v>
      </c>
    </row>
    <row r="193" spans="1:27" ht="17.25" customHeight="1">
      <c r="A193" s="69" t="str">
        <f>IF(priority(Main[[#This Row],[Comments]])&lt;&gt;0, priority(Main[[#This Row],[Comments]]),"")</f>
        <v/>
      </c>
      <c r="B193" s="63" t="s">
        <v>2156</v>
      </c>
      <c r="C193" s="148" t="s">
        <v>2157</v>
      </c>
      <c r="D193" s="113" t="s">
        <v>2158</v>
      </c>
      <c r="E193" s="129"/>
      <c r="F193" s="129">
        <v>40920</v>
      </c>
      <c r="G193" s="69" t="str">
        <f>IF(stdProdLT(Main[[#This Row],[Comments]])=0.1,"N/A",IF(stdProdLT(Main[[#This Row],[Comments]])=0,"",stdProdLT(Main[[#This Row],[Comments]])))</f>
        <v/>
      </c>
      <c r="H193" s="138" t="str">
        <f>IF(Main[[#This Row],[In Stock Date]]="N/A", "N/A",IF(AND(Main[[#This Row],[In Stock Date]]&lt;&gt;"",Main[[#This Row],[Revised Due Date]]&lt;&gt;"",Main[[#This Row],[In Stock Date]]&lt;&gt;""),Main[[#This Row],[In Stock Date]]-Main[[#This Row],[Revised Due Date]],""))</f>
        <v/>
      </c>
      <c r="I193" s="139" t="s">
        <v>4</v>
      </c>
      <c r="J193" s="139" t="s">
        <v>28</v>
      </c>
      <c r="K193" s="139" t="s">
        <v>1923</v>
      </c>
      <c r="L193" s="129"/>
      <c r="M193" s="114" t="str">
        <f>IF(Main[[#This Row],[Tech Start Date]]&lt;1/1/1990,"",IF(Main[[#This Row],[Class]]="C",WORKDAY(Main[[#This Row],[Tech Start Date]],9),IF(Main[[#This Row],[Class]]="B", WORKDAY(Main[[#This Row],[Tech Start Date]],6),IF(Main[[#This Row],[Class]]="A",WORKDAY(Main[[#This Row],[Tech Start Date]],2),""))))</f>
        <v/>
      </c>
      <c r="N193" s="114" t="str">
        <f>IF(Main[[#This Row],[Tech Start Date]]&lt;1/1/1990,"",IF(Main[[#This Row],[Class]]="C",WORKDAY(Main[[#This Row],[Tech Start Date]],19),IF(Main[[#This Row],[Class]]="B", WORKDAY(Main[[#This Row],[Tech Start Date]],12),IF(Main[[#This Row],[Class]]="A",WORKDAY(Main[[#This Row],[Tech Start Date]],4),""))))</f>
        <v/>
      </c>
      <c r="O193" s="114" t="str">
        <f>IF(Main[[#This Row],[Tech Start Date]]&lt;1/1/1990,"",IF(Main[[#This Row],[Class]]="C",WORKDAY(Main[[#This Row],[Tech Start Date]],23),IF(Main[[#This Row],[Class]]="B", WORKDAY(Main[[#This Row],[Tech Start Date]],15),IF(Main[[#This Row],[Class]]="A",WORKDAY(Main[[#This Row],[Tech Start Date]],5),""))))</f>
        <v/>
      </c>
      <c r="P193" s="114" t="str">
        <f>IF(Main[[#This Row],[Tech Start Date]]&lt;1/1/1990,"",IF(Main[[#This Row],[Class]]="C",WORKDAY(Main[[#This Row],[Tech Start Date]],28),IF(Main[[#This Row],[Class]]="B", WORKDAY(Main[[#This Row],[Tech Start Date]],19),IF(Main[[#This Row],[Class]]="A",WORKDAY(Main[[#This Row],[Tech Start Date]],9),""))))</f>
        <v/>
      </c>
      <c r="Q193" s="129"/>
      <c r="R193" s="129"/>
      <c r="S193" s="139" t="s">
        <v>11</v>
      </c>
      <c r="T193" s="115" t="s">
        <v>4</v>
      </c>
      <c r="U193" s="139" t="s">
        <v>14</v>
      </c>
      <c r="V193" s="139" t="s">
        <v>1917</v>
      </c>
      <c r="W193" s="139" t="s">
        <v>1922</v>
      </c>
      <c r="X193" s="139" t="s">
        <v>50</v>
      </c>
      <c r="Y193" s="112" t="s">
        <v>2964</v>
      </c>
      <c r="Z193" s="112" t="s">
        <v>530</v>
      </c>
      <c r="AA193" s="139" t="s">
        <v>3387</v>
      </c>
    </row>
    <row r="194" spans="1:27" ht="17.25" customHeight="1">
      <c r="A194" s="69" t="str">
        <f>IF(priority(Main[[#This Row],[Comments]])&lt;&gt;0, priority(Main[[#This Row],[Comments]]),"")</f>
        <v/>
      </c>
      <c r="B194" s="63" t="s">
        <v>1847</v>
      </c>
      <c r="C194" s="148" t="s">
        <v>95</v>
      </c>
      <c r="D194" s="113" t="s">
        <v>903</v>
      </c>
      <c r="E194" s="129">
        <v>40428.41710648148</v>
      </c>
      <c r="F194" s="129"/>
      <c r="G194" s="69" t="str">
        <f>IF(stdProdLT(Main[[#This Row],[Comments]])=0.1,"N/A",IF(stdProdLT(Main[[#This Row],[Comments]])=0,"",stdProdLT(Main[[#This Row],[Comments]])))</f>
        <v/>
      </c>
      <c r="H194" s="138" t="str">
        <f>IF(Main[[#This Row],[In Stock Date]]="N/A", "N/A",IF(AND(Main[[#This Row],[In Stock Date]]&lt;&gt;"",Main[[#This Row],[Revised Due Date]]&lt;&gt;"",Main[[#This Row],[In Stock Date]]&lt;&gt;""),Main[[#This Row],[In Stock Date]]-Main[[#This Row],[Revised Due Date]],""))</f>
        <v/>
      </c>
      <c r="I194" s="139" t="s">
        <v>415</v>
      </c>
      <c r="J194" s="139" t="s">
        <v>28</v>
      </c>
      <c r="K194" s="139" t="s">
        <v>1926</v>
      </c>
      <c r="L194" s="129"/>
      <c r="M194" s="114" t="str">
        <f>IF(Main[[#This Row],[Tech Start Date]]&lt;1/1/1990,"",IF(Main[[#This Row],[Class]]="C",WORKDAY(Main[[#This Row],[Tech Start Date]],9),IF(Main[[#This Row],[Class]]="B", WORKDAY(Main[[#This Row],[Tech Start Date]],6),IF(Main[[#This Row],[Class]]="A",WORKDAY(Main[[#This Row],[Tech Start Date]],2),""))))</f>
        <v/>
      </c>
      <c r="N194" s="114" t="str">
        <f>IF(Main[[#This Row],[Tech Start Date]]&lt;1/1/1990,"",IF(Main[[#This Row],[Class]]="C",WORKDAY(Main[[#This Row],[Tech Start Date]],19),IF(Main[[#This Row],[Class]]="B", WORKDAY(Main[[#This Row],[Tech Start Date]],12),IF(Main[[#This Row],[Class]]="A",WORKDAY(Main[[#This Row],[Tech Start Date]],4),""))))</f>
        <v/>
      </c>
      <c r="O194" s="114" t="str">
        <f>IF(Main[[#This Row],[Tech Start Date]]&lt;1/1/1990,"",IF(Main[[#This Row],[Class]]="C",WORKDAY(Main[[#This Row],[Tech Start Date]],23),IF(Main[[#This Row],[Class]]="B", WORKDAY(Main[[#This Row],[Tech Start Date]],15),IF(Main[[#This Row],[Class]]="A",WORKDAY(Main[[#This Row],[Tech Start Date]],5),""))))</f>
        <v/>
      </c>
      <c r="P194" s="114" t="str">
        <f>IF(Main[[#This Row],[Tech Start Date]]&lt;1/1/1990,"",IF(Main[[#This Row],[Class]]="C",WORKDAY(Main[[#This Row],[Tech Start Date]],28),IF(Main[[#This Row],[Class]]="B", WORKDAY(Main[[#This Row],[Tech Start Date]],19),IF(Main[[#This Row],[Class]]="A",WORKDAY(Main[[#This Row],[Tech Start Date]],9),""))))</f>
        <v/>
      </c>
      <c r="Q194" s="129">
        <v>40512</v>
      </c>
      <c r="R194" s="129">
        <v>40918</v>
      </c>
      <c r="S194" s="139" t="s">
        <v>17</v>
      </c>
      <c r="T194" s="115" t="s">
        <v>4</v>
      </c>
      <c r="U194" s="139" t="s">
        <v>29</v>
      </c>
      <c r="V194" s="139" t="s">
        <v>1917</v>
      </c>
      <c r="W194" s="139" t="s">
        <v>1920</v>
      </c>
      <c r="X194" s="139" t="s">
        <v>415</v>
      </c>
      <c r="Y194" s="112" t="s">
        <v>2975</v>
      </c>
      <c r="Z194" s="112" t="s">
        <v>968</v>
      </c>
      <c r="AA194" s="139" t="s">
        <v>415</v>
      </c>
    </row>
    <row r="195" spans="1:27" ht="17.25" customHeight="1">
      <c r="A195" s="69" t="str">
        <f>IF(priority(Main[[#This Row],[Comments]])&lt;&gt;0, priority(Main[[#This Row],[Comments]]),"")</f>
        <v/>
      </c>
      <c r="B195" s="63" t="s">
        <v>1071</v>
      </c>
      <c r="C195" s="148" t="s">
        <v>4</v>
      </c>
      <c r="D195" s="113" t="s">
        <v>112</v>
      </c>
      <c r="E195" s="129"/>
      <c r="F195" s="129"/>
      <c r="G195" s="69" t="str">
        <f>IF(stdProdLT(Main[[#This Row],[Comments]])=0.1,"N/A",IF(stdProdLT(Main[[#This Row],[Comments]])=0,"",stdProdLT(Main[[#This Row],[Comments]])))</f>
        <v/>
      </c>
      <c r="H195" s="138" t="str">
        <f>IF(Main[[#This Row],[In Stock Date]]="N/A", "N/A",IF(AND(Main[[#This Row],[In Stock Date]]&lt;&gt;"",Main[[#This Row],[Revised Due Date]]&lt;&gt;"",Main[[#This Row],[In Stock Date]]&lt;&gt;""),Main[[#This Row],[In Stock Date]]-Main[[#This Row],[Revised Due Date]],""))</f>
        <v/>
      </c>
      <c r="I195" s="139" t="s">
        <v>4</v>
      </c>
      <c r="J195" s="139" t="s">
        <v>4</v>
      </c>
      <c r="K195" s="139" t="s">
        <v>4</v>
      </c>
      <c r="L195" s="129"/>
      <c r="M195" s="114" t="str">
        <f>IF(Main[[#This Row],[Tech Start Date]]&lt;1/1/1990,"",IF(Main[[#This Row],[Class]]="C",WORKDAY(Main[[#This Row],[Tech Start Date]],9),IF(Main[[#This Row],[Class]]="B", WORKDAY(Main[[#This Row],[Tech Start Date]],6),IF(Main[[#This Row],[Class]]="A",WORKDAY(Main[[#This Row],[Tech Start Date]],2),""))))</f>
        <v/>
      </c>
      <c r="N195" s="114" t="str">
        <f>IF(Main[[#This Row],[Tech Start Date]]&lt;1/1/1990,"",IF(Main[[#This Row],[Class]]="C",WORKDAY(Main[[#This Row],[Tech Start Date]],19),IF(Main[[#This Row],[Class]]="B", WORKDAY(Main[[#This Row],[Tech Start Date]],12),IF(Main[[#This Row],[Class]]="A",WORKDAY(Main[[#This Row],[Tech Start Date]],4),""))))</f>
        <v/>
      </c>
      <c r="O195" s="114" t="str">
        <f>IF(Main[[#This Row],[Tech Start Date]]&lt;1/1/1990,"",IF(Main[[#This Row],[Class]]="C",WORKDAY(Main[[#This Row],[Tech Start Date]],23),IF(Main[[#This Row],[Class]]="B", WORKDAY(Main[[#This Row],[Tech Start Date]],15),IF(Main[[#This Row],[Class]]="A",WORKDAY(Main[[#This Row],[Tech Start Date]],5),""))))</f>
        <v/>
      </c>
      <c r="P195" s="114" t="str">
        <f>IF(Main[[#This Row],[Tech Start Date]]&lt;1/1/1990,"",IF(Main[[#This Row],[Class]]="C",WORKDAY(Main[[#This Row],[Tech Start Date]],28),IF(Main[[#This Row],[Class]]="B", WORKDAY(Main[[#This Row],[Tech Start Date]],19),IF(Main[[#This Row],[Class]]="A",WORKDAY(Main[[#This Row],[Tech Start Date]],9),""))))</f>
        <v/>
      </c>
      <c r="Q195" s="129"/>
      <c r="R195" s="129"/>
      <c r="S195" s="139" t="s">
        <v>23</v>
      </c>
      <c r="T195" s="115" t="s">
        <v>4</v>
      </c>
      <c r="U195" s="139" t="s">
        <v>14</v>
      </c>
      <c r="V195" s="139" t="s">
        <v>1914</v>
      </c>
      <c r="W195" s="139" t="s">
        <v>1922</v>
      </c>
      <c r="X195" s="139" t="s">
        <v>306</v>
      </c>
      <c r="Y195" s="112" t="s">
        <v>4</v>
      </c>
      <c r="Z195" s="112" t="s">
        <v>4</v>
      </c>
      <c r="AA195" s="139" t="s">
        <v>3383</v>
      </c>
    </row>
    <row r="196" spans="1:27" ht="17.25" customHeight="1">
      <c r="A196" s="69" t="str">
        <f>IF(priority(Main[[#This Row],[Comments]])&lt;&gt;0, priority(Main[[#This Row],[Comments]]),"")</f>
        <v/>
      </c>
      <c r="B196" s="63" t="s">
        <v>1072</v>
      </c>
      <c r="C196" s="148" t="s">
        <v>113</v>
      </c>
      <c r="D196" s="113" t="s">
        <v>114</v>
      </c>
      <c r="E196" s="129"/>
      <c r="F196" s="129"/>
      <c r="G196" s="69" t="str">
        <f>IF(stdProdLT(Main[[#This Row],[Comments]])=0.1,"N/A",IF(stdProdLT(Main[[#This Row],[Comments]])=0,"",stdProdLT(Main[[#This Row],[Comments]])))</f>
        <v/>
      </c>
      <c r="H196" s="138" t="str">
        <f>IF(Main[[#This Row],[In Stock Date]]="N/A", "N/A",IF(AND(Main[[#This Row],[In Stock Date]]&lt;&gt;"",Main[[#This Row],[Revised Due Date]]&lt;&gt;"",Main[[#This Row],[In Stock Date]]&lt;&gt;""),Main[[#This Row],[In Stock Date]]-Main[[#This Row],[Revised Due Date]],""))</f>
        <v/>
      </c>
      <c r="I196" s="139" t="s">
        <v>4</v>
      </c>
      <c r="J196" s="139" t="s">
        <v>28</v>
      </c>
      <c r="K196" s="139" t="s">
        <v>4</v>
      </c>
      <c r="L196" s="129"/>
      <c r="M196" s="114" t="str">
        <f>IF(Main[[#This Row],[Tech Start Date]]&lt;1/1/1990,"",IF(Main[[#This Row],[Class]]="C",WORKDAY(Main[[#This Row],[Tech Start Date]],9),IF(Main[[#This Row],[Class]]="B", WORKDAY(Main[[#This Row],[Tech Start Date]],6),IF(Main[[#This Row],[Class]]="A",WORKDAY(Main[[#This Row],[Tech Start Date]],2),""))))</f>
        <v/>
      </c>
      <c r="N196" s="114" t="str">
        <f>IF(Main[[#This Row],[Tech Start Date]]&lt;1/1/1990,"",IF(Main[[#This Row],[Class]]="C",WORKDAY(Main[[#This Row],[Tech Start Date]],19),IF(Main[[#This Row],[Class]]="B", WORKDAY(Main[[#This Row],[Tech Start Date]],12),IF(Main[[#This Row],[Class]]="A",WORKDAY(Main[[#This Row],[Tech Start Date]],4),""))))</f>
        <v/>
      </c>
      <c r="O196" s="114" t="str">
        <f>IF(Main[[#This Row],[Tech Start Date]]&lt;1/1/1990,"",IF(Main[[#This Row],[Class]]="C",WORKDAY(Main[[#This Row],[Tech Start Date]],23),IF(Main[[#This Row],[Class]]="B", WORKDAY(Main[[#This Row],[Tech Start Date]],15),IF(Main[[#This Row],[Class]]="A",WORKDAY(Main[[#This Row],[Tech Start Date]],5),""))))</f>
        <v/>
      </c>
      <c r="P196" s="114" t="str">
        <f>IF(Main[[#This Row],[Tech Start Date]]&lt;1/1/1990,"",IF(Main[[#This Row],[Class]]="C",WORKDAY(Main[[#This Row],[Tech Start Date]],28),IF(Main[[#This Row],[Class]]="B", WORKDAY(Main[[#This Row],[Tech Start Date]],19),IF(Main[[#This Row],[Class]]="A",WORKDAY(Main[[#This Row],[Tech Start Date]],9),""))))</f>
        <v/>
      </c>
      <c r="Q196" s="129">
        <v>40634</v>
      </c>
      <c r="R196" s="129"/>
      <c r="S196" s="139" t="s">
        <v>11</v>
      </c>
      <c r="T196" s="115" t="s">
        <v>4</v>
      </c>
      <c r="U196" s="139" t="s">
        <v>12</v>
      </c>
      <c r="V196" s="139" t="s">
        <v>1914</v>
      </c>
      <c r="W196" s="139" t="s">
        <v>1916</v>
      </c>
      <c r="X196" s="139" t="s">
        <v>2833</v>
      </c>
      <c r="Y196" s="112" t="s">
        <v>2939</v>
      </c>
      <c r="Z196" s="112" t="s">
        <v>129</v>
      </c>
      <c r="AA196" s="139" t="s">
        <v>2833</v>
      </c>
    </row>
    <row r="197" spans="1:27" ht="17.25" customHeight="1">
      <c r="A197" s="69" t="str">
        <f>IF(priority(Main[[#This Row],[Comments]])&lt;&gt;0, priority(Main[[#This Row],[Comments]]),"")</f>
        <v/>
      </c>
      <c r="B197" s="63" t="s">
        <v>1952</v>
      </c>
      <c r="C197" s="148" t="s">
        <v>4</v>
      </c>
      <c r="D197" s="113" t="s">
        <v>1977</v>
      </c>
      <c r="E197" s="129"/>
      <c r="F197" s="129"/>
      <c r="G197" s="69" t="str">
        <f>IF(stdProdLT(Main[[#This Row],[Comments]])=0.1,"N/A",IF(stdProdLT(Main[[#This Row],[Comments]])=0,"",stdProdLT(Main[[#This Row],[Comments]])))</f>
        <v/>
      </c>
      <c r="H197" s="138" t="str">
        <f>IF(Main[[#This Row],[In Stock Date]]="N/A", "N/A",IF(AND(Main[[#This Row],[In Stock Date]]&lt;&gt;"",Main[[#This Row],[Revised Due Date]]&lt;&gt;"",Main[[#This Row],[In Stock Date]]&lt;&gt;""),Main[[#This Row],[In Stock Date]]-Main[[#This Row],[Revised Due Date]],""))</f>
        <v/>
      </c>
      <c r="I197" s="139" t="s">
        <v>4</v>
      </c>
      <c r="J197" s="139" t="s">
        <v>4</v>
      </c>
      <c r="K197" s="139" t="s">
        <v>4</v>
      </c>
      <c r="L197" s="129"/>
      <c r="M197" s="114" t="str">
        <f>IF(Main[[#This Row],[Tech Start Date]]&lt;1/1/1990,"",IF(Main[[#This Row],[Class]]="C",WORKDAY(Main[[#This Row],[Tech Start Date]],9),IF(Main[[#This Row],[Class]]="B", WORKDAY(Main[[#This Row],[Tech Start Date]],6),IF(Main[[#This Row],[Class]]="A",WORKDAY(Main[[#This Row],[Tech Start Date]],2),""))))</f>
        <v/>
      </c>
      <c r="N197" s="114" t="str">
        <f>IF(Main[[#This Row],[Tech Start Date]]&lt;1/1/1990,"",IF(Main[[#This Row],[Class]]="C",WORKDAY(Main[[#This Row],[Tech Start Date]],19),IF(Main[[#This Row],[Class]]="B", WORKDAY(Main[[#This Row],[Tech Start Date]],12),IF(Main[[#This Row],[Class]]="A",WORKDAY(Main[[#This Row],[Tech Start Date]],4),""))))</f>
        <v/>
      </c>
      <c r="O197" s="114" t="str">
        <f>IF(Main[[#This Row],[Tech Start Date]]&lt;1/1/1990,"",IF(Main[[#This Row],[Class]]="C",WORKDAY(Main[[#This Row],[Tech Start Date]],23),IF(Main[[#This Row],[Class]]="B", WORKDAY(Main[[#This Row],[Tech Start Date]],15),IF(Main[[#This Row],[Class]]="A",WORKDAY(Main[[#This Row],[Tech Start Date]],5),""))))</f>
        <v/>
      </c>
      <c r="P197" s="114" t="str">
        <f>IF(Main[[#This Row],[Tech Start Date]]&lt;1/1/1990,"",IF(Main[[#This Row],[Class]]="C",WORKDAY(Main[[#This Row],[Tech Start Date]],28),IF(Main[[#This Row],[Class]]="B", WORKDAY(Main[[#This Row],[Tech Start Date]],19),IF(Main[[#This Row],[Class]]="A",WORKDAY(Main[[#This Row],[Tech Start Date]],9),""))))</f>
        <v/>
      </c>
      <c r="Q197" s="129">
        <v>40737</v>
      </c>
      <c r="R197" s="129"/>
      <c r="S197" s="139" t="s">
        <v>6</v>
      </c>
      <c r="T197" s="115" t="s">
        <v>4</v>
      </c>
      <c r="U197" s="139" t="s">
        <v>14</v>
      </c>
      <c r="V197" s="139" t="s">
        <v>1917</v>
      </c>
      <c r="W197" s="139" t="s">
        <v>1918</v>
      </c>
      <c r="X197" s="139" t="s">
        <v>2836</v>
      </c>
      <c r="Y197" s="112" t="s">
        <v>2965</v>
      </c>
      <c r="Z197" s="112" t="s">
        <v>4</v>
      </c>
      <c r="AA197" s="139" t="s">
        <v>2836</v>
      </c>
    </row>
    <row r="198" spans="1:27" ht="17.25" customHeight="1">
      <c r="A198" s="69" t="str">
        <f>IF(priority(Main[[#This Row],[Comments]])&lt;&gt;0, priority(Main[[#This Row],[Comments]]),"")</f>
        <v/>
      </c>
      <c r="B198" s="63" t="s">
        <v>2762</v>
      </c>
      <c r="C198" s="148" t="s">
        <v>4</v>
      </c>
      <c r="D198" s="113" t="s">
        <v>2763</v>
      </c>
      <c r="E198" s="129">
        <v>40905.638495370367</v>
      </c>
      <c r="F198" s="129"/>
      <c r="G198" s="69" t="str">
        <f>IF(stdProdLT(Main[[#This Row],[Comments]])=0.1,"N/A",IF(stdProdLT(Main[[#This Row],[Comments]])=0,"",stdProdLT(Main[[#This Row],[Comments]])))</f>
        <v/>
      </c>
      <c r="H198" s="138" t="str">
        <f>IF(Main[[#This Row],[In Stock Date]]="N/A", "N/A",IF(AND(Main[[#This Row],[In Stock Date]]&lt;&gt;"",Main[[#This Row],[Revised Due Date]]&lt;&gt;"",Main[[#This Row],[In Stock Date]]&lt;&gt;""),Main[[#This Row],[In Stock Date]]-Main[[#This Row],[Revised Due Date]],""))</f>
        <v/>
      </c>
      <c r="I198" s="139" t="s">
        <v>2044</v>
      </c>
      <c r="J198" s="139" t="s">
        <v>52</v>
      </c>
      <c r="K198" s="139" t="s">
        <v>1923</v>
      </c>
      <c r="L198" s="129"/>
      <c r="M198" s="114" t="str">
        <f>IF(Main[[#This Row],[Tech Start Date]]&lt;1/1/1990,"",IF(Main[[#This Row],[Class]]="C",WORKDAY(Main[[#This Row],[Tech Start Date]],9),IF(Main[[#This Row],[Class]]="B", WORKDAY(Main[[#This Row],[Tech Start Date]],6),IF(Main[[#This Row],[Class]]="A",WORKDAY(Main[[#This Row],[Tech Start Date]],2),""))))</f>
        <v/>
      </c>
      <c r="N198" s="114" t="str">
        <f>IF(Main[[#This Row],[Tech Start Date]]&lt;1/1/1990,"",IF(Main[[#This Row],[Class]]="C",WORKDAY(Main[[#This Row],[Tech Start Date]],19),IF(Main[[#This Row],[Class]]="B", WORKDAY(Main[[#This Row],[Tech Start Date]],12),IF(Main[[#This Row],[Class]]="A",WORKDAY(Main[[#This Row],[Tech Start Date]],4),""))))</f>
        <v/>
      </c>
      <c r="O198" s="114" t="str">
        <f>IF(Main[[#This Row],[Tech Start Date]]&lt;1/1/1990,"",IF(Main[[#This Row],[Class]]="C",WORKDAY(Main[[#This Row],[Tech Start Date]],23),IF(Main[[#This Row],[Class]]="B", WORKDAY(Main[[#This Row],[Tech Start Date]],15),IF(Main[[#This Row],[Class]]="A",WORKDAY(Main[[#This Row],[Tech Start Date]],5),""))))</f>
        <v/>
      </c>
      <c r="P198" s="114" t="str">
        <f>IF(Main[[#This Row],[Tech Start Date]]&lt;1/1/1990,"",IF(Main[[#This Row],[Class]]="C",WORKDAY(Main[[#This Row],[Tech Start Date]],28),IF(Main[[#This Row],[Class]]="B", WORKDAY(Main[[#This Row],[Tech Start Date]],19),IF(Main[[#This Row],[Class]]="A",WORKDAY(Main[[#This Row],[Tech Start Date]],9),""))))</f>
        <v/>
      </c>
      <c r="Q198" s="129">
        <v>41027</v>
      </c>
      <c r="R198" s="129"/>
      <c r="S198" s="139" t="s">
        <v>6</v>
      </c>
      <c r="T198" s="115" t="s">
        <v>4</v>
      </c>
      <c r="U198" s="139" t="s">
        <v>29</v>
      </c>
      <c r="V198" s="139" t="s">
        <v>1917</v>
      </c>
      <c r="W198" s="139" t="s">
        <v>1918</v>
      </c>
      <c r="X198" s="139" t="s">
        <v>30</v>
      </c>
      <c r="Y198" s="112" t="s">
        <v>2940</v>
      </c>
      <c r="Z198" s="112" t="s">
        <v>30</v>
      </c>
      <c r="AA198" s="139" t="s">
        <v>30</v>
      </c>
    </row>
    <row r="199" spans="1:27" ht="17.25" customHeight="1">
      <c r="A199" s="69" t="str">
        <f>IF(priority(Main[[#This Row],[Comments]])&lt;&gt;0, priority(Main[[#This Row],[Comments]]),"")</f>
        <v/>
      </c>
      <c r="B199" s="63" t="s">
        <v>1855</v>
      </c>
      <c r="C199" s="148" t="s">
        <v>99</v>
      </c>
      <c r="D199" s="113" t="s">
        <v>911</v>
      </c>
      <c r="E199" s="129"/>
      <c r="F199" s="129">
        <v>40525</v>
      </c>
      <c r="G199" s="69" t="str">
        <f>IF(stdProdLT(Main[[#This Row],[Comments]])=0.1,"N/A",IF(stdProdLT(Main[[#This Row],[Comments]])=0,"",stdProdLT(Main[[#This Row],[Comments]])))</f>
        <v/>
      </c>
      <c r="H199" s="138">
        <f>IF(Main[[#This Row],[In Stock Date]]="N/A", "N/A",IF(AND(Main[[#This Row],[In Stock Date]]&lt;&gt;"",Main[[#This Row],[Revised Due Date]]&lt;&gt;"",Main[[#This Row],[In Stock Date]]&lt;&gt;""),Main[[#This Row],[In Stock Date]]-Main[[#This Row],[Revised Due Date]],""))</f>
        <v>-46</v>
      </c>
      <c r="I199" s="139" t="s">
        <v>912</v>
      </c>
      <c r="J199" s="139" t="s">
        <v>21</v>
      </c>
      <c r="K199" s="139" t="s">
        <v>1927</v>
      </c>
      <c r="L199" s="129"/>
      <c r="M199" s="114" t="str">
        <f>IF(Main[[#This Row],[Tech Start Date]]&lt;1/1/1990,"",IF(Main[[#This Row],[Class]]="C",WORKDAY(Main[[#This Row],[Tech Start Date]],9),IF(Main[[#This Row],[Class]]="B", WORKDAY(Main[[#This Row],[Tech Start Date]],6),IF(Main[[#This Row],[Class]]="A",WORKDAY(Main[[#This Row],[Tech Start Date]],2),""))))</f>
        <v/>
      </c>
      <c r="N199" s="114" t="str">
        <f>IF(Main[[#This Row],[Tech Start Date]]&lt;1/1/1990,"",IF(Main[[#This Row],[Class]]="C",WORKDAY(Main[[#This Row],[Tech Start Date]],19),IF(Main[[#This Row],[Class]]="B", WORKDAY(Main[[#This Row],[Tech Start Date]],12),IF(Main[[#This Row],[Class]]="A",WORKDAY(Main[[#This Row],[Tech Start Date]],4),""))))</f>
        <v/>
      </c>
      <c r="O199" s="114" t="str">
        <f>IF(Main[[#This Row],[Tech Start Date]]&lt;1/1/1990,"",IF(Main[[#This Row],[Class]]="C",WORKDAY(Main[[#This Row],[Tech Start Date]],23),IF(Main[[#This Row],[Class]]="B", WORKDAY(Main[[#This Row],[Tech Start Date]],15),IF(Main[[#This Row],[Class]]="A",WORKDAY(Main[[#This Row],[Tech Start Date]],5),""))))</f>
        <v/>
      </c>
      <c r="P199" s="114" t="str">
        <f>IF(Main[[#This Row],[Tech Start Date]]&lt;1/1/1990,"",IF(Main[[#This Row],[Class]]="C",WORKDAY(Main[[#This Row],[Tech Start Date]],28),IF(Main[[#This Row],[Class]]="B", WORKDAY(Main[[#This Row],[Tech Start Date]],19),IF(Main[[#This Row],[Class]]="A",WORKDAY(Main[[#This Row],[Tech Start Date]],9),""))))</f>
        <v/>
      </c>
      <c r="Q199" s="129">
        <v>40525</v>
      </c>
      <c r="R199" s="129">
        <v>40571</v>
      </c>
      <c r="S199" s="139" t="s">
        <v>11</v>
      </c>
      <c r="T199" s="115" t="s">
        <v>4</v>
      </c>
      <c r="U199" s="139" t="s">
        <v>14</v>
      </c>
      <c r="V199" s="139" t="s">
        <v>1914</v>
      </c>
      <c r="W199" s="139" t="s">
        <v>1919</v>
      </c>
      <c r="X199" s="139" t="s">
        <v>2837</v>
      </c>
      <c r="Y199" s="112" t="s">
        <v>2966</v>
      </c>
      <c r="Z199" s="112" t="s">
        <v>129</v>
      </c>
      <c r="AA199" s="139" t="s">
        <v>2834</v>
      </c>
    </row>
    <row r="200" spans="1:27" ht="17.25" customHeight="1">
      <c r="A200" s="69" t="str">
        <f>IF(priority(Main[[#This Row],[Comments]])&lt;&gt;0, priority(Main[[#This Row],[Comments]]),"")</f>
        <v/>
      </c>
      <c r="B200" s="63" t="s">
        <v>1858</v>
      </c>
      <c r="C200" s="148" t="s">
        <v>31</v>
      </c>
      <c r="D200" s="113" t="s">
        <v>915</v>
      </c>
      <c r="E200" s="129"/>
      <c r="F200" s="129">
        <v>40664</v>
      </c>
      <c r="G200" s="69" t="str">
        <f>IF(stdProdLT(Main[[#This Row],[Comments]])=0.1,"N/A",IF(stdProdLT(Main[[#This Row],[Comments]])=0,"",stdProdLT(Main[[#This Row],[Comments]])))</f>
        <v/>
      </c>
      <c r="H200" s="138">
        <f>IF(Main[[#This Row],[In Stock Date]]="N/A", "N/A",IF(AND(Main[[#This Row],[In Stock Date]]&lt;&gt;"",Main[[#This Row],[Revised Due Date]]&lt;&gt;"",Main[[#This Row],[In Stock Date]]&lt;&gt;""),Main[[#This Row],[In Stock Date]]-Main[[#This Row],[Revised Due Date]],""))</f>
        <v>87</v>
      </c>
      <c r="I200" s="139" t="s">
        <v>399</v>
      </c>
      <c r="J200" s="139" t="s">
        <v>75</v>
      </c>
      <c r="K200" s="140" t="s">
        <v>1923</v>
      </c>
      <c r="L200" s="129"/>
      <c r="M200" s="114" t="str">
        <f>IF(Main[[#This Row],[Tech Start Date]]&lt;1/1/1990,"",IF(Main[[#This Row],[Class]]="C",WORKDAY(Main[[#This Row],[Tech Start Date]],9),IF(Main[[#This Row],[Class]]="B", WORKDAY(Main[[#This Row],[Tech Start Date]],6),IF(Main[[#This Row],[Class]]="A",WORKDAY(Main[[#This Row],[Tech Start Date]],2),""))))</f>
        <v/>
      </c>
      <c r="N200" s="114" t="str">
        <f>IF(Main[[#This Row],[Tech Start Date]]&lt;1/1/1990,"",IF(Main[[#This Row],[Class]]="C",WORKDAY(Main[[#This Row],[Tech Start Date]],19),IF(Main[[#This Row],[Class]]="B", WORKDAY(Main[[#This Row],[Tech Start Date]],12),IF(Main[[#This Row],[Class]]="A",WORKDAY(Main[[#This Row],[Tech Start Date]],4),""))))</f>
        <v/>
      </c>
      <c r="O200" s="114" t="str">
        <f>IF(Main[[#This Row],[Tech Start Date]]&lt;1/1/1990,"",IF(Main[[#This Row],[Class]]="C",WORKDAY(Main[[#This Row],[Tech Start Date]],23),IF(Main[[#This Row],[Class]]="B", WORKDAY(Main[[#This Row],[Tech Start Date]],15),IF(Main[[#This Row],[Class]]="A",WORKDAY(Main[[#This Row],[Tech Start Date]],5),""))))</f>
        <v/>
      </c>
      <c r="P200" s="114" t="str">
        <f>IF(Main[[#This Row],[Tech Start Date]]&lt;1/1/1990,"",IF(Main[[#This Row],[Class]]="C",WORKDAY(Main[[#This Row],[Tech Start Date]],28),IF(Main[[#This Row],[Class]]="B", WORKDAY(Main[[#This Row],[Tech Start Date]],19),IF(Main[[#This Row],[Class]]="A",WORKDAY(Main[[#This Row],[Tech Start Date]],9),""))))</f>
        <v/>
      </c>
      <c r="Q200" s="129"/>
      <c r="R200" s="129">
        <v>40577</v>
      </c>
      <c r="S200" s="139" t="s">
        <v>11</v>
      </c>
      <c r="T200" s="115" t="s">
        <v>4</v>
      </c>
      <c r="U200" s="139" t="s">
        <v>14</v>
      </c>
      <c r="V200" s="139" t="s">
        <v>1917</v>
      </c>
      <c r="W200" s="139" t="s">
        <v>1920</v>
      </c>
      <c r="X200" s="139" t="s">
        <v>2825</v>
      </c>
      <c r="Y200" s="112" t="s">
        <v>2967</v>
      </c>
      <c r="Z200" s="112" t="s">
        <v>530</v>
      </c>
      <c r="AA200" s="139" t="s">
        <v>2825</v>
      </c>
    </row>
    <row r="201" spans="1:27" ht="17.25" customHeight="1">
      <c r="A201" s="69" t="str">
        <f>IF(priority(Main[[#This Row],[Comments]])&lt;&gt;0, priority(Main[[#This Row],[Comments]]),"")</f>
        <v/>
      </c>
      <c r="B201" s="63" t="s">
        <v>1081</v>
      </c>
      <c r="C201" s="148" t="s">
        <v>4</v>
      </c>
      <c r="D201" s="113" t="s">
        <v>124</v>
      </c>
      <c r="E201" s="129"/>
      <c r="F201" s="129"/>
      <c r="G201" s="69" t="str">
        <f>IF(stdProdLT(Main[[#This Row],[Comments]])=0.1,"N/A",IF(stdProdLT(Main[[#This Row],[Comments]])=0,"",stdProdLT(Main[[#This Row],[Comments]])))</f>
        <v/>
      </c>
      <c r="H201" s="138" t="str">
        <f>IF(Main[[#This Row],[In Stock Date]]="N/A", "N/A",IF(AND(Main[[#This Row],[In Stock Date]]&lt;&gt;"",Main[[#This Row],[Revised Due Date]]&lt;&gt;"",Main[[#This Row],[In Stock Date]]&lt;&gt;""),Main[[#This Row],[In Stock Date]]-Main[[#This Row],[Revised Due Date]],""))</f>
        <v/>
      </c>
      <c r="I201" s="139" t="s">
        <v>4</v>
      </c>
      <c r="J201" s="139" t="s">
        <v>4</v>
      </c>
      <c r="K201" s="140" t="s">
        <v>4</v>
      </c>
      <c r="L201" s="129"/>
      <c r="M201" s="114" t="str">
        <f>IF(Main[[#This Row],[Tech Start Date]]&lt;1/1/1990,"",IF(Main[[#This Row],[Class]]="C",WORKDAY(Main[[#This Row],[Tech Start Date]],9),IF(Main[[#This Row],[Class]]="B", WORKDAY(Main[[#This Row],[Tech Start Date]],6),IF(Main[[#This Row],[Class]]="A",WORKDAY(Main[[#This Row],[Tech Start Date]],2),""))))</f>
        <v/>
      </c>
      <c r="N201" s="114" t="str">
        <f>IF(Main[[#This Row],[Tech Start Date]]&lt;1/1/1990,"",IF(Main[[#This Row],[Class]]="C",WORKDAY(Main[[#This Row],[Tech Start Date]],19),IF(Main[[#This Row],[Class]]="B", WORKDAY(Main[[#This Row],[Tech Start Date]],12),IF(Main[[#This Row],[Class]]="A",WORKDAY(Main[[#This Row],[Tech Start Date]],4),""))))</f>
        <v/>
      </c>
      <c r="O201" s="114" t="str">
        <f>IF(Main[[#This Row],[Tech Start Date]]&lt;1/1/1990,"",IF(Main[[#This Row],[Class]]="C",WORKDAY(Main[[#This Row],[Tech Start Date]],23),IF(Main[[#This Row],[Class]]="B", WORKDAY(Main[[#This Row],[Tech Start Date]],15),IF(Main[[#This Row],[Class]]="A",WORKDAY(Main[[#This Row],[Tech Start Date]],5),""))))</f>
        <v/>
      </c>
      <c r="P201" s="114" t="str">
        <f>IF(Main[[#This Row],[Tech Start Date]]&lt;1/1/1990,"",IF(Main[[#This Row],[Class]]="C",WORKDAY(Main[[#This Row],[Tech Start Date]],28),IF(Main[[#This Row],[Class]]="B", WORKDAY(Main[[#This Row],[Tech Start Date]],19),IF(Main[[#This Row],[Class]]="A",WORKDAY(Main[[#This Row],[Tech Start Date]],9),""))))</f>
        <v/>
      </c>
      <c r="Q201" s="129">
        <v>40613</v>
      </c>
      <c r="R201" s="129"/>
      <c r="S201" s="139" t="s">
        <v>6</v>
      </c>
      <c r="T201" s="115" t="s">
        <v>4</v>
      </c>
      <c r="U201" s="139" t="s">
        <v>12</v>
      </c>
      <c r="V201" s="139" t="s">
        <v>1914</v>
      </c>
      <c r="W201" s="139" t="s">
        <v>1928</v>
      </c>
      <c r="X201" s="139" t="s">
        <v>126</v>
      </c>
      <c r="Y201" s="112" t="s">
        <v>4</v>
      </c>
      <c r="Z201" s="112" t="s">
        <v>4</v>
      </c>
      <c r="AA201" s="139" t="s">
        <v>3388</v>
      </c>
    </row>
    <row r="202" spans="1:27" ht="17.25" customHeight="1">
      <c r="A202" s="69" t="str">
        <f>IF(priority(Main[[#This Row],[Comments]])&lt;&gt;0, priority(Main[[#This Row],[Comments]]),"")</f>
        <v/>
      </c>
      <c r="B202" s="63" t="s">
        <v>2175</v>
      </c>
      <c r="C202" s="148" t="s">
        <v>2176</v>
      </c>
      <c r="D202" s="113" t="s">
        <v>2177</v>
      </c>
      <c r="E202" s="129"/>
      <c r="F202" s="129">
        <v>40829</v>
      </c>
      <c r="G202" s="69" t="str">
        <f>IF(stdProdLT(Main[[#This Row],[Comments]])=0.1,"N/A",IF(stdProdLT(Main[[#This Row],[Comments]])=0,"",stdProdLT(Main[[#This Row],[Comments]])))</f>
        <v/>
      </c>
      <c r="H202" s="138" t="str">
        <f>IF(Main[[#This Row],[In Stock Date]]="N/A", "N/A",IF(AND(Main[[#This Row],[In Stock Date]]&lt;&gt;"",Main[[#This Row],[Revised Due Date]]&lt;&gt;"",Main[[#This Row],[In Stock Date]]&lt;&gt;""),Main[[#This Row],[In Stock Date]]-Main[[#This Row],[Revised Due Date]],""))</f>
        <v/>
      </c>
      <c r="I202" s="139" t="s">
        <v>4</v>
      </c>
      <c r="J202" s="139" t="s">
        <v>4</v>
      </c>
      <c r="K202" s="139" t="s">
        <v>4</v>
      </c>
      <c r="L202" s="129"/>
      <c r="M202" s="114" t="str">
        <f>IF(Main[[#This Row],[Tech Start Date]]&lt;1/1/1990,"",IF(Main[[#This Row],[Class]]="C",WORKDAY(Main[[#This Row],[Tech Start Date]],9),IF(Main[[#This Row],[Class]]="B", WORKDAY(Main[[#This Row],[Tech Start Date]],6),IF(Main[[#This Row],[Class]]="A",WORKDAY(Main[[#This Row],[Tech Start Date]],2),""))))</f>
        <v/>
      </c>
      <c r="N202" s="114" t="str">
        <f>IF(Main[[#This Row],[Tech Start Date]]&lt;1/1/1990,"",IF(Main[[#This Row],[Class]]="C",WORKDAY(Main[[#This Row],[Tech Start Date]],19),IF(Main[[#This Row],[Class]]="B", WORKDAY(Main[[#This Row],[Tech Start Date]],12),IF(Main[[#This Row],[Class]]="A",WORKDAY(Main[[#This Row],[Tech Start Date]],4),""))))</f>
        <v/>
      </c>
      <c r="O202" s="114" t="str">
        <f>IF(Main[[#This Row],[Tech Start Date]]&lt;1/1/1990,"",IF(Main[[#This Row],[Class]]="C",WORKDAY(Main[[#This Row],[Tech Start Date]],23),IF(Main[[#This Row],[Class]]="B", WORKDAY(Main[[#This Row],[Tech Start Date]],15),IF(Main[[#This Row],[Class]]="A",WORKDAY(Main[[#This Row],[Tech Start Date]],5),""))))</f>
        <v/>
      </c>
      <c r="P202" s="114" t="str">
        <f>IF(Main[[#This Row],[Tech Start Date]]&lt;1/1/1990,"",IF(Main[[#This Row],[Class]]="C",WORKDAY(Main[[#This Row],[Tech Start Date]],28),IF(Main[[#This Row],[Class]]="B", WORKDAY(Main[[#This Row],[Tech Start Date]],19),IF(Main[[#This Row],[Class]]="A",WORKDAY(Main[[#This Row],[Tech Start Date]],9),""))))</f>
        <v/>
      </c>
      <c r="Q202" s="129">
        <v>40801</v>
      </c>
      <c r="R202" s="129"/>
      <c r="S202" s="139" t="s">
        <v>11</v>
      </c>
      <c r="T202" s="115" t="s">
        <v>4</v>
      </c>
      <c r="U202" s="139" t="s">
        <v>14</v>
      </c>
      <c r="V202" s="139" t="s">
        <v>1915</v>
      </c>
      <c r="W202" s="139" t="s">
        <v>1922</v>
      </c>
      <c r="X202" s="139" t="s">
        <v>2838</v>
      </c>
      <c r="Y202" s="112" t="s">
        <v>2968</v>
      </c>
      <c r="Z202" s="112" t="s">
        <v>4</v>
      </c>
      <c r="AA202" s="139" t="s">
        <v>2838</v>
      </c>
    </row>
    <row r="203" spans="1:27" ht="17.25" customHeight="1">
      <c r="A203" s="69" t="str">
        <f>IF(priority(Main[[#This Row],[Comments]])&lt;&gt;0, priority(Main[[#This Row],[Comments]]),"")</f>
        <v/>
      </c>
      <c r="B203" s="63" t="s">
        <v>2532</v>
      </c>
      <c r="C203" s="148" t="s">
        <v>4</v>
      </c>
      <c r="D203" s="113" t="s">
        <v>2533</v>
      </c>
      <c r="E203" s="129">
        <v>40855.624421296299</v>
      </c>
      <c r="F203" s="129"/>
      <c r="G203" s="69" t="str">
        <f>IF(stdProdLT(Main[[#This Row],[Comments]])=0.1,"N/A",IF(stdProdLT(Main[[#This Row],[Comments]])=0,"",stdProdLT(Main[[#This Row],[Comments]])))</f>
        <v/>
      </c>
      <c r="H203" s="138" t="str">
        <f>IF(Main[[#This Row],[In Stock Date]]="N/A", "N/A",IF(AND(Main[[#This Row],[In Stock Date]]&lt;&gt;"",Main[[#This Row],[Revised Due Date]]&lt;&gt;"",Main[[#This Row],[In Stock Date]]&lt;&gt;""),Main[[#This Row],[In Stock Date]]-Main[[#This Row],[Revised Due Date]],""))</f>
        <v/>
      </c>
      <c r="I203" s="139" t="s">
        <v>81</v>
      </c>
      <c r="J203" s="139" t="s">
        <v>21</v>
      </c>
      <c r="K203" s="139" t="s">
        <v>4</v>
      </c>
      <c r="L203" s="129"/>
      <c r="M203" s="114" t="str">
        <f>IF(Main[[#This Row],[Tech Start Date]]&lt;1/1/1990,"",IF(Main[[#This Row],[Class]]="C",WORKDAY(Main[[#This Row],[Tech Start Date]],9),IF(Main[[#This Row],[Class]]="B", WORKDAY(Main[[#This Row],[Tech Start Date]],6),IF(Main[[#This Row],[Class]]="A",WORKDAY(Main[[#This Row],[Tech Start Date]],2),""))))</f>
        <v/>
      </c>
      <c r="N203" s="114" t="str">
        <f>IF(Main[[#This Row],[Tech Start Date]]&lt;1/1/1990,"",IF(Main[[#This Row],[Class]]="C",WORKDAY(Main[[#This Row],[Tech Start Date]],19),IF(Main[[#This Row],[Class]]="B", WORKDAY(Main[[#This Row],[Tech Start Date]],12),IF(Main[[#This Row],[Class]]="A",WORKDAY(Main[[#This Row],[Tech Start Date]],4),""))))</f>
        <v/>
      </c>
      <c r="O203" s="114" t="str">
        <f>IF(Main[[#This Row],[Tech Start Date]]&lt;1/1/1990,"",IF(Main[[#This Row],[Class]]="C",WORKDAY(Main[[#This Row],[Tech Start Date]],23),IF(Main[[#This Row],[Class]]="B", WORKDAY(Main[[#This Row],[Tech Start Date]],15),IF(Main[[#This Row],[Class]]="A",WORKDAY(Main[[#This Row],[Tech Start Date]],5),""))))</f>
        <v/>
      </c>
      <c r="P203" s="114" t="str">
        <f>IF(Main[[#This Row],[Tech Start Date]]&lt;1/1/1990,"",IF(Main[[#This Row],[Class]]="C",WORKDAY(Main[[#This Row],[Tech Start Date]],28),IF(Main[[#This Row],[Class]]="B", WORKDAY(Main[[#This Row],[Tech Start Date]],19),IF(Main[[#This Row],[Class]]="A",WORKDAY(Main[[#This Row],[Tech Start Date]],9),""))))</f>
        <v/>
      </c>
      <c r="Q203" s="129">
        <v>40908</v>
      </c>
      <c r="R203" s="129"/>
      <c r="S203" s="139" t="s">
        <v>6</v>
      </c>
      <c r="T203" s="115" t="s">
        <v>4</v>
      </c>
      <c r="U203" s="139" t="s">
        <v>29</v>
      </c>
      <c r="V203" s="139" t="s">
        <v>1924</v>
      </c>
      <c r="W203" s="139" t="s">
        <v>1919</v>
      </c>
      <c r="X203" s="139" t="s">
        <v>81</v>
      </c>
      <c r="Y203" s="112" t="s">
        <v>2969</v>
      </c>
      <c r="Z203" s="112" t="s">
        <v>81</v>
      </c>
      <c r="AA203" s="139" t="s">
        <v>81</v>
      </c>
    </row>
    <row r="204" spans="1:27" ht="17.25" customHeight="1">
      <c r="A204" s="69" t="str">
        <f>IF(priority(Main[[#This Row],[Comments]])&lt;&gt;0, priority(Main[[#This Row],[Comments]]),"")</f>
        <v/>
      </c>
      <c r="B204" s="63" t="s">
        <v>1073</v>
      </c>
      <c r="C204" s="148" t="s">
        <v>31</v>
      </c>
      <c r="D204" s="113" t="s">
        <v>115</v>
      </c>
      <c r="E204" s="129"/>
      <c r="F204" s="129"/>
      <c r="G204" s="69" t="str">
        <f>IF(stdProdLT(Main[[#This Row],[Comments]])=0.1,"N/A",IF(stdProdLT(Main[[#This Row],[Comments]])=0,"",stdProdLT(Main[[#This Row],[Comments]])))</f>
        <v/>
      </c>
      <c r="H204" s="138" t="str">
        <f>IF(Main[[#This Row],[In Stock Date]]="N/A", "N/A",IF(AND(Main[[#This Row],[In Stock Date]]&lt;&gt;"",Main[[#This Row],[Revised Due Date]]&lt;&gt;"",Main[[#This Row],[In Stock Date]]&lt;&gt;""),Main[[#This Row],[In Stock Date]]-Main[[#This Row],[Revised Due Date]],""))</f>
        <v/>
      </c>
      <c r="I204" s="139" t="s">
        <v>4</v>
      </c>
      <c r="J204" s="139" t="s">
        <v>4</v>
      </c>
      <c r="K204" s="139" t="s">
        <v>4</v>
      </c>
      <c r="L204" s="129"/>
      <c r="M204" s="114" t="str">
        <f>IF(Main[[#This Row],[Tech Start Date]]&lt;1/1/1990,"",IF(Main[[#This Row],[Class]]="C",WORKDAY(Main[[#This Row],[Tech Start Date]],9),IF(Main[[#This Row],[Class]]="B", WORKDAY(Main[[#This Row],[Tech Start Date]],6),IF(Main[[#This Row],[Class]]="A",WORKDAY(Main[[#This Row],[Tech Start Date]],2),""))))</f>
        <v/>
      </c>
      <c r="N204" s="114" t="str">
        <f>IF(Main[[#This Row],[Tech Start Date]]&lt;1/1/1990,"",IF(Main[[#This Row],[Class]]="C",WORKDAY(Main[[#This Row],[Tech Start Date]],19),IF(Main[[#This Row],[Class]]="B", WORKDAY(Main[[#This Row],[Tech Start Date]],12),IF(Main[[#This Row],[Class]]="A",WORKDAY(Main[[#This Row],[Tech Start Date]],4),""))))</f>
        <v/>
      </c>
      <c r="O204" s="114" t="str">
        <f>IF(Main[[#This Row],[Tech Start Date]]&lt;1/1/1990,"",IF(Main[[#This Row],[Class]]="C",WORKDAY(Main[[#This Row],[Tech Start Date]],23),IF(Main[[#This Row],[Class]]="B", WORKDAY(Main[[#This Row],[Tech Start Date]],15),IF(Main[[#This Row],[Class]]="A",WORKDAY(Main[[#This Row],[Tech Start Date]],5),""))))</f>
        <v/>
      </c>
      <c r="P204" s="114" t="str">
        <f>IF(Main[[#This Row],[Tech Start Date]]&lt;1/1/1990,"",IF(Main[[#This Row],[Class]]="C",WORKDAY(Main[[#This Row],[Tech Start Date]],28),IF(Main[[#This Row],[Class]]="B", WORKDAY(Main[[#This Row],[Tech Start Date]],19),IF(Main[[#This Row],[Class]]="A",WORKDAY(Main[[#This Row],[Tech Start Date]],9),""))))</f>
        <v/>
      </c>
      <c r="Q204" s="129">
        <v>40318</v>
      </c>
      <c r="R204" s="129"/>
      <c r="S204" s="139" t="s">
        <v>11</v>
      </c>
      <c r="T204" s="115" t="s">
        <v>4</v>
      </c>
      <c r="U204" s="139" t="s">
        <v>14</v>
      </c>
      <c r="V204" s="139" t="s">
        <v>1917</v>
      </c>
      <c r="W204" s="139" t="s">
        <v>1916</v>
      </c>
      <c r="X204" s="139" t="s">
        <v>2830</v>
      </c>
      <c r="Y204" s="112" t="s">
        <v>4</v>
      </c>
      <c r="Z204" s="112" t="s">
        <v>4</v>
      </c>
      <c r="AA204" s="139" t="s">
        <v>2830</v>
      </c>
    </row>
    <row r="205" spans="1:27" ht="17.25" customHeight="1">
      <c r="A205" s="69" t="str">
        <f>IF(priority(Main[[#This Row],[Comments]])&lt;&gt;0, priority(Main[[#This Row],[Comments]]),"")</f>
        <v/>
      </c>
      <c r="B205" s="63" t="s">
        <v>2328</v>
      </c>
      <c r="C205" s="148" t="s">
        <v>31</v>
      </c>
      <c r="D205" s="113" t="s">
        <v>2329</v>
      </c>
      <c r="E205" s="129"/>
      <c r="F205" s="129">
        <v>41000</v>
      </c>
      <c r="G205" s="69">
        <f>IF(stdProdLT(Main[[#This Row],[Comments]])=0.1,"N/A",IF(stdProdLT(Main[[#This Row],[Comments]])=0,"",stdProdLT(Main[[#This Row],[Comments]])))</f>
        <v>140</v>
      </c>
      <c r="H205" s="138" t="str">
        <f>IF(Main[[#This Row],[In Stock Date]]="N/A", "N/A",IF(AND(Main[[#This Row],[In Stock Date]]&lt;&gt;"",Main[[#This Row],[Revised Due Date]]&lt;&gt;"",Main[[#This Row],[In Stock Date]]&lt;&gt;""),Main[[#This Row],[In Stock Date]]-Main[[#This Row],[Revised Due Date]],""))</f>
        <v/>
      </c>
      <c r="I205" s="139" t="s">
        <v>4</v>
      </c>
      <c r="J205" s="139" t="s">
        <v>4</v>
      </c>
      <c r="K205" s="139" t="s">
        <v>4</v>
      </c>
      <c r="L205" s="129"/>
      <c r="M205" s="114" t="str">
        <f>IF(Main[[#This Row],[Tech Start Date]]&lt;1/1/1990,"",IF(Main[[#This Row],[Class]]="C",WORKDAY(Main[[#This Row],[Tech Start Date]],9),IF(Main[[#This Row],[Class]]="B", WORKDAY(Main[[#This Row],[Tech Start Date]],6),IF(Main[[#This Row],[Class]]="A",WORKDAY(Main[[#This Row],[Tech Start Date]],2),""))))</f>
        <v/>
      </c>
      <c r="N205" s="114" t="str">
        <f>IF(Main[[#This Row],[Tech Start Date]]&lt;1/1/1990,"",IF(Main[[#This Row],[Class]]="C",WORKDAY(Main[[#This Row],[Tech Start Date]],19),IF(Main[[#This Row],[Class]]="B", WORKDAY(Main[[#This Row],[Tech Start Date]],12),IF(Main[[#This Row],[Class]]="A",WORKDAY(Main[[#This Row],[Tech Start Date]],4),""))))</f>
        <v/>
      </c>
      <c r="O205" s="114" t="str">
        <f>IF(Main[[#This Row],[Tech Start Date]]&lt;1/1/1990,"",IF(Main[[#This Row],[Class]]="C",WORKDAY(Main[[#This Row],[Tech Start Date]],23),IF(Main[[#This Row],[Class]]="B", WORKDAY(Main[[#This Row],[Tech Start Date]],15),IF(Main[[#This Row],[Class]]="A",WORKDAY(Main[[#This Row],[Tech Start Date]],5),""))))</f>
        <v/>
      </c>
      <c r="P205" s="114" t="str">
        <f>IF(Main[[#This Row],[Tech Start Date]]&lt;1/1/1990,"",IF(Main[[#This Row],[Class]]="C",WORKDAY(Main[[#This Row],[Tech Start Date]],28),IF(Main[[#This Row],[Class]]="B", WORKDAY(Main[[#This Row],[Tech Start Date]],19),IF(Main[[#This Row],[Class]]="A",WORKDAY(Main[[#This Row],[Tech Start Date]],9),""))))</f>
        <v/>
      </c>
      <c r="Q205" s="129">
        <v>40916</v>
      </c>
      <c r="R205" s="129"/>
      <c r="S205" s="139" t="s">
        <v>11</v>
      </c>
      <c r="T205" s="115" t="s">
        <v>2330</v>
      </c>
      <c r="U205" s="139" t="s">
        <v>14</v>
      </c>
      <c r="V205" s="139" t="s">
        <v>1924</v>
      </c>
      <c r="W205" s="139" t="s">
        <v>1920</v>
      </c>
      <c r="X205" s="139" t="s">
        <v>2840</v>
      </c>
      <c r="Y205" s="112" t="s">
        <v>4</v>
      </c>
      <c r="Z205" s="112" t="s">
        <v>4</v>
      </c>
      <c r="AA205" s="139" t="s">
        <v>2840</v>
      </c>
    </row>
    <row r="206" spans="1:27" ht="17.25" customHeight="1">
      <c r="A206" s="69" t="str">
        <f>IF(priority(Main[[#This Row],[Comments]])&lt;&gt;0, priority(Main[[#This Row],[Comments]]),"")</f>
        <v/>
      </c>
      <c r="B206" s="63" t="s">
        <v>2009</v>
      </c>
      <c r="C206" s="148" t="s">
        <v>4</v>
      </c>
      <c r="D206" s="113" t="s">
        <v>2010</v>
      </c>
      <c r="E206" s="129"/>
      <c r="F206" s="129"/>
      <c r="G206" s="69" t="str">
        <f>IF(stdProdLT(Main[[#This Row],[Comments]])=0.1,"N/A",IF(stdProdLT(Main[[#This Row],[Comments]])=0,"",stdProdLT(Main[[#This Row],[Comments]])))</f>
        <v/>
      </c>
      <c r="H206" s="138" t="str">
        <f>IF(Main[[#This Row],[In Stock Date]]="N/A", "N/A",IF(AND(Main[[#This Row],[In Stock Date]]&lt;&gt;"",Main[[#This Row],[Revised Due Date]]&lt;&gt;"",Main[[#This Row],[In Stock Date]]&lt;&gt;""),Main[[#This Row],[In Stock Date]]-Main[[#This Row],[Revised Due Date]],""))</f>
        <v/>
      </c>
      <c r="I206" s="139" t="s">
        <v>4</v>
      </c>
      <c r="J206" s="139" t="s">
        <v>4</v>
      </c>
      <c r="K206" s="139" t="s">
        <v>4</v>
      </c>
      <c r="L206" s="129"/>
      <c r="M206" s="114" t="str">
        <f>IF(Main[[#This Row],[Tech Start Date]]&lt;1/1/1990,"",IF(Main[[#This Row],[Class]]="C",WORKDAY(Main[[#This Row],[Tech Start Date]],9),IF(Main[[#This Row],[Class]]="B", WORKDAY(Main[[#This Row],[Tech Start Date]],6),IF(Main[[#This Row],[Class]]="A",WORKDAY(Main[[#This Row],[Tech Start Date]],2),""))))</f>
        <v/>
      </c>
      <c r="N206" s="114" t="str">
        <f>IF(Main[[#This Row],[Tech Start Date]]&lt;1/1/1990,"",IF(Main[[#This Row],[Class]]="C",WORKDAY(Main[[#This Row],[Tech Start Date]],19),IF(Main[[#This Row],[Class]]="B", WORKDAY(Main[[#This Row],[Tech Start Date]],12),IF(Main[[#This Row],[Class]]="A",WORKDAY(Main[[#This Row],[Tech Start Date]],4),""))))</f>
        <v/>
      </c>
      <c r="O206" s="114" t="str">
        <f>IF(Main[[#This Row],[Tech Start Date]]&lt;1/1/1990,"",IF(Main[[#This Row],[Class]]="C",WORKDAY(Main[[#This Row],[Tech Start Date]],23),IF(Main[[#This Row],[Class]]="B", WORKDAY(Main[[#This Row],[Tech Start Date]],15),IF(Main[[#This Row],[Class]]="A",WORKDAY(Main[[#This Row],[Tech Start Date]],5),""))))</f>
        <v/>
      </c>
      <c r="P206" s="114" t="str">
        <f>IF(Main[[#This Row],[Tech Start Date]]&lt;1/1/1990,"",IF(Main[[#This Row],[Class]]="C",WORKDAY(Main[[#This Row],[Tech Start Date]],28),IF(Main[[#This Row],[Class]]="B", WORKDAY(Main[[#This Row],[Tech Start Date]],19),IF(Main[[#This Row],[Class]]="A",WORKDAY(Main[[#This Row],[Tech Start Date]],9),""))))</f>
        <v/>
      </c>
      <c r="Q206" s="129"/>
      <c r="R206" s="129"/>
      <c r="S206" s="139" t="s">
        <v>4</v>
      </c>
      <c r="T206" s="115" t="s">
        <v>4</v>
      </c>
      <c r="U206" s="139" t="s">
        <v>14</v>
      </c>
      <c r="V206" s="139" t="s">
        <v>1917</v>
      </c>
      <c r="W206" s="139" t="s">
        <v>1916</v>
      </c>
      <c r="X206" s="139" t="s">
        <v>2841</v>
      </c>
      <c r="Y206" s="112" t="s">
        <v>2971</v>
      </c>
      <c r="Z206" s="112" t="s">
        <v>4</v>
      </c>
      <c r="AA206" s="139" t="s">
        <v>2841</v>
      </c>
    </row>
    <row r="207" spans="1:27" ht="17.25" customHeight="1">
      <c r="A207" s="69" t="str">
        <f>IF(priority(Main[[#This Row],[Comments]])&lt;&gt;0, priority(Main[[#This Row],[Comments]]),"")</f>
        <v/>
      </c>
      <c r="B207" s="63" t="s">
        <v>1075</v>
      </c>
      <c r="C207" s="148" t="s">
        <v>42</v>
      </c>
      <c r="D207" s="113" t="s">
        <v>119</v>
      </c>
      <c r="E207" s="129"/>
      <c r="F207" s="129"/>
      <c r="G207" s="69" t="str">
        <f>IF(stdProdLT(Main[[#This Row],[Comments]])=0.1,"N/A",IF(stdProdLT(Main[[#This Row],[Comments]])=0,"",stdProdLT(Main[[#This Row],[Comments]])))</f>
        <v/>
      </c>
      <c r="H207" s="138" t="str">
        <f>IF(Main[[#This Row],[In Stock Date]]="N/A", "N/A",IF(AND(Main[[#This Row],[In Stock Date]]&lt;&gt;"",Main[[#This Row],[Revised Due Date]]&lt;&gt;"",Main[[#This Row],[In Stock Date]]&lt;&gt;""),Main[[#This Row],[In Stock Date]]-Main[[#This Row],[Revised Due Date]],""))</f>
        <v/>
      </c>
      <c r="I207" s="139" t="s">
        <v>4</v>
      </c>
      <c r="J207" s="139" t="s">
        <v>4</v>
      </c>
      <c r="K207" s="139" t="s">
        <v>4</v>
      </c>
      <c r="L207" s="129"/>
      <c r="M207" s="114" t="str">
        <f>IF(Main[[#This Row],[Tech Start Date]]&lt;1/1/1990,"",IF(Main[[#This Row],[Class]]="C",WORKDAY(Main[[#This Row],[Tech Start Date]],9),IF(Main[[#This Row],[Class]]="B", WORKDAY(Main[[#This Row],[Tech Start Date]],6),IF(Main[[#This Row],[Class]]="A",WORKDAY(Main[[#This Row],[Tech Start Date]],2),""))))</f>
        <v/>
      </c>
      <c r="N207" s="114" t="str">
        <f>IF(Main[[#This Row],[Tech Start Date]]&lt;1/1/1990,"",IF(Main[[#This Row],[Class]]="C",WORKDAY(Main[[#This Row],[Tech Start Date]],19),IF(Main[[#This Row],[Class]]="B", WORKDAY(Main[[#This Row],[Tech Start Date]],12),IF(Main[[#This Row],[Class]]="A",WORKDAY(Main[[#This Row],[Tech Start Date]],4),""))))</f>
        <v/>
      </c>
      <c r="O207" s="114" t="str">
        <f>IF(Main[[#This Row],[Tech Start Date]]&lt;1/1/1990,"",IF(Main[[#This Row],[Class]]="C",WORKDAY(Main[[#This Row],[Tech Start Date]],23),IF(Main[[#This Row],[Class]]="B", WORKDAY(Main[[#This Row],[Tech Start Date]],15),IF(Main[[#This Row],[Class]]="A",WORKDAY(Main[[#This Row],[Tech Start Date]],5),""))))</f>
        <v/>
      </c>
      <c r="P207" s="114" t="str">
        <f>IF(Main[[#This Row],[Tech Start Date]]&lt;1/1/1990,"",IF(Main[[#This Row],[Class]]="C",WORKDAY(Main[[#This Row],[Tech Start Date]],28),IF(Main[[#This Row],[Class]]="B", WORKDAY(Main[[#This Row],[Tech Start Date]],19),IF(Main[[#This Row],[Class]]="A",WORKDAY(Main[[#This Row],[Tech Start Date]],9),""))))</f>
        <v/>
      </c>
      <c r="Q207" s="129"/>
      <c r="R207" s="129"/>
      <c r="S207" s="139" t="s">
        <v>11</v>
      </c>
      <c r="T207" s="115" t="s">
        <v>4</v>
      </c>
      <c r="U207" s="139" t="s">
        <v>14</v>
      </c>
      <c r="V207" s="139" t="s">
        <v>1915</v>
      </c>
      <c r="W207" s="139" t="s">
        <v>1922</v>
      </c>
      <c r="X207" s="139" t="s">
        <v>399</v>
      </c>
      <c r="Y207" s="112" t="s">
        <v>2948</v>
      </c>
      <c r="Z207" s="112" t="s">
        <v>4</v>
      </c>
      <c r="AA207" s="139" t="s">
        <v>399</v>
      </c>
    </row>
    <row r="208" spans="1:27" ht="17.25" customHeight="1">
      <c r="A208" s="69" t="str">
        <f>IF(priority(Main[[#This Row],[Comments]])&lt;&gt;0, priority(Main[[#This Row],[Comments]]),"")</f>
        <v/>
      </c>
      <c r="B208" s="63" t="s">
        <v>1487</v>
      </c>
      <c r="C208" s="148" t="s">
        <v>4</v>
      </c>
      <c r="D208" s="113" t="s">
        <v>571</v>
      </c>
      <c r="E208" s="129">
        <v>40422.460902777777</v>
      </c>
      <c r="F208" s="129"/>
      <c r="G208" s="69" t="str">
        <f>IF(stdProdLT(Main[[#This Row],[Comments]])=0.1,"N/A",IF(stdProdLT(Main[[#This Row],[Comments]])=0,"",stdProdLT(Main[[#This Row],[Comments]])))</f>
        <v/>
      </c>
      <c r="H208" s="138" t="str">
        <f>IF(Main[[#This Row],[In Stock Date]]="N/A", "N/A",IF(AND(Main[[#This Row],[In Stock Date]]&lt;&gt;"",Main[[#This Row],[Revised Due Date]]&lt;&gt;"",Main[[#This Row],[In Stock Date]]&lt;&gt;""),Main[[#This Row],[In Stock Date]]-Main[[#This Row],[Revised Due Date]],""))</f>
        <v/>
      </c>
      <c r="I208" s="139" t="s">
        <v>4</v>
      </c>
      <c r="J208" s="139" t="s">
        <v>28</v>
      </c>
      <c r="K208" s="139" t="s">
        <v>4</v>
      </c>
      <c r="L208" s="129"/>
      <c r="M208" s="114" t="str">
        <f>IF(Main[[#This Row],[Tech Start Date]]&lt;1/1/1990,"",IF(Main[[#This Row],[Class]]="C",WORKDAY(Main[[#This Row],[Tech Start Date]],9),IF(Main[[#This Row],[Class]]="B", WORKDAY(Main[[#This Row],[Tech Start Date]],6),IF(Main[[#This Row],[Class]]="A",WORKDAY(Main[[#This Row],[Tech Start Date]],2),""))))</f>
        <v/>
      </c>
      <c r="N208" s="114" t="str">
        <f>IF(Main[[#This Row],[Tech Start Date]]&lt;1/1/1990,"",IF(Main[[#This Row],[Class]]="C",WORKDAY(Main[[#This Row],[Tech Start Date]],19),IF(Main[[#This Row],[Class]]="B", WORKDAY(Main[[#This Row],[Tech Start Date]],12),IF(Main[[#This Row],[Class]]="A",WORKDAY(Main[[#This Row],[Tech Start Date]],4),""))))</f>
        <v/>
      </c>
      <c r="O208" s="114" t="str">
        <f>IF(Main[[#This Row],[Tech Start Date]]&lt;1/1/1990,"",IF(Main[[#This Row],[Class]]="C",WORKDAY(Main[[#This Row],[Tech Start Date]],23),IF(Main[[#This Row],[Class]]="B", WORKDAY(Main[[#This Row],[Tech Start Date]],15),IF(Main[[#This Row],[Class]]="A",WORKDAY(Main[[#This Row],[Tech Start Date]],5),""))))</f>
        <v/>
      </c>
      <c r="P208" s="114" t="str">
        <f>IF(Main[[#This Row],[Tech Start Date]]&lt;1/1/1990,"",IF(Main[[#This Row],[Class]]="C",WORKDAY(Main[[#This Row],[Tech Start Date]],28),IF(Main[[#This Row],[Class]]="B", WORKDAY(Main[[#This Row],[Tech Start Date]],19),IF(Main[[#This Row],[Class]]="A",WORKDAY(Main[[#This Row],[Tech Start Date]],9),""))))</f>
        <v/>
      </c>
      <c r="Q208" s="129"/>
      <c r="R208" s="129"/>
      <c r="S208" s="139" t="s">
        <v>6</v>
      </c>
      <c r="T208" s="115" t="s">
        <v>4</v>
      </c>
      <c r="U208" s="139" t="s">
        <v>29</v>
      </c>
      <c r="V208" s="139" t="s">
        <v>1914</v>
      </c>
      <c r="W208" s="139" t="s">
        <v>1922</v>
      </c>
      <c r="X208" s="139" t="s">
        <v>2052</v>
      </c>
      <c r="Y208" s="112" t="s">
        <v>2972</v>
      </c>
      <c r="Z208" s="112" t="s">
        <v>129</v>
      </c>
      <c r="AA208" s="139" t="s">
        <v>2052</v>
      </c>
    </row>
    <row r="209" spans="1:27" ht="17.25" customHeight="1">
      <c r="A209" s="69" t="str">
        <f>IF(priority(Main[[#This Row],[Comments]])&lt;&gt;0, priority(Main[[#This Row],[Comments]]),"")</f>
        <v/>
      </c>
      <c r="B209" s="63" t="s">
        <v>2057</v>
      </c>
      <c r="C209" s="148" t="s">
        <v>4</v>
      </c>
      <c r="D209" s="113" t="s">
        <v>2058</v>
      </c>
      <c r="E209" s="129"/>
      <c r="F209" s="129"/>
      <c r="G209" s="69" t="str">
        <f>IF(stdProdLT(Main[[#This Row],[Comments]])=0.1,"N/A",IF(stdProdLT(Main[[#This Row],[Comments]])=0,"",stdProdLT(Main[[#This Row],[Comments]])))</f>
        <v/>
      </c>
      <c r="H209" s="138" t="str">
        <f>IF(Main[[#This Row],[In Stock Date]]="N/A", "N/A",IF(AND(Main[[#This Row],[In Stock Date]]&lt;&gt;"",Main[[#This Row],[Revised Due Date]]&lt;&gt;"",Main[[#This Row],[In Stock Date]]&lt;&gt;""),Main[[#This Row],[In Stock Date]]-Main[[#This Row],[Revised Due Date]],""))</f>
        <v/>
      </c>
      <c r="I209" s="139" t="s">
        <v>429</v>
      </c>
      <c r="J209" s="139" t="s">
        <v>70</v>
      </c>
      <c r="K209" s="139" t="s">
        <v>1923</v>
      </c>
      <c r="L209" s="129"/>
      <c r="M209" s="114" t="str">
        <f>IF(Main[[#This Row],[Tech Start Date]]&lt;1/1/1990,"",IF(Main[[#This Row],[Class]]="C",WORKDAY(Main[[#This Row],[Tech Start Date]],9),IF(Main[[#This Row],[Class]]="B", WORKDAY(Main[[#This Row],[Tech Start Date]],6),IF(Main[[#This Row],[Class]]="A",WORKDAY(Main[[#This Row],[Tech Start Date]],2),""))))</f>
        <v/>
      </c>
      <c r="N209" s="114" t="str">
        <f>IF(Main[[#This Row],[Tech Start Date]]&lt;1/1/1990,"",IF(Main[[#This Row],[Class]]="C",WORKDAY(Main[[#This Row],[Tech Start Date]],19),IF(Main[[#This Row],[Class]]="B", WORKDAY(Main[[#This Row],[Tech Start Date]],12),IF(Main[[#This Row],[Class]]="A",WORKDAY(Main[[#This Row],[Tech Start Date]],4),""))))</f>
        <v/>
      </c>
      <c r="O209" s="114" t="str">
        <f>IF(Main[[#This Row],[Tech Start Date]]&lt;1/1/1990,"",IF(Main[[#This Row],[Class]]="C",WORKDAY(Main[[#This Row],[Tech Start Date]],23),IF(Main[[#This Row],[Class]]="B", WORKDAY(Main[[#This Row],[Tech Start Date]],15),IF(Main[[#This Row],[Class]]="A",WORKDAY(Main[[#This Row],[Tech Start Date]],5),""))))</f>
        <v/>
      </c>
      <c r="P209" s="114" t="str">
        <f>IF(Main[[#This Row],[Tech Start Date]]&lt;1/1/1990,"",IF(Main[[#This Row],[Class]]="C",WORKDAY(Main[[#This Row],[Tech Start Date]],28),IF(Main[[#This Row],[Class]]="B", WORKDAY(Main[[#This Row],[Tech Start Date]],19),IF(Main[[#This Row],[Class]]="A",WORKDAY(Main[[#This Row],[Tech Start Date]],9),""))))</f>
        <v/>
      </c>
      <c r="Q209" s="129">
        <v>40786</v>
      </c>
      <c r="R209" s="129"/>
      <c r="S209" s="139" t="s">
        <v>6</v>
      </c>
      <c r="T209" s="115" t="s">
        <v>4</v>
      </c>
      <c r="U209" s="139" t="s">
        <v>14</v>
      </c>
      <c r="V209" s="139" t="s">
        <v>1917</v>
      </c>
      <c r="W209" s="139" t="s">
        <v>1918</v>
      </c>
      <c r="X209" s="139" t="s">
        <v>30</v>
      </c>
      <c r="Y209" s="112" t="s">
        <v>2973</v>
      </c>
      <c r="Z209" s="112" t="s">
        <v>44</v>
      </c>
      <c r="AA209" s="139" t="s">
        <v>3389</v>
      </c>
    </row>
    <row r="210" spans="1:27" ht="17.25" customHeight="1">
      <c r="A210" s="69" t="str">
        <f>IF(priority(Main[[#This Row],[Comments]])&lt;&gt;0, priority(Main[[#This Row],[Comments]]),"")</f>
        <v/>
      </c>
      <c r="B210" s="63" t="s">
        <v>1446</v>
      </c>
      <c r="C210" s="148" t="s">
        <v>4</v>
      </c>
      <c r="D210" s="113" t="s">
        <v>2298</v>
      </c>
      <c r="E210" s="129"/>
      <c r="F210" s="129"/>
      <c r="G210" s="69" t="str">
        <f>IF(stdProdLT(Main[[#This Row],[Comments]])=0.1,"N/A",IF(stdProdLT(Main[[#This Row],[Comments]])=0,"",stdProdLT(Main[[#This Row],[Comments]])))</f>
        <v/>
      </c>
      <c r="H210" s="138" t="str">
        <f>IF(Main[[#This Row],[In Stock Date]]="N/A", "N/A",IF(AND(Main[[#This Row],[In Stock Date]]&lt;&gt;"",Main[[#This Row],[Revised Due Date]]&lt;&gt;"",Main[[#This Row],[In Stock Date]]&lt;&gt;""),Main[[#This Row],[In Stock Date]]-Main[[#This Row],[Revised Due Date]],""))</f>
        <v/>
      </c>
      <c r="I210" s="139" t="s">
        <v>30</v>
      </c>
      <c r="J210" s="139" t="s">
        <v>28</v>
      </c>
      <c r="K210" s="139" t="s">
        <v>1923</v>
      </c>
      <c r="L210" s="129"/>
      <c r="M210" s="114" t="str">
        <f>IF(Main[[#This Row],[Tech Start Date]]&lt;1/1/1990,"",IF(Main[[#This Row],[Class]]="C",WORKDAY(Main[[#This Row],[Tech Start Date]],9),IF(Main[[#This Row],[Class]]="B", WORKDAY(Main[[#This Row],[Tech Start Date]],6),IF(Main[[#This Row],[Class]]="A",WORKDAY(Main[[#This Row],[Tech Start Date]],2),""))))</f>
        <v/>
      </c>
      <c r="N210" s="114" t="str">
        <f>IF(Main[[#This Row],[Tech Start Date]]&lt;1/1/1990,"",IF(Main[[#This Row],[Class]]="C",WORKDAY(Main[[#This Row],[Tech Start Date]],19),IF(Main[[#This Row],[Class]]="B", WORKDAY(Main[[#This Row],[Tech Start Date]],12),IF(Main[[#This Row],[Class]]="A",WORKDAY(Main[[#This Row],[Tech Start Date]],4),""))))</f>
        <v/>
      </c>
      <c r="O210" s="114" t="str">
        <f>IF(Main[[#This Row],[Tech Start Date]]&lt;1/1/1990,"",IF(Main[[#This Row],[Class]]="C",WORKDAY(Main[[#This Row],[Tech Start Date]],23),IF(Main[[#This Row],[Class]]="B", WORKDAY(Main[[#This Row],[Tech Start Date]],15),IF(Main[[#This Row],[Class]]="A",WORKDAY(Main[[#This Row],[Tech Start Date]],5),""))))</f>
        <v/>
      </c>
      <c r="P210" s="114" t="str">
        <f>IF(Main[[#This Row],[Tech Start Date]]&lt;1/1/1990,"",IF(Main[[#This Row],[Class]]="C",WORKDAY(Main[[#This Row],[Tech Start Date]],28),IF(Main[[#This Row],[Class]]="B", WORKDAY(Main[[#This Row],[Tech Start Date]],19),IF(Main[[#This Row],[Class]]="A",WORKDAY(Main[[#This Row],[Tech Start Date]],9),""))))</f>
        <v/>
      </c>
      <c r="Q210" s="129">
        <v>40606</v>
      </c>
      <c r="R210" s="129"/>
      <c r="S210" s="139" t="s">
        <v>6</v>
      </c>
      <c r="T210" s="115" t="s">
        <v>4</v>
      </c>
      <c r="U210" s="139" t="s">
        <v>14</v>
      </c>
      <c r="V210" s="139" t="s">
        <v>1917</v>
      </c>
      <c r="W210" s="139" t="s">
        <v>1918</v>
      </c>
      <c r="X210" s="139" t="s">
        <v>2836</v>
      </c>
      <c r="Y210" s="112" t="s">
        <v>2965</v>
      </c>
      <c r="Z210" s="112" t="s">
        <v>30</v>
      </c>
      <c r="AA210" s="139" t="s">
        <v>2836</v>
      </c>
    </row>
    <row r="211" spans="1:27" ht="17.25" customHeight="1">
      <c r="A211" s="69" t="str">
        <f>IF(priority(Main[[#This Row],[Comments]])&lt;&gt;0, priority(Main[[#This Row],[Comments]]),"")</f>
        <v/>
      </c>
      <c r="B211" s="63" t="s">
        <v>1079</v>
      </c>
      <c r="C211" s="148" t="s">
        <v>67</v>
      </c>
      <c r="D211" s="113" t="s">
        <v>121</v>
      </c>
      <c r="E211" s="129">
        <v>40707.647118055553</v>
      </c>
      <c r="F211" s="129"/>
      <c r="G211" s="69" t="str">
        <f>IF(stdProdLT(Main[[#This Row],[Comments]])=0.1,"N/A",IF(stdProdLT(Main[[#This Row],[Comments]])=0,"",stdProdLT(Main[[#This Row],[Comments]])))</f>
        <v/>
      </c>
      <c r="H211" s="138" t="str">
        <f>IF(Main[[#This Row],[In Stock Date]]="N/A", "N/A",IF(AND(Main[[#This Row],[In Stock Date]]&lt;&gt;"",Main[[#This Row],[Revised Due Date]]&lt;&gt;"",Main[[#This Row],[In Stock Date]]&lt;&gt;""),Main[[#This Row],[In Stock Date]]-Main[[#This Row],[Revised Due Date]],""))</f>
        <v/>
      </c>
      <c r="I211" s="139" t="s">
        <v>4</v>
      </c>
      <c r="J211" s="139" t="s">
        <v>4</v>
      </c>
      <c r="K211" s="139" t="s">
        <v>4</v>
      </c>
      <c r="L211" s="129"/>
      <c r="M211" s="114" t="str">
        <f>IF(Main[[#This Row],[Tech Start Date]]&lt;1/1/1990,"",IF(Main[[#This Row],[Class]]="C",WORKDAY(Main[[#This Row],[Tech Start Date]],9),IF(Main[[#This Row],[Class]]="B", WORKDAY(Main[[#This Row],[Tech Start Date]],6),IF(Main[[#This Row],[Class]]="A",WORKDAY(Main[[#This Row],[Tech Start Date]],2),""))))</f>
        <v/>
      </c>
      <c r="N211" s="114" t="str">
        <f>IF(Main[[#This Row],[Tech Start Date]]&lt;1/1/1990,"",IF(Main[[#This Row],[Class]]="C",WORKDAY(Main[[#This Row],[Tech Start Date]],19),IF(Main[[#This Row],[Class]]="B", WORKDAY(Main[[#This Row],[Tech Start Date]],12),IF(Main[[#This Row],[Class]]="A",WORKDAY(Main[[#This Row],[Tech Start Date]],4),""))))</f>
        <v/>
      </c>
      <c r="O211" s="114" t="str">
        <f>IF(Main[[#This Row],[Tech Start Date]]&lt;1/1/1990,"",IF(Main[[#This Row],[Class]]="C",WORKDAY(Main[[#This Row],[Tech Start Date]],23),IF(Main[[#This Row],[Class]]="B", WORKDAY(Main[[#This Row],[Tech Start Date]],15),IF(Main[[#This Row],[Class]]="A",WORKDAY(Main[[#This Row],[Tech Start Date]],5),""))))</f>
        <v/>
      </c>
      <c r="P211" s="114" t="str">
        <f>IF(Main[[#This Row],[Tech Start Date]]&lt;1/1/1990,"",IF(Main[[#This Row],[Class]]="C",WORKDAY(Main[[#This Row],[Tech Start Date]],28),IF(Main[[#This Row],[Class]]="B", WORKDAY(Main[[#This Row],[Tech Start Date]],19),IF(Main[[#This Row],[Class]]="A",WORKDAY(Main[[#This Row],[Tech Start Date]],9),""))))</f>
        <v/>
      </c>
      <c r="Q211" s="129">
        <v>40755</v>
      </c>
      <c r="R211" s="129"/>
      <c r="S211" s="139" t="s">
        <v>17</v>
      </c>
      <c r="T211" s="115" t="s">
        <v>4</v>
      </c>
      <c r="U211" s="139" t="s">
        <v>7</v>
      </c>
      <c r="V211" s="139" t="s">
        <v>1917</v>
      </c>
      <c r="W211" s="139" t="s">
        <v>1919</v>
      </c>
      <c r="X211" s="139" t="s">
        <v>553</v>
      </c>
      <c r="Y211" s="112" t="s">
        <v>2952</v>
      </c>
      <c r="Z211" s="112" t="s">
        <v>4</v>
      </c>
      <c r="AA211" s="139" t="s">
        <v>553</v>
      </c>
    </row>
    <row r="212" spans="1:27" ht="17.25" customHeight="1">
      <c r="A212" s="69" t="str">
        <f>IF(priority(Main[[#This Row],[Comments]])&lt;&gt;0, priority(Main[[#This Row],[Comments]]),"")</f>
        <v/>
      </c>
      <c r="B212" s="63" t="s">
        <v>1077</v>
      </c>
      <c r="C212" s="148" t="s">
        <v>4</v>
      </c>
      <c r="D212" s="113" t="s">
        <v>120</v>
      </c>
      <c r="E212" s="129"/>
      <c r="F212" s="129"/>
      <c r="G212" s="69" t="str">
        <f>IF(stdProdLT(Main[[#This Row],[Comments]])=0.1,"N/A",IF(stdProdLT(Main[[#This Row],[Comments]])=0,"",stdProdLT(Main[[#This Row],[Comments]])))</f>
        <v/>
      </c>
      <c r="H212" s="138" t="str">
        <f>IF(Main[[#This Row],[In Stock Date]]="N/A", "N/A",IF(AND(Main[[#This Row],[In Stock Date]]&lt;&gt;"",Main[[#This Row],[Revised Due Date]]&lt;&gt;"",Main[[#This Row],[In Stock Date]]&lt;&gt;""),Main[[#This Row],[In Stock Date]]-Main[[#This Row],[Revised Due Date]],""))</f>
        <v/>
      </c>
      <c r="I212" s="139" t="s">
        <v>4</v>
      </c>
      <c r="J212" s="139" t="s">
        <v>4</v>
      </c>
      <c r="K212" s="139" t="s">
        <v>4</v>
      </c>
      <c r="L212" s="129"/>
      <c r="M212" s="114" t="str">
        <f>IF(Main[[#This Row],[Tech Start Date]]&lt;1/1/1990,"",IF(Main[[#This Row],[Class]]="C",WORKDAY(Main[[#This Row],[Tech Start Date]],9),IF(Main[[#This Row],[Class]]="B", WORKDAY(Main[[#This Row],[Tech Start Date]],6),IF(Main[[#This Row],[Class]]="A",WORKDAY(Main[[#This Row],[Tech Start Date]],2),""))))</f>
        <v/>
      </c>
      <c r="N212" s="114" t="str">
        <f>IF(Main[[#This Row],[Tech Start Date]]&lt;1/1/1990,"",IF(Main[[#This Row],[Class]]="C",WORKDAY(Main[[#This Row],[Tech Start Date]],19),IF(Main[[#This Row],[Class]]="B", WORKDAY(Main[[#This Row],[Tech Start Date]],12),IF(Main[[#This Row],[Class]]="A",WORKDAY(Main[[#This Row],[Tech Start Date]],4),""))))</f>
        <v/>
      </c>
      <c r="O212" s="114" t="str">
        <f>IF(Main[[#This Row],[Tech Start Date]]&lt;1/1/1990,"",IF(Main[[#This Row],[Class]]="C",WORKDAY(Main[[#This Row],[Tech Start Date]],23),IF(Main[[#This Row],[Class]]="B", WORKDAY(Main[[#This Row],[Tech Start Date]],15),IF(Main[[#This Row],[Class]]="A",WORKDAY(Main[[#This Row],[Tech Start Date]],5),""))))</f>
        <v/>
      </c>
      <c r="P212" s="114" t="str">
        <f>IF(Main[[#This Row],[Tech Start Date]]&lt;1/1/1990,"",IF(Main[[#This Row],[Class]]="C",WORKDAY(Main[[#This Row],[Tech Start Date]],28),IF(Main[[#This Row],[Class]]="B", WORKDAY(Main[[#This Row],[Tech Start Date]],19),IF(Main[[#This Row],[Class]]="A",WORKDAY(Main[[#This Row],[Tech Start Date]],9),""))))</f>
        <v/>
      </c>
      <c r="Q212" s="129"/>
      <c r="R212" s="129"/>
      <c r="S212" s="139" t="s">
        <v>11</v>
      </c>
      <c r="T212" s="115" t="s">
        <v>4</v>
      </c>
      <c r="U212" s="139" t="s">
        <v>14</v>
      </c>
      <c r="V212" s="139" t="s">
        <v>1917</v>
      </c>
      <c r="W212" s="139" t="s">
        <v>1928</v>
      </c>
      <c r="X212" s="139" t="s">
        <v>2842</v>
      </c>
      <c r="Y212" s="112" t="s">
        <v>2974</v>
      </c>
      <c r="Z212" s="112" t="s">
        <v>4</v>
      </c>
      <c r="AA212" s="139" t="s">
        <v>2842</v>
      </c>
    </row>
    <row r="213" spans="1:27" ht="17.25" customHeight="1">
      <c r="A213" s="69" t="str">
        <f>IF(priority(Main[[#This Row],[Comments]])&lt;&gt;0, priority(Main[[#This Row],[Comments]]),"")</f>
        <v/>
      </c>
      <c r="B213" s="63" t="s">
        <v>1039</v>
      </c>
      <c r="C213" s="148" t="s">
        <v>4</v>
      </c>
      <c r="D213" s="113" t="s">
        <v>62</v>
      </c>
      <c r="E213" s="129"/>
      <c r="F213" s="129"/>
      <c r="G213" s="69" t="str">
        <f>IF(stdProdLT(Main[[#This Row],[Comments]])=0.1,"N/A",IF(stdProdLT(Main[[#This Row],[Comments]])=0,"",stdProdLT(Main[[#This Row],[Comments]])))</f>
        <v/>
      </c>
      <c r="H213" s="138" t="str">
        <f>IF(Main[[#This Row],[In Stock Date]]="N/A", "N/A",IF(AND(Main[[#This Row],[In Stock Date]]&lt;&gt;"",Main[[#This Row],[Revised Due Date]]&lt;&gt;"",Main[[#This Row],[In Stock Date]]&lt;&gt;""),Main[[#This Row],[In Stock Date]]-Main[[#This Row],[Revised Due Date]],""))</f>
        <v/>
      </c>
      <c r="I213" s="139" t="s">
        <v>44</v>
      </c>
      <c r="J213" s="139" t="s">
        <v>28</v>
      </c>
      <c r="K213" s="139" t="s">
        <v>1923</v>
      </c>
      <c r="L213" s="129"/>
      <c r="M213" s="114" t="str">
        <f>IF(Main[[#This Row],[Tech Start Date]]&lt;1/1/1990,"",IF(Main[[#This Row],[Class]]="C",WORKDAY(Main[[#This Row],[Tech Start Date]],9),IF(Main[[#This Row],[Class]]="B", WORKDAY(Main[[#This Row],[Tech Start Date]],6),IF(Main[[#This Row],[Class]]="A",WORKDAY(Main[[#This Row],[Tech Start Date]],2),""))))</f>
        <v/>
      </c>
      <c r="N213" s="114" t="str">
        <f>IF(Main[[#This Row],[Tech Start Date]]&lt;1/1/1990,"",IF(Main[[#This Row],[Class]]="C",WORKDAY(Main[[#This Row],[Tech Start Date]],19),IF(Main[[#This Row],[Class]]="B", WORKDAY(Main[[#This Row],[Tech Start Date]],12),IF(Main[[#This Row],[Class]]="A",WORKDAY(Main[[#This Row],[Tech Start Date]],4),""))))</f>
        <v/>
      </c>
      <c r="O213" s="114" t="str">
        <f>IF(Main[[#This Row],[Tech Start Date]]&lt;1/1/1990,"",IF(Main[[#This Row],[Class]]="C",WORKDAY(Main[[#This Row],[Tech Start Date]],23),IF(Main[[#This Row],[Class]]="B", WORKDAY(Main[[#This Row],[Tech Start Date]],15),IF(Main[[#This Row],[Class]]="A",WORKDAY(Main[[#This Row],[Tech Start Date]],5),""))))</f>
        <v/>
      </c>
      <c r="P213" s="114" t="str">
        <f>IF(Main[[#This Row],[Tech Start Date]]&lt;1/1/1990,"",IF(Main[[#This Row],[Class]]="C",WORKDAY(Main[[#This Row],[Tech Start Date]],28),IF(Main[[#This Row],[Class]]="B", WORKDAY(Main[[#This Row],[Tech Start Date]],19),IF(Main[[#This Row],[Class]]="A",WORKDAY(Main[[#This Row],[Tech Start Date]],9),""))))</f>
        <v/>
      </c>
      <c r="Q213" s="129"/>
      <c r="R213" s="129"/>
      <c r="S213" s="139" t="s">
        <v>23</v>
      </c>
      <c r="T213" s="115" t="s">
        <v>4</v>
      </c>
      <c r="U213" s="139" t="s">
        <v>14</v>
      </c>
      <c r="V213" s="139" t="s">
        <v>1917</v>
      </c>
      <c r="W213" s="139" t="s">
        <v>1916</v>
      </c>
      <c r="X213" s="139" t="s">
        <v>102</v>
      </c>
      <c r="Y213" s="112" t="s">
        <v>4</v>
      </c>
      <c r="Z213" s="112" t="s">
        <v>44</v>
      </c>
      <c r="AA213" s="139" t="s">
        <v>3379</v>
      </c>
    </row>
    <row r="214" spans="1:27" ht="17.25" customHeight="1">
      <c r="A214" s="69" t="str">
        <f>IF(priority(Main[[#This Row],[Comments]])&lt;&gt;0, priority(Main[[#This Row],[Comments]]),"")</f>
        <v/>
      </c>
      <c r="B214" s="63" t="s">
        <v>1040</v>
      </c>
      <c r="C214" s="148" t="s">
        <v>63</v>
      </c>
      <c r="D214" s="113" t="s">
        <v>64</v>
      </c>
      <c r="E214" s="129"/>
      <c r="F214" s="129">
        <v>40513</v>
      </c>
      <c r="G214" s="69" t="str">
        <f>IF(stdProdLT(Main[[#This Row],[Comments]])=0.1,"N/A",IF(stdProdLT(Main[[#This Row],[Comments]])=0,"",stdProdLT(Main[[#This Row],[Comments]])))</f>
        <v/>
      </c>
      <c r="H214" s="138" t="str">
        <f>IF(Main[[#This Row],[In Stock Date]]="N/A", "N/A",IF(AND(Main[[#This Row],[In Stock Date]]&lt;&gt;"",Main[[#This Row],[Revised Due Date]]&lt;&gt;"",Main[[#This Row],[In Stock Date]]&lt;&gt;""),Main[[#This Row],[In Stock Date]]-Main[[#This Row],[Revised Due Date]],""))</f>
        <v/>
      </c>
      <c r="I214" s="139" t="s">
        <v>65</v>
      </c>
      <c r="J214" s="139" t="s">
        <v>28</v>
      </c>
      <c r="K214" s="139" t="s">
        <v>4</v>
      </c>
      <c r="L214" s="129"/>
      <c r="M214" s="114" t="str">
        <f>IF(Main[[#This Row],[Tech Start Date]]&lt;1/1/1990,"",IF(Main[[#This Row],[Class]]="C",WORKDAY(Main[[#This Row],[Tech Start Date]],9),IF(Main[[#This Row],[Class]]="B", WORKDAY(Main[[#This Row],[Tech Start Date]],6),IF(Main[[#This Row],[Class]]="A",WORKDAY(Main[[#This Row],[Tech Start Date]],2),""))))</f>
        <v/>
      </c>
      <c r="N214" s="114" t="str">
        <f>IF(Main[[#This Row],[Tech Start Date]]&lt;1/1/1990,"",IF(Main[[#This Row],[Class]]="C",WORKDAY(Main[[#This Row],[Tech Start Date]],19),IF(Main[[#This Row],[Class]]="B", WORKDAY(Main[[#This Row],[Tech Start Date]],12),IF(Main[[#This Row],[Class]]="A",WORKDAY(Main[[#This Row],[Tech Start Date]],4),""))))</f>
        <v/>
      </c>
      <c r="O214" s="114" t="str">
        <f>IF(Main[[#This Row],[Tech Start Date]]&lt;1/1/1990,"",IF(Main[[#This Row],[Class]]="C",WORKDAY(Main[[#This Row],[Tech Start Date]],23),IF(Main[[#This Row],[Class]]="B", WORKDAY(Main[[#This Row],[Tech Start Date]],15),IF(Main[[#This Row],[Class]]="A",WORKDAY(Main[[#This Row],[Tech Start Date]],5),""))))</f>
        <v/>
      </c>
      <c r="P214" s="114" t="str">
        <f>IF(Main[[#This Row],[Tech Start Date]]&lt;1/1/1990,"",IF(Main[[#This Row],[Class]]="C",WORKDAY(Main[[#This Row],[Tech Start Date]],28),IF(Main[[#This Row],[Class]]="B", WORKDAY(Main[[#This Row],[Tech Start Date]],19),IF(Main[[#This Row],[Class]]="A",WORKDAY(Main[[#This Row],[Tech Start Date]],9),""))))</f>
        <v/>
      </c>
      <c r="Q214" s="129">
        <v>40513</v>
      </c>
      <c r="R214" s="129"/>
      <c r="S214" s="139" t="s">
        <v>11</v>
      </c>
      <c r="T214" s="115" t="s">
        <v>4</v>
      </c>
      <c r="U214" s="139" t="s">
        <v>14</v>
      </c>
      <c r="V214" s="139" t="s">
        <v>1917</v>
      </c>
      <c r="W214" s="139" t="s">
        <v>1919</v>
      </c>
      <c r="X214" s="139" t="s">
        <v>2815</v>
      </c>
      <c r="Y214" s="112" t="s">
        <v>2927</v>
      </c>
      <c r="Z214" s="112" t="s">
        <v>530</v>
      </c>
      <c r="AA214" s="139" t="s">
        <v>2815</v>
      </c>
    </row>
    <row r="215" spans="1:27" ht="17.25" customHeight="1">
      <c r="A215" s="69" t="str">
        <f>IF(priority(Main[[#This Row],[Comments]])&lt;&gt;0, priority(Main[[#This Row],[Comments]]),"")</f>
        <v/>
      </c>
      <c r="B215" s="63" t="s">
        <v>2049</v>
      </c>
      <c r="C215" s="148" t="s">
        <v>692</v>
      </c>
      <c r="D215" s="113" t="s">
        <v>2050</v>
      </c>
      <c r="E215" s="129"/>
      <c r="F215" s="129"/>
      <c r="G215" s="69" t="str">
        <f>IF(stdProdLT(Main[[#This Row],[Comments]])=0.1,"N/A",IF(stdProdLT(Main[[#This Row],[Comments]])=0,"",stdProdLT(Main[[#This Row],[Comments]])))</f>
        <v/>
      </c>
      <c r="H215" s="138" t="str">
        <f>IF(Main[[#This Row],[In Stock Date]]="N/A", "N/A",IF(AND(Main[[#This Row],[In Stock Date]]&lt;&gt;"",Main[[#This Row],[Revised Due Date]]&lt;&gt;"",Main[[#This Row],[In Stock Date]]&lt;&gt;""),Main[[#This Row],[In Stock Date]]-Main[[#This Row],[Revised Due Date]],""))</f>
        <v/>
      </c>
      <c r="I215" s="139" t="s">
        <v>4</v>
      </c>
      <c r="J215" s="139" t="s">
        <v>4</v>
      </c>
      <c r="K215" s="139" t="s">
        <v>4</v>
      </c>
      <c r="L215" s="129"/>
      <c r="M215" s="114" t="str">
        <f>IF(Main[[#This Row],[Tech Start Date]]&lt;1/1/1990,"",IF(Main[[#This Row],[Class]]="C",WORKDAY(Main[[#This Row],[Tech Start Date]],9),IF(Main[[#This Row],[Class]]="B", WORKDAY(Main[[#This Row],[Tech Start Date]],6),IF(Main[[#This Row],[Class]]="A",WORKDAY(Main[[#This Row],[Tech Start Date]],2),""))))</f>
        <v/>
      </c>
      <c r="N215" s="114" t="str">
        <f>IF(Main[[#This Row],[Tech Start Date]]&lt;1/1/1990,"",IF(Main[[#This Row],[Class]]="C",WORKDAY(Main[[#This Row],[Tech Start Date]],19),IF(Main[[#This Row],[Class]]="B", WORKDAY(Main[[#This Row],[Tech Start Date]],12),IF(Main[[#This Row],[Class]]="A",WORKDAY(Main[[#This Row],[Tech Start Date]],4),""))))</f>
        <v/>
      </c>
      <c r="O215" s="114" t="str">
        <f>IF(Main[[#This Row],[Tech Start Date]]&lt;1/1/1990,"",IF(Main[[#This Row],[Class]]="C",WORKDAY(Main[[#This Row],[Tech Start Date]],23),IF(Main[[#This Row],[Class]]="B", WORKDAY(Main[[#This Row],[Tech Start Date]],15),IF(Main[[#This Row],[Class]]="A",WORKDAY(Main[[#This Row],[Tech Start Date]],5),""))))</f>
        <v/>
      </c>
      <c r="P215" s="114" t="str">
        <f>IF(Main[[#This Row],[Tech Start Date]]&lt;1/1/1990,"",IF(Main[[#This Row],[Class]]="C",WORKDAY(Main[[#This Row],[Tech Start Date]],28),IF(Main[[#This Row],[Class]]="B", WORKDAY(Main[[#This Row],[Tech Start Date]],19),IF(Main[[#This Row],[Class]]="A",WORKDAY(Main[[#This Row],[Tech Start Date]],9),""))))</f>
        <v/>
      </c>
      <c r="Q215" s="129">
        <v>40760</v>
      </c>
      <c r="R215" s="129"/>
      <c r="S215" s="139" t="s">
        <v>11</v>
      </c>
      <c r="T215" s="115" t="s">
        <v>4</v>
      </c>
      <c r="U215" s="139" t="s">
        <v>14</v>
      </c>
      <c r="V215" s="139" t="s">
        <v>1915</v>
      </c>
      <c r="W215" s="139" t="s">
        <v>1916</v>
      </c>
      <c r="X215" s="139" t="s">
        <v>2816</v>
      </c>
      <c r="Y215" s="112" t="s">
        <v>4</v>
      </c>
      <c r="Z215" s="112" t="s">
        <v>4</v>
      </c>
      <c r="AA215" s="139" t="s">
        <v>2816</v>
      </c>
    </row>
    <row r="216" spans="1:27" ht="17.25" customHeight="1">
      <c r="A216" s="69" t="str">
        <f>IF(priority(Main[[#This Row],[Comments]])&lt;&gt;0, priority(Main[[#This Row],[Comments]]),"")</f>
        <v/>
      </c>
      <c r="B216" s="63" t="s">
        <v>1031</v>
      </c>
      <c r="C216" s="148" t="s">
        <v>53</v>
      </c>
      <c r="D216" s="113" t="s">
        <v>54</v>
      </c>
      <c r="E216" s="129"/>
      <c r="F216" s="129"/>
      <c r="G216" s="69" t="str">
        <f>IF(stdProdLT(Main[[#This Row],[Comments]])=0.1,"N/A",IF(stdProdLT(Main[[#This Row],[Comments]])=0,"",stdProdLT(Main[[#This Row],[Comments]])))</f>
        <v/>
      </c>
      <c r="H216" s="138" t="str">
        <f>IF(Main[[#This Row],[In Stock Date]]="N/A", "N/A",IF(AND(Main[[#This Row],[In Stock Date]]&lt;&gt;"",Main[[#This Row],[Revised Due Date]]&lt;&gt;"",Main[[#This Row],[In Stock Date]]&lt;&gt;""),Main[[#This Row],[In Stock Date]]-Main[[#This Row],[Revised Due Date]],""))</f>
        <v/>
      </c>
      <c r="I216" s="139" t="s">
        <v>4</v>
      </c>
      <c r="J216" s="139" t="s">
        <v>28</v>
      </c>
      <c r="K216" s="139" t="s">
        <v>1927</v>
      </c>
      <c r="L216" s="129"/>
      <c r="M216" s="114" t="str">
        <f>IF(Main[[#This Row],[Tech Start Date]]&lt;1/1/1990,"",IF(Main[[#This Row],[Class]]="C",WORKDAY(Main[[#This Row],[Tech Start Date]],9),IF(Main[[#This Row],[Class]]="B", WORKDAY(Main[[#This Row],[Tech Start Date]],6),IF(Main[[#This Row],[Class]]="A",WORKDAY(Main[[#This Row],[Tech Start Date]],2),""))))</f>
        <v/>
      </c>
      <c r="N216" s="114" t="str">
        <f>IF(Main[[#This Row],[Tech Start Date]]&lt;1/1/1990,"",IF(Main[[#This Row],[Class]]="C",WORKDAY(Main[[#This Row],[Tech Start Date]],19),IF(Main[[#This Row],[Class]]="B", WORKDAY(Main[[#This Row],[Tech Start Date]],12),IF(Main[[#This Row],[Class]]="A",WORKDAY(Main[[#This Row],[Tech Start Date]],4),""))))</f>
        <v/>
      </c>
      <c r="O216" s="114" t="str">
        <f>IF(Main[[#This Row],[Tech Start Date]]&lt;1/1/1990,"",IF(Main[[#This Row],[Class]]="C",WORKDAY(Main[[#This Row],[Tech Start Date]],23),IF(Main[[#This Row],[Class]]="B", WORKDAY(Main[[#This Row],[Tech Start Date]],15),IF(Main[[#This Row],[Class]]="A",WORKDAY(Main[[#This Row],[Tech Start Date]],5),""))))</f>
        <v/>
      </c>
      <c r="P216" s="114" t="str">
        <f>IF(Main[[#This Row],[Tech Start Date]]&lt;1/1/1990,"",IF(Main[[#This Row],[Class]]="C",WORKDAY(Main[[#This Row],[Tech Start Date]],28),IF(Main[[#This Row],[Class]]="B", WORKDAY(Main[[#This Row],[Tech Start Date]],19),IF(Main[[#This Row],[Class]]="A",WORKDAY(Main[[#This Row],[Tech Start Date]],9),""))))</f>
        <v/>
      </c>
      <c r="Q216" s="129">
        <v>40626</v>
      </c>
      <c r="R216" s="129"/>
      <c r="S216" s="139" t="s">
        <v>11</v>
      </c>
      <c r="T216" s="115" t="s">
        <v>4</v>
      </c>
      <c r="U216" s="139" t="s">
        <v>14</v>
      </c>
      <c r="V216" s="139" t="s">
        <v>1915</v>
      </c>
      <c r="W216" s="139" t="s">
        <v>1916</v>
      </c>
      <c r="X216" s="139" t="s">
        <v>2816</v>
      </c>
      <c r="Y216" s="112" t="s">
        <v>2928</v>
      </c>
      <c r="Z216" s="112" t="s">
        <v>3159</v>
      </c>
      <c r="AA216" s="139" t="s">
        <v>2816</v>
      </c>
    </row>
    <row r="217" spans="1:27" ht="17.25" customHeight="1">
      <c r="A217" s="69" t="str">
        <f>IF(priority(Main[[#This Row],[Comments]])&lt;&gt;0, priority(Main[[#This Row],[Comments]]),"")</f>
        <v/>
      </c>
      <c r="B217" s="63" t="s">
        <v>1032</v>
      </c>
      <c r="C217" s="148" t="s">
        <v>4</v>
      </c>
      <c r="D217" s="113" t="s">
        <v>55</v>
      </c>
      <c r="E217" s="129"/>
      <c r="F217" s="129"/>
      <c r="G217" s="69" t="str">
        <f>IF(stdProdLT(Main[[#This Row],[Comments]])=0.1,"N/A",IF(stdProdLT(Main[[#This Row],[Comments]])=0,"",stdProdLT(Main[[#This Row],[Comments]])))</f>
        <v/>
      </c>
      <c r="H217" s="138" t="str">
        <f>IF(Main[[#This Row],[In Stock Date]]="N/A", "N/A",IF(AND(Main[[#This Row],[In Stock Date]]&lt;&gt;"",Main[[#This Row],[Revised Due Date]]&lt;&gt;"",Main[[#This Row],[In Stock Date]]&lt;&gt;""),Main[[#This Row],[In Stock Date]]-Main[[#This Row],[Revised Due Date]],""))</f>
        <v/>
      </c>
      <c r="I217" s="139" t="s">
        <v>4</v>
      </c>
      <c r="J217" s="139" t="s">
        <v>4</v>
      </c>
      <c r="K217" s="139" t="s">
        <v>4</v>
      </c>
      <c r="L217" s="129"/>
      <c r="M217" s="114" t="str">
        <f>IF(Main[[#This Row],[Tech Start Date]]&lt;1/1/1990,"",IF(Main[[#This Row],[Class]]="C",WORKDAY(Main[[#This Row],[Tech Start Date]],9),IF(Main[[#This Row],[Class]]="B", WORKDAY(Main[[#This Row],[Tech Start Date]],6),IF(Main[[#This Row],[Class]]="A",WORKDAY(Main[[#This Row],[Tech Start Date]],2),""))))</f>
        <v/>
      </c>
      <c r="N217" s="114" t="str">
        <f>IF(Main[[#This Row],[Tech Start Date]]&lt;1/1/1990,"",IF(Main[[#This Row],[Class]]="C",WORKDAY(Main[[#This Row],[Tech Start Date]],19),IF(Main[[#This Row],[Class]]="B", WORKDAY(Main[[#This Row],[Tech Start Date]],12),IF(Main[[#This Row],[Class]]="A",WORKDAY(Main[[#This Row],[Tech Start Date]],4),""))))</f>
        <v/>
      </c>
      <c r="O217" s="114" t="str">
        <f>IF(Main[[#This Row],[Tech Start Date]]&lt;1/1/1990,"",IF(Main[[#This Row],[Class]]="C",WORKDAY(Main[[#This Row],[Tech Start Date]],23),IF(Main[[#This Row],[Class]]="B", WORKDAY(Main[[#This Row],[Tech Start Date]],15),IF(Main[[#This Row],[Class]]="A",WORKDAY(Main[[#This Row],[Tech Start Date]],5),""))))</f>
        <v/>
      </c>
      <c r="P217" s="114" t="str">
        <f>IF(Main[[#This Row],[Tech Start Date]]&lt;1/1/1990,"",IF(Main[[#This Row],[Class]]="C",WORKDAY(Main[[#This Row],[Tech Start Date]],28),IF(Main[[#This Row],[Class]]="B", WORKDAY(Main[[#This Row],[Tech Start Date]],19),IF(Main[[#This Row],[Class]]="A",WORKDAY(Main[[#This Row],[Tech Start Date]],9),""))))</f>
        <v/>
      </c>
      <c r="Q217" s="129"/>
      <c r="R217" s="129"/>
      <c r="S217" s="139" t="s">
        <v>6</v>
      </c>
      <c r="T217" s="115" t="s">
        <v>4</v>
      </c>
      <c r="U217" s="139" t="s">
        <v>14</v>
      </c>
      <c r="V217" s="139" t="s">
        <v>1917</v>
      </c>
      <c r="W217" s="139" t="s">
        <v>1918</v>
      </c>
      <c r="X217" s="139" t="s">
        <v>306</v>
      </c>
      <c r="Y217" s="112" t="s">
        <v>4</v>
      </c>
      <c r="Z217" s="112" t="s">
        <v>4</v>
      </c>
      <c r="AA217" s="139" t="s">
        <v>4</v>
      </c>
    </row>
    <row r="218" spans="1:27" ht="17.25" customHeight="1">
      <c r="A218" s="69" t="str">
        <f>IF(priority(Main[[#This Row],[Comments]])&lt;&gt;0, priority(Main[[#This Row],[Comments]]),"")</f>
        <v/>
      </c>
      <c r="B218" s="63" t="s">
        <v>1033</v>
      </c>
      <c r="C218" s="148" t="s">
        <v>4</v>
      </c>
      <c r="D218" s="113" t="s">
        <v>56</v>
      </c>
      <c r="E218" s="129"/>
      <c r="F218" s="129"/>
      <c r="G218" s="69" t="str">
        <f>IF(stdProdLT(Main[[#This Row],[Comments]])=0.1,"N/A",IF(stdProdLT(Main[[#This Row],[Comments]])=0,"",stdProdLT(Main[[#This Row],[Comments]])))</f>
        <v/>
      </c>
      <c r="H218" s="138" t="str">
        <f>IF(Main[[#This Row],[In Stock Date]]="N/A", "N/A",IF(AND(Main[[#This Row],[In Stock Date]]&lt;&gt;"",Main[[#This Row],[Revised Due Date]]&lt;&gt;"",Main[[#This Row],[In Stock Date]]&lt;&gt;""),Main[[#This Row],[In Stock Date]]-Main[[#This Row],[Revised Due Date]],""))</f>
        <v/>
      </c>
      <c r="I218" s="139" t="s">
        <v>4</v>
      </c>
      <c r="J218" s="139" t="s">
        <v>4</v>
      </c>
      <c r="K218" s="139" t="s">
        <v>4</v>
      </c>
      <c r="L218" s="129"/>
      <c r="M218" s="114" t="str">
        <f>IF(Main[[#This Row],[Tech Start Date]]&lt;1/1/1990,"",IF(Main[[#This Row],[Class]]="C",WORKDAY(Main[[#This Row],[Tech Start Date]],9),IF(Main[[#This Row],[Class]]="B", WORKDAY(Main[[#This Row],[Tech Start Date]],6),IF(Main[[#This Row],[Class]]="A",WORKDAY(Main[[#This Row],[Tech Start Date]],2),""))))</f>
        <v/>
      </c>
      <c r="N218" s="114" t="str">
        <f>IF(Main[[#This Row],[Tech Start Date]]&lt;1/1/1990,"",IF(Main[[#This Row],[Class]]="C",WORKDAY(Main[[#This Row],[Tech Start Date]],19),IF(Main[[#This Row],[Class]]="B", WORKDAY(Main[[#This Row],[Tech Start Date]],12),IF(Main[[#This Row],[Class]]="A",WORKDAY(Main[[#This Row],[Tech Start Date]],4),""))))</f>
        <v/>
      </c>
      <c r="O218" s="114" t="str">
        <f>IF(Main[[#This Row],[Tech Start Date]]&lt;1/1/1990,"",IF(Main[[#This Row],[Class]]="C",WORKDAY(Main[[#This Row],[Tech Start Date]],23),IF(Main[[#This Row],[Class]]="B", WORKDAY(Main[[#This Row],[Tech Start Date]],15),IF(Main[[#This Row],[Class]]="A",WORKDAY(Main[[#This Row],[Tech Start Date]],5),""))))</f>
        <v/>
      </c>
      <c r="P218" s="114" t="str">
        <f>IF(Main[[#This Row],[Tech Start Date]]&lt;1/1/1990,"",IF(Main[[#This Row],[Class]]="C",WORKDAY(Main[[#This Row],[Tech Start Date]],28),IF(Main[[#This Row],[Class]]="B", WORKDAY(Main[[#This Row],[Tech Start Date]],19),IF(Main[[#This Row],[Class]]="A",WORKDAY(Main[[#This Row],[Tech Start Date]],9),""))))</f>
        <v/>
      </c>
      <c r="Q218" s="129"/>
      <c r="R218" s="129"/>
      <c r="S218" s="139" t="s">
        <v>49</v>
      </c>
      <c r="T218" s="115" t="s">
        <v>4</v>
      </c>
      <c r="U218" s="139" t="s">
        <v>14</v>
      </c>
      <c r="V218" s="139" t="s">
        <v>1917</v>
      </c>
      <c r="W218" s="139" t="s">
        <v>1918</v>
      </c>
      <c r="X218" s="139" t="s">
        <v>306</v>
      </c>
      <c r="Y218" s="112" t="s">
        <v>4</v>
      </c>
      <c r="Z218" s="112" t="s">
        <v>4</v>
      </c>
      <c r="AA218" s="139" t="s">
        <v>4</v>
      </c>
    </row>
    <row r="219" spans="1:27" ht="17.25" customHeight="1">
      <c r="A219" s="69" t="str">
        <f>IF(priority(Main[[#This Row],[Comments]])&lt;&gt;0, priority(Main[[#This Row],[Comments]]),"")</f>
        <v/>
      </c>
      <c r="B219" s="63" t="s">
        <v>1034</v>
      </c>
      <c r="C219" s="148" t="s">
        <v>4</v>
      </c>
      <c r="D219" s="113" t="s">
        <v>57</v>
      </c>
      <c r="E219" s="129"/>
      <c r="F219" s="129"/>
      <c r="G219" s="69" t="str">
        <f>IF(stdProdLT(Main[[#This Row],[Comments]])=0.1,"N/A",IF(stdProdLT(Main[[#This Row],[Comments]])=0,"",stdProdLT(Main[[#This Row],[Comments]])))</f>
        <v/>
      </c>
      <c r="H219" s="138" t="str">
        <f>IF(Main[[#This Row],[In Stock Date]]="N/A", "N/A",IF(AND(Main[[#This Row],[In Stock Date]]&lt;&gt;"",Main[[#This Row],[Revised Due Date]]&lt;&gt;"",Main[[#This Row],[In Stock Date]]&lt;&gt;""),Main[[#This Row],[In Stock Date]]-Main[[#This Row],[Revised Due Date]],""))</f>
        <v/>
      </c>
      <c r="I219" s="139" t="s">
        <v>4</v>
      </c>
      <c r="J219" s="139" t="s">
        <v>4</v>
      </c>
      <c r="K219" s="139" t="s">
        <v>4</v>
      </c>
      <c r="L219" s="129"/>
      <c r="M219" s="114" t="str">
        <f>IF(Main[[#This Row],[Tech Start Date]]&lt;1/1/1990,"",IF(Main[[#This Row],[Class]]="C",WORKDAY(Main[[#This Row],[Tech Start Date]],9),IF(Main[[#This Row],[Class]]="B", WORKDAY(Main[[#This Row],[Tech Start Date]],6),IF(Main[[#This Row],[Class]]="A",WORKDAY(Main[[#This Row],[Tech Start Date]],2),""))))</f>
        <v/>
      </c>
      <c r="N219" s="114" t="str">
        <f>IF(Main[[#This Row],[Tech Start Date]]&lt;1/1/1990,"",IF(Main[[#This Row],[Class]]="C",WORKDAY(Main[[#This Row],[Tech Start Date]],19),IF(Main[[#This Row],[Class]]="B", WORKDAY(Main[[#This Row],[Tech Start Date]],12),IF(Main[[#This Row],[Class]]="A",WORKDAY(Main[[#This Row],[Tech Start Date]],4),""))))</f>
        <v/>
      </c>
      <c r="O219" s="114" t="str">
        <f>IF(Main[[#This Row],[Tech Start Date]]&lt;1/1/1990,"",IF(Main[[#This Row],[Class]]="C",WORKDAY(Main[[#This Row],[Tech Start Date]],23),IF(Main[[#This Row],[Class]]="B", WORKDAY(Main[[#This Row],[Tech Start Date]],15),IF(Main[[#This Row],[Class]]="A",WORKDAY(Main[[#This Row],[Tech Start Date]],5),""))))</f>
        <v/>
      </c>
      <c r="P219" s="114" t="str">
        <f>IF(Main[[#This Row],[Tech Start Date]]&lt;1/1/1990,"",IF(Main[[#This Row],[Class]]="C",WORKDAY(Main[[#This Row],[Tech Start Date]],28),IF(Main[[#This Row],[Class]]="B", WORKDAY(Main[[#This Row],[Tech Start Date]],19),IF(Main[[#This Row],[Class]]="A",WORKDAY(Main[[#This Row],[Tech Start Date]],9),""))))</f>
        <v/>
      </c>
      <c r="Q219" s="129"/>
      <c r="R219" s="129"/>
      <c r="S219" s="139" t="s">
        <v>49</v>
      </c>
      <c r="T219" s="115" t="s">
        <v>4</v>
      </c>
      <c r="U219" s="139" t="s">
        <v>14</v>
      </c>
      <c r="V219" s="139" t="s">
        <v>1924</v>
      </c>
      <c r="W219" s="139" t="s">
        <v>1918</v>
      </c>
      <c r="X219" s="139" t="s">
        <v>306</v>
      </c>
      <c r="Y219" s="112" t="s">
        <v>4</v>
      </c>
      <c r="Z219" s="112" t="s">
        <v>4</v>
      </c>
      <c r="AA219" s="139" t="s">
        <v>4</v>
      </c>
    </row>
    <row r="220" spans="1:27" ht="17.25" customHeight="1">
      <c r="A220" s="69" t="str">
        <f>IF(priority(Main[[#This Row],[Comments]])&lt;&gt;0, priority(Main[[#This Row],[Comments]]),"")</f>
        <v/>
      </c>
      <c r="B220" s="63" t="s">
        <v>1035</v>
      </c>
      <c r="C220" s="148" t="s">
        <v>58</v>
      </c>
      <c r="D220" s="113" t="s">
        <v>59</v>
      </c>
      <c r="E220" s="129"/>
      <c r="F220" s="129"/>
      <c r="G220" s="69" t="str">
        <f>IF(stdProdLT(Main[[#This Row],[Comments]])=0.1,"N/A",IF(stdProdLT(Main[[#This Row],[Comments]])=0,"",stdProdLT(Main[[#This Row],[Comments]])))</f>
        <v/>
      </c>
      <c r="H220" s="138" t="str">
        <f>IF(Main[[#This Row],[In Stock Date]]="N/A", "N/A",IF(AND(Main[[#This Row],[In Stock Date]]&lt;&gt;"",Main[[#This Row],[Revised Due Date]]&lt;&gt;"",Main[[#This Row],[In Stock Date]]&lt;&gt;""),Main[[#This Row],[In Stock Date]]-Main[[#This Row],[Revised Due Date]],""))</f>
        <v/>
      </c>
      <c r="I220" s="139" t="s">
        <v>4</v>
      </c>
      <c r="J220" s="139" t="s">
        <v>4</v>
      </c>
      <c r="K220" s="139" t="s">
        <v>4</v>
      </c>
      <c r="L220" s="129"/>
      <c r="M220" s="114" t="str">
        <f>IF(Main[[#This Row],[Tech Start Date]]&lt;1/1/1990,"",IF(Main[[#This Row],[Class]]="C",WORKDAY(Main[[#This Row],[Tech Start Date]],9),IF(Main[[#This Row],[Class]]="B", WORKDAY(Main[[#This Row],[Tech Start Date]],6),IF(Main[[#This Row],[Class]]="A",WORKDAY(Main[[#This Row],[Tech Start Date]],2),""))))</f>
        <v/>
      </c>
      <c r="N220" s="114" t="str">
        <f>IF(Main[[#This Row],[Tech Start Date]]&lt;1/1/1990,"",IF(Main[[#This Row],[Class]]="C",WORKDAY(Main[[#This Row],[Tech Start Date]],19),IF(Main[[#This Row],[Class]]="B", WORKDAY(Main[[#This Row],[Tech Start Date]],12),IF(Main[[#This Row],[Class]]="A",WORKDAY(Main[[#This Row],[Tech Start Date]],4),""))))</f>
        <v/>
      </c>
      <c r="O220" s="114" t="str">
        <f>IF(Main[[#This Row],[Tech Start Date]]&lt;1/1/1990,"",IF(Main[[#This Row],[Class]]="C",WORKDAY(Main[[#This Row],[Tech Start Date]],23),IF(Main[[#This Row],[Class]]="B", WORKDAY(Main[[#This Row],[Tech Start Date]],15),IF(Main[[#This Row],[Class]]="A",WORKDAY(Main[[#This Row],[Tech Start Date]],5),""))))</f>
        <v/>
      </c>
      <c r="P220" s="114" t="str">
        <f>IF(Main[[#This Row],[Tech Start Date]]&lt;1/1/1990,"",IF(Main[[#This Row],[Class]]="C",WORKDAY(Main[[#This Row],[Tech Start Date]],28),IF(Main[[#This Row],[Class]]="B", WORKDAY(Main[[#This Row],[Tech Start Date]],19),IF(Main[[#This Row],[Class]]="A",WORKDAY(Main[[#This Row],[Tech Start Date]],9),""))))</f>
        <v/>
      </c>
      <c r="Q220" s="129"/>
      <c r="R220" s="129"/>
      <c r="S220" s="139" t="s">
        <v>11</v>
      </c>
      <c r="T220" s="115" t="s">
        <v>4</v>
      </c>
      <c r="U220" s="139" t="s">
        <v>14</v>
      </c>
      <c r="V220" s="139" t="s">
        <v>1915</v>
      </c>
      <c r="W220" s="139" t="s">
        <v>1919</v>
      </c>
      <c r="X220" s="139" t="s">
        <v>2820</v>
      </c>
      <c r="Y220" s="112" t="s">
        <v>2934</v>
      </c>
      <c r="Z220" s="112" t="s">
        <v>4</v>
      </c>
      <c r="AA220" s="139" t="s">
        <v>3380</v>
      </c>
    </row>
    <row r="221" spans="1:27" ht="17.25" customHeight="1">
      <c r="A221" s="69" t="str">
        <f>IF(priority(Main[[#This Row],[Comments]])&lt;&gt;0, priority(Main[[#This Row],[Comments]]),"")</f>
        <v/>
      </c>
      <c r="B221" s="63" t="s">
        <v>1036</v>
      </c>
      <c r="C221" s="148" t="s">
        <v>4</v>
      </c>
      <c r="D221" s="113" t="s">
        <v>60</v>
      </c>
      <c r="E221" s="129"/>
      <c r="F221" s="129"/>
      <c r="G221" s="69" t="str">
        <f>IF(stdProdLT(Main[[#This Row],[Comments]])=0.1,"N/A",IF(stdProdLT(Main[[#This Row],[Comments]])=0,"",stdProdLT(Main[[#This Row],[Comments]])))</f>
        <v/>
      </c>
      <c r="H221" s="138" t="str">
        <f>IF(Main[[#This Row],[In Stock Date]]="N/A", "N/A",IF(AND(Main[[#This Row],[In Stock Date]]&lt;&gt;"",Main[[#This Row],[Revised Due Date]]&lt;&gt;"",Main[[#This Row],[In Stock Date]]&lt;&gt;""),Main[[#This Row],[In Stock Date]]-Main[[#This Row],[Revised Due Date]],""))</f>
        <v/>
      </c>
      <c r="I221" s="139" t="s">
        <v>4</v>
      </c>
      <c r="J221" s="139" t="s">
        <v>4</v>
      </c>
      <c r="K221" s="139" t="s">
        <v>4</v>
      </c>
      <c r="L221" s="129"/>
      <c r="M221" s="114" t="str">
        <f>IF(Main[[#This Row],[Tech Start Date]]&lt;1/1/1990,"",IF(Main[[#This Row],[Class]]="C",WORKDAY(Main[[#This Row],[Tech Start Date]],9),IF(Main[[#This Row],[Class]]="B", WORKDAY(Main[[#This Row],[Tech Start Date]],6),IF(Main[[#This Row],[Class]]="A",WORKDAY(Main[[#This Row],[Tech Start Date]],2),""))))</f>
        <v/>
      </c>
      <c r="N221" s="114" t="str">
        <f>IF(Main[[#This Row],[Tech Start Date]]&lt;1/1/1990,"",IF(Main[[#This Row],[Class]]="C",WORKDAY(Main[[#This Row],[Tech Start Date]],19),IF(Main[[#This Row],[Class]]="B", WORKDAY(Main[[#This Row],[Tech Start Date]],12),IF(Main[[#This Row],[Class]]="A",WORKDAY(Main[[#This Row],[Tech Start Date]],4),""))))</f>
        <v/>
      </c>
      <c r="O221" s="114" t="str">
        <f>IF(Main[[#This Row],[Tech Start Date]]&lt;1/1/1990,"",IF(Main[[#This Row],[Class]]="C",WORKDAY(Main[[#This Row],[Tech Start Date]],23),IF(Main[[#This Row],[Class]]="B", WORKDAY(Main[[#This Row],[Tech Start Date]],15),IF(Main[[#This Row],[Class]]="A",WORKDAY(Main[[#This Row],[Tech Start Date]],5),""))))</f>
        <v/>
      </c>
      <c r="P221" s="114" t="str">
        <f>IF(Main[[#This Row],[Tech Start Date]]&lt;1/1/1990,"",IF(Main[[#This Row],[Class]]="C",WORKDAY(Main[[#This Row],[Tech Start Date]],28),IF(Main[[#This Row],[Class]]="B", WORKDAY(Main[[#This Row],[Tech Start Date]],19),IF(Main[[#This Row],[Class]]="A",WORKDAY(Main[[#This Row],[Tech Start Date]],9),""))))</f>
        <v/>
      </c>
      <c r="Q221" s="129"/>
      <c r="R221" s="129"/>
      <c r="S221" s="139" t="s">
        <v>49</v>
      </c>
      <c r="T221" s="115" t="s">
        <v>4</v>
      </c>
      <c r="U221" s="139" t="s">
        <v>14</v>
      </c>
      <c r="V221" s="139" t="s">
        <v>1915</v>
      </c>
      <c r="W221" s="139" t="s">
        <v>1918</v>
      </c>
      <c r="X221" s="139" t="s">
        <v>306</v>
      </c>
      <c r="Y221" s="112" t="s">
        <v>4</v>
      </c>
      <c r="Z221" s="112" t="s">
        <v>4</v>
      </c>
      <c r="AA221" s="139" t="s">
        <v>4</v>
      </c>
    </row>
    <row r="222" spans="1:27" ht="17.25" customHeight="1">
      <c r="A222" s="69" t="str">
        <f>IF(priority(Main[[#This Row],[Comments]])&lt;&gt;0, priority(Main[[#This Row],[Comments]]),"")</f>
        <v/>
      </c>
      <c r="B222" s="63" t="s">
        <v>2322</v>
      </c>
      <c r="C222" s="148" t="s">
        <v>4</v>
      </c>
      <c r="D222" s="113" t="s">
        <v>2323</v>
      </c>
      <c r="E222" s="129">
        <v>40841.712557870371</v>
      </c>
      <c r="F222" s="129"/>
      <c r="G222" s="69" t="str">
        <f>IF(stdProdLT(Main[[#This Row],[Comments]])=0.1,"N/A",IF(stdProdLT(Main[[#This Row],[Comments]])=0,"",stdProdLT(Main[[#This Row],[Comments]])))</f>
        <v/>
      </c>
      <c r="H222" s="138" t="str">
        <f>IF(Main[[#This Row],[In Stock Date]]="N/A", "N/A",IF(AND(Main[[#This Row],[In Stock Date]]&lt;&gt;"",Main[[#This Row],[Revised Due Date]]&lt;&gt;"",Main[[#This Row],[In Stock Date]]&lt;&gt;""),Main[[#This Row],[In Stock Date]]-Main[[#This Row],[Revised Due Date]],""))</f>
        <v/>
      </c>
      <c r="I222" s="139" t="s">
        <v>912</v>
      </c>
      <c r="J222" s="139" t="s">
        <v>52</v>
      </c>
      <c r="K222" s="140" t="s">
        <v>4</v>
      </c>
      <c r="L222" s="129"/>
      <c r="M222" s="114" t="str">
        <f>IF(Main[[#This Row],[Tech Start Date]]&lt;1/1/1990,"",IF(Main[[#This Row],[Class]]="C",WORKDAY(Main[[#This Row],[Tech Start Date]],9),IF(Main[[#This Row],[Class]]="B", WORKDAY(Main[[#This Row],[Tech Start Date]],6),IF(Main[[#This Row],[Class]]="A",WORKDAY(Main[[#This Row],[Tech Start Date]],2),""))))</f>
        <v/>
      </c>
      <c r="N222" s="114" t="str">
        <f>IF(Main[[#This Row],[Tech Start Date]]&lt;1/1/1990,"",IF(Main[[#This Row],[Class]]="C",WORKDAY(Main[[#This Row],[Tech Start Date]],19),IF(Main[[#This Row],[Class]]="B", WORKDAY(Main[[#This Row],[Tech Start Date]],12),IF(Main[[#This Row],[Class]]="A",WORKDAY(Main[[#This Row],[Tech Start Date]],4),""))))</f>
        <v/>
      </c>
      <c r="O222" s="114" t="str">
        <f>IF(Main[[#This Row],[Tech Start Date]]&lt;1/1/1990,"",IF(Main[[#This Row],[Class]]="C",WORKDAY(Main[[#This Row],[Tech Start Date]],23),IF(Main[[#This Row],[Class]]="B", WORKDAY(Main[[#This Row],[Tech Start Date]],15),IF(Main[[#This Row],[Class]]="A",WORKDAY(Main[[#This Row],[Tech Start Date]],5),""))))</f>
        <v/>
      </c>
      <c r="P222" s="114" t="str">
        <f>IF(Main[[#This Row],[Tech Start Date]]&lt;1/1/1990,"",IF(Main[[#This Row],[Class]]="C",WORKDAY(Main[[#This Row],[Tech Start Date]],28),IF(Main[[#This Row],[Class]]="B", WORKDAY(Main[[#This Row],[Tech Start Date]],19),IF(Main[[#This Row],[Class]]="A",WORKDAY(Main[[#This Row],[Tech Start Date]],9),""))))</f>
        <v/>
      </c>
      <c r="Q222" s="129">
        <v>40856</v>
      </c>
      <c r="R222" s="129"/>
      <c r="S222" s="139" t="s">
        <v>6</v>
      </c>
      <c r="T222" s="115" t="s">
        <v>4</v>
      </c>
      <c r="U222" s="139" t="s">
        <v>29</v>
      </c>
      <c r="V222" s="139" t="s">
        <v>1914</v>
      </c>
      <c r="W222" s="139" t="s">
        <v>1922</v>
      </c>
      <c r="X222" s="139" t="s">
        <v>2821</v>
      </c>
      <c r="Y222" s="112" t="s">
        <v>2936</v>
      </c>
      <c r="Z222" s="112" t="s">
        <v>129</v>
      </c>
      <c r="AA222" s="139" t="s">
        <v>2821</v>
      </c>
    </row>
    <row r="223" spans="1:27" ht="17.25" customHeight="1">
      <c r="A223" s="69" t="str">
        <f>IF(priority(Main[[#This Row],[Comments]])&lt;&gt;0, priority(Main[[#This Row],[Comments]]),"")</f>
        <v/>
      </c>
      <c r="B223" s="63" t="s">
        <v>1038</v>
      </c>
      <c r="C223" s="148" t="s">
        <v>4</v>
      </c>
      <c r="D223" s="113" t="s">
        <v>61</v>
      </c>
      <c r="E223" s="129"/>
      <c r="F223" s="129"/>
      <c r="G223" s="69" t="str">
        <f>IF(stdProdLT(Main[[#This Row],[Comments]])=0.1,"N/A",IF(stdProdLT(Main[[#This Row],[Comments]])=0,"",stdProdLT(Main[[#This Row],[Comments]])))</f>
        <v/>
      </c>
      <c r="H223" s="138" t="str">
        <f>IF(Main[[#This Row],[In Stock Date]]="N/A", "N/A",IF(AND(Main[[#This Row],[In Stock Date]]&lt;&gt;"",Main[[#This Row],[Revised Due Date]]&lt;&gt;"",Main[[#This Row],[In Stock Date]]&lt;&gt;""),Main[[#This Row],[In Stock Date]]-Main[[#This Row],[Revised Due Date]],""))</f>
        <v/>
      </c>
      <c r="I223" s="139" t="s">
        <v>4</v>
      </c>
      <c r="J223" s="139" t="s">
        <v>4</v>
      </c>
      <c r="K223" s="139" t="s">
        <v>4</v>
      </c>
      <c r="L223" s="129"/>
      <c r="M223" s="114" t="str">
        <f>IF(Main[[#This Row],[Tech Start Date]]&lt;1/1/1990,"",IF(Main[[#This Row],[Class]]="C",WORKDAY(Main[[#This Row],[Tech Start Date]],9),IF(Main[[#This Row],[Class]]="B", WORKDAY(Main[[#This Row],[Tech Start Date]],6),IF(Main[[#This Row],[Class]]="A",WORKDAY(Main[[#This Row],[Tech Start Date]],2),""))))</f>
        <v/>
      </c>
      <c r="N223" s="114" t="str">
        <f>IF(Main[[#This Row],[Tech Start Date]]&lt;1/1/1990,"",IF(Main[[#This Row],[Class]]="C",WORKDAY(Main[[#This Row],[Tech Start Date]],19),IF(Main[[#This Row],[Class]]="B", WORKDAY(Main[[#This Row],[Tech Start Date]],12),IF(Main[[#This Row],[Class]]="A",WORKDAY(Main[[#This Row],[Tech Start Date]],4),""))))</f>
        <v/>
      </c>
      <c r="O223" s="114" t="str">
        <f>IF(Main[[#This Row],[Tech Start Date]]&lt;1/1/1990,"",IF(Main[[#This Row],[Class]]="C",WORKDAY(Main[[#This Row],[Tech Start Date]],23),IF(Main[[#This Row],[Class]]="B", WORKDAY(Main[[#This Row],[Tech Start Date]],15),IF(Main[[#This Row],[Class]]="A",WORKDAY(Main[[#This Row],[Tech Start Date]],5),""))))</f>
        <v/>
      </c>
      <c r="P223" s="114" t="str">
        <f>IF(Main[[#This Row],[Tech Start Date]]&lt;1/1/1990,"",IF(Main[[#This Row],[Class]]="C",WORKDAY(Main[[#This Row],[Tech Start Date]],28),IF(Main[[#This Row],[Class]]="B", WORKDAY(Main[[#This Row],[Tech Start Date]],19),IF(Main[[#This Row],[Class]]="A",WORKDAY(Main[[#This Row],[Tech Start Date]],9),""))))</f>
        <v/>
      </c>
      <c r="Q223" s="129">
        <v>40564</v>
      </c>
      <c r="R223" s="129"/>
      <c r="S223" s="139" t="s">
        <v>23</v>
      </c>
      <c r="T223" s="115" t="s">
        <v>4</v>
      </c>
      <c r="U223" s="139" t="s">
        <v>12</v>
      </c>
      <c r="V223" s="139" t="s">
        <v>1917</v>
      </c>
      <c r="W223" s="139" t="s">
        <v>1918</v>
      </c>
      <c r="X223" s="139" t="s">
        <v>417</v>
      </c>
      <c r="Y223" s="112" t="s">
        <v>2937</v>
      </c>
      <c r="Z223" s="112" t="s">
        <v>4</v>
      </c>
      <c r="AA223" s="139" t="s">
        <v>3381</v>
      </c>
    </row>
    <row r="224" spans="1:27" ht="17.25" customHeight="1">
      <c r="A224" s="69" t="str">
        <f>IF(priority(Main[[#This Row],[Comments]])&lt;&gt;0, priority(Main[[#This Row],[Comments]]),"")</f>
        <v/>
      </c>
      <c r="B224" s="63" t="s">
        <v>1041</v>
      </c>
      <c r="C224" s="148" t="s">
        <v>83</v>
      </c>
      <c r="D224" s="113" t="s">
        <v>84</v>
      </c>
      <c r="E224" s="129"/>
      <c r="F224" s="129"/>
      <c r="G224" s="69" t="str">
        <f>IF(stdProdLT(Main[[#This Row],[Comments]])=0.1,"N/A",IF(stdProdLT(Main[[#This Row],[Comments]])=0,"",stdProdLT(Main[[#This Row],[Comments]])))</f>
        <v/>
      </c>
      <c r="H224" s="138" t="str">
        <f>IF(Main[[#This Row],[In Stock Date]]="N/A", "N/A",IF(AND(Main[[#This Row],[In Stock Date]]&lt;&gt;"",Main[[#This Row],[Revised Due Date]]&lt;&gt;"",Main[[#This Row],[In Stock Date]]&lt;&gt;""),Main[[#This Row],[In Stock Date]]-Main[[#This Row],[Revised Due Date]],""))</f>
        <v/>
      </c>
      <c r="I224" s="139" t="s">
        <v>4</v>
      </c>
      <c r="J224" s="139" t="s">
        <v>4</v>
      </c>
      <c r="K224" s="139" t="s">
        <v>4</v>
      </c>
      <c r="L224" s="129"/>
      <c r="M224" s="114" t="str">
        <f>IF(Main[[#This Row],[Tech Start Date]]&lt;1/1/1990,"",IF(Main[[#This Row],[Class]]="C",WORKDAY(Main[[#This Row],[Tech Start Date]],9),IF(Main[[#This Row],[Class]]="B", WORKDAY(Main[[#This Row],[Tech Start Date]],6),IF(Main[[#This Row],[Class]]="A",WORKDAY(Main[[#This Row],[Tech Start Date]],2),""))))</f>
        <v/>
      </c>
      <c r="N224" s="114" t="str">
        <f>IF(Main[[#This Row],[Tech Start Date]]&lt;1/1/1990,"",IF(Main[[#This Row],[Class]]="C",WORKDAY(Main[[#This Row],[Tech Start Date]],19),IF(Main[[#This Row],[Class]]="B", WORKDAY(Main[[#This Row],[Tech Start Date]],12),IF(Main[[#This Row],[Class]]="A",WORKDAY(Main[[#This Row],[Tech Start Date]],4),""))))</f>
        <v/>
      </c>
      <c r="O224" s="114" t="str">
        <f>IF(Main[[#This Row],[Tech Start Date]]&lt;1/1/1990,"",IF(Main[[#This Row],[Class]]="C",WORKDAY(Main[[#This Row],[Tech Start Date]],23),IF(Main[[#This Row],[Class]]="B", WORKDAY(Main[[#This Row],[Tech Start Date]],15),IF(Main[[#This Row],[Class]]="A",WORKDAY(Main[[#This Row],[Tech Start Date]],5),""))))</f>
        <v/>
      </c>
      <c r="P224" s="114" t="str">
        <f>IF(Main[[#This Row],[Tech Start Date]]&lt;1/1/1990,"",IF(Main[[#This Row],[Class]]="C",WORKDAY(Main[[#This Row],[Tech Start Date]],28),IF(Main[[#This Row],[Class]]="B", WORKDAY(Main[[#This Row],[Tech Start Date]],19),IF(Main[[#This Row],[Class]]="A",WORKDAY(Main[[#This Row],[Tech Start Date]],9),""))))</f>
        <v/>
      </c>
      <c r="Q224" s="129">
        <v>40259</v>
      </c>
      <c r="R224" s="129"/>
      <c r="S224" s="139" t="s">
        <v>11</v>
      </c>
      <c r="T224" s="115" t="s">
        <v>4</v>
      </c>
      <c r="U224" s="139" t="s">
        <v>14</v>
      </c>
      <c r="V224" s="139" t="s">
        <v>1914</v>
      </c>
      <c r="W224" s="139" t="s">
        <v>1925</v>
      </c>
      <c r="X224" s="139" t="s">
        <v>2817</v>
      </c>
      <c r="Y224" s="112" t="s">
        <v>4</v>
      </c>
      <c r="Z224" s="112" t="s">
        <v>4</v>
      </c>
      <c r="AA224" s="139" t="s">
        <v>2817</v>
      </c>
    </row>
    <row r="225" spans="1:27" ht="17.25" customHeight="1">
      <c r="A225" s="69" t="str">
        <f>IF(priority(Main[[#This Row],[Comments]])&lt;&gt;0, priority(Main[[#This Row],[Comments]]),"")</f>
        <v/>
      </c>
      <c r="B225" s="63" t="s">
        <v>3274</v>
      </c>
      <c r="C225" s="148" t="s">
        <v>47</v>
      </c>
      <c r="D225" s="113" t="s">
        <v>3316</v>
      </c>
      <c r="E225" s="129">
        <v>40933.456712962965</v>
      </c>
      <c r="F225" s="129"/>
      <c r="G225" s="69" t="str">
        <f>IF(stdProdLT(Main[[#This Row],[Comments]])=0.1,"N/A",IF(stdProdLT(Main[[#This Row],[Comments]])=0,"",stdProdLT(Main[[#This Row],[Comments]])))</f>
        <v/>
      </c>
      <c r="H225" s="138" t="str">
        <f>IF(Main[[#This Row],[In Stock Date]]="N/A", "N/A",IF(AND(Main[[#This Row],[In Stock Date]]&lt;&gt;"",Main[[#This Row],[Revised Due Date]]&lt;&gt;"",Main[[#This Row],[In Stock Date]]&lt;&gt;""),Main[[#This Row],[In Stock Date]]-Main[[#This Row],[Revised Due Date]],""))</f>
        <v/>
      </c>
      <c r="I225" s="139" t="s">
        <v>4</v>
      </c>
      <c r="J225" s="139" t="s">
        <v>4</v>
      </c>
      <c r="K225" s="139" t="s">
        <v>4</v>
      </c>
      <c r="L225" s="129"/>
      <c r="M225" s="114" t="str">
        <f>IF(Main[[#This Row],[Tech Start Date]]&lt;1/1/1990,"",IF(Main[[#This Row],[Class]]="C",WORKDAY(Main[[#This Row],[Tech Start Date]],9),IF(Main[[#This Row],[Class]]="B", WORKDAY(Main[[#This Row],[Tech Start Date]],6),IF(Main[[#This Row],[Class]]="A",WORKDAY(Main[[#This Row],[Tech Start Date]],2),""))))</f>
        <v/>
      </c>
      <c r="N225" s="114" t="str">
        <f>IF(Main[[#This Row],[Tech Start Date]]&lt;1/1/1990,"",IF(Main[[#This Row],[Class]]="C",WORKDAY(Main[[#This Row],[Tech Start Date]],19),IF(Main[[#This Row],[Class]]="B", WORKDAY(Main[[#This Row],[Tech Start Date]],12),IF(Main[[#This Row],[Class]]="A",WORKDAY(Main[[#This Row],[Tech Start Date]],4),""))))</f>
        <v/>
      </c>
      <c r="O225" s="114" t="str">
        <f>IF(Main[[#This Row],[Tech Start Date]]&lt;1/1/1990,"",IF(Main[[#This Row],[Class]]="C",WORKDAY(Main[[#This Row],[Tech Start Date]],23),IF(Main[[#This Row],[Class]]="B", WORKDAY(Main[[#This Row],[Tech Start Date]],15),IF(Main[[#This Row],[Class]]="A",WORKDAY(Main[[#This Row],[Tech Start Date]],5),""))))</f>
        <v/>
      </c>
      <c r="P225" s="114" t="str">
        <f>IF(Main[[#This Row],[Tech Start Date]]&lt;1/1/1990,"",IF(Main[[#This Row],[Class]]="C",WORKDAY(Main[[#This Row],[Tech Start Date]],28),IF(Main[[#This Row],[Class]]="B", WORKDAY(Main[[#This Row],[Tech Start Date]],19),IF(Main[[#This Row],[Class]]="A",WORKDAY(Main[[#This Row],[Tech Start Date]],9),""))))</f>
        <v/>
      </c>
      <c r="Q225" s="129">
        <v>40939</v>
      </c>
      <c r="R225" s="129"/>
      <c r="S225" s="139" t="s">
        <v>6</v>
      </c>
      <c r="T225" s="115" t="s">
        <v>4</v>
      </c>
      <c r="U225" s="139" t="s">
        <v>29</v>
      </c>
      <c r="V225" s="139" t="s">
        <v>2283</v>
      </c>
      <c r="W225" s="139" t="s">
        <v>4</v>
      </c>
      <c r="X225" s="139" t="s">
        <v>2865</v>
      </c>
      <c r="Y225" s="112" t="s">
        <v>3010</v>
      </c>
      <c r="Z225" s="112" t="s">
        <v>4</v>
      </c>
      <c r="AA225" s="139" t="s">
        <v>2865</v>
      </c>
    </row>
    <row r="226" spans="1:27" ht="17.25" customHeight="1">
      <c r="A226" s="69" t="str">
        <f>IF(priority(Main[[#This Row],[Comments]])&lt;&gt;0, priority(Main[[#This Row],[Comments]]),"")</f>
        <v/>
      </c>
      <c r="B226" s="63" t="s">
        <v>1748</v>
      </c>
      <c r="C226" s="148" t="s">
        <v>4</v>
      </c>
      <c r="D226" s="113" t="s">
        <v>2331</v>
      </c>
      <c r="E226" s="129"/>
      <c r="F226" s="129"/>
      <c r="G226" s="69" t="str">
        <f>IF(stdProdLT(Main[[#This Row],[Comments]])=0.1,"N/A",IF(stdProdLT(Main[[#This Row],[Comments]])=0,"",stdProdLT(Main[[#This Row],[Comments]])))</f>
        <v/>
      </c>
      <c r="H226" s="138" t="str">
        <f>IF(Main[[#This Row],[In Stock Date]]="N/A", "N/A",IF(AND(Main[[#This Row],[In Stock Date]]&lt;&gt;"",Main[[#This Row],[Revised Due Date]]&lt;&gt;"",Main[[#This Row],[In Stock Date]]&lt;&gt;""),Main[[#This Row],[In Stock Date]]-Main[[#This Row],[Revised Due Date]],""))</f>
        <v/>
      </c>
      <c r="I226" s="139" t="s">
        <v>130</v>
      </c>
      <c r="J226" s="139" t="s">
        <v>70</v>
      </c>
      <c r="K226" s="139" t="s">
        <v>1923</v>
      </c>
      <c r="L226" s="129"/>
      <c r="M226" s="114" t="str">
        <f>IF(Main[[#This Row],[Tech Start Date]]&lt;1/1/1990,"",IF(Main[[#This Row],[Class]]="C",WORKDAY(Main[[#This Row],[Tech Start Date]],9),IF(Main[[#This Row],[Class]]="B", WORKDAY(Main[[#This Row],[Tech Start Date]],6),IF(Main[[#This Row],[Class]]="A",WORKDAY(Main[[#This Row],[Tech Start Date]],2),""))))</f>
        <v/>
      </c>
      <c r="N226" s="114" t="str">
        <f>IF(Main[[#This Row],[Tech Start Date]]&lt;1/1/1990,"",IF(Main[[#This Row],[Class]]="C",WORKDAY(Main[[#This Row],[Tech Start Date]],19),IF(Main[[#This Row],[Class]]="B", WORKDAY(Main[[#This Row],[Tech Start Date]],12),IF(Main[[#This Row],[Class]]="A",WORKDAY(Main[[#This Row],[Tech Start Date]],4),""))))</f>
        <v/>
      </c>
      <c r="O226" s="114" t="str">
        <f>IF(Main[[#This Row],[Tech Start Date]]&lt;1/1/1990,"",IF(Main[[#This Row],[Class]]="C",WORKDAY(Main[[#This Row],[Tech Start Date]],23),IF(Main[[#This Row],[Class]]="B", WORKDAY(Main[[#This Row],[Tech Start Date]],15),IF(Main[[#This Row],[Class]]="A",WORKDAY(Main[[#This Row],[Tech Start Date]],5),""))))</f>
        <v/>
      </c>
      <c r="P226" s="114" t="str">
        <f>IF(Main[[#This Row],[Tech Start Date]]&lt;1/1/1990,"",IF(Main[[#This Row],[Class]]="C",WORKDAY(Main[[#This Row],[Tech Start Date]],28),IF(Main[[#This Row],[Class]]="B", WORKDAY(Main[[#This Row],[Tech Start Date]],19),IF(Main[[#This Row],[Class]]="A",WORKDAY(Main[[#This Row],[Tech Start Date]],9),""))))</f>
        <v/>
      </c>
      <c r="Q226" s="129">
        <v>40786</v>
      </c>
      <c r="R226" s="129"/>
      <c r="S226" s="139" t="s">
        <v>6</v>
      </c>
      <c r="T226" s="115" t="s">
        <v>4</v>
      </c>
      <c r="U226" s="139" t="s">
        <v>14</v>
      </c>
      <c r="V226" s="139" t="s">
        <v>1917</v>
      </c>
      <c r="W226" s="139" t="s">
        <v>1918</v>
      </c>
      <c r="X226" s="139" t="s">
        <v>399</v>
      </c>
      <c r="Y226" s="112" t="s">
        <v>4</v>
      </c>
      <c r="Z226" s="112" t="s">
        <v>44</v>
      </c>
      <c r="AA226" s="139" t="s">
        <v>3378</v>
      </c>
    </row>
    <row r="227" spans="1:27" ht="17.25" customHeight="1">
      <c r="A227" s="69" t="str">
        <f>IF(priority(Main[[#This Row],[Comments]])&lt;&gt;0, priority(Main[[#This Row],[Comments]]),"")</f>
        <v/>
      </c>
      <c r="B227" s="63" t="s">
        <v>1945</v>
      </c>
      <c r="C227" s="148" t="s">
        <v>4</v>
      </c>
      <c r="D227" s="113" t="s">
        <v>3317</v>
      </c>
      <c r="E227" s="129">
        <v>40721.395208333335</v>
      </c>
      <c r="F227" s="129"/>
      <c r="G227" s="69" t="str">
        <f>IF(stdProdLT(Main[[#This Row],[Comments]])=0.1,"N/A",IF(stdProdLT(Main[[#This Row],[Comments]])=0,"",stdProdLT(Main[[#This Row],[Comments]])))</f>
        <v/>
      </c>
      <c r="H227" s="138" t="str">
        <f>IF(Main[[#This Row],[In Stock Date]]="N/A", "N/A",IF(AND(Main[[#This Row],[In Stock Date]]&lt;&gt;"",Main[[#This Row],[Revised Due Date]]&lt;&gt;"",Main[[#This Row],[In Stock Date]]&lt;&gt;""),Main[[#This Row],[In Stock Date]]-Main[[#This Row],[Revised Due Date]],""))</f>
        <v/>
      </c>
      <c r="I227" s="139" t="s">
        <v>2051</v>
      </c>
      <c r="J227" s="139" t="s">
        <v>21</v>
      </c>
      <c r="K227" s="139" t="s">
        <v>1923</v>
      </c>
      <c r="L227" s="129"/>
      <c r="M227" s="114" t="str">
        <f>IF(Main[[#This Row],[Tech Start Date]]&lt;1/1/1990,"",IF(Main[[#This Row],[Class]]="C",WORKDAY(Main[[#This Row],[Tech Start Date]],9),IF(Main[[#This Row],[Class]]="B", WORKDAY(Main[[#This Row],[Tech Start Date]],6),IF(Main[[#This Row],[Class]]="A",WORKDAY(Main[[#This Row],[Tech Start Date]],2),""))))</f>
        <v/>
      </c>
      <c r="N227" s="114" t="str">
        <f>IF(Main[[#This Row],[Tech Start Date]]&lt;1/1/1990,"",IF(Main[[#This Row],[Class]]="C",WORKDAY(Main[[#This Row],[Tech Start Date]],19),IF(Main[[#This Row],[Class]]="B", WORKDAY(Main[[#This Row],[Tech Start Date]],12),IF(Main[[#This Row],[Class]]="A",WORKDAY(Main[[#This Row],[Tech Start Date]],4),""))))</f>
        <v/>
      </c>
      <c r="O227" s="114" t="str">
        <f>IF(Main[[#This Row],[Tech Start Date]]&lt;1/1/1990,"",IF(Main[[#This Row],[Class]]="C",WORKDAY(Main[[#This Row],[Tech Start Date]],23),IF(Main[[#This Row],[Class]]="B", WORKDAY(Main[[#This Row],[Tech Start Date]],15),IF(Main[[#This Row],[Class]]="A",WORKDAY(Main[[#This Row],[Tech Start Date]],5),""))))</f>
        <v/>
      </c>
      <c r="P227" s="114" t="str">
        <f>IF(Main[[#This Row],[Tech Start Date]]&lt;1/1/1990,"",IF(Main[[#This Row],[Class]]="C",WORKDAY(Main[[#This Row],[Tech Start Date]],28),IF(Main[[#This Row],[Class]]="B", WORKDAY(Main[[#This Row],[Tech Start Date]],19),IF(Main[[#This Row],[Class]]="A",WORKDAY(Main[[#This Row],[Tech Start Date]],9),""))))</f>
        <v/>
      </c>
      <c r="Q227" s="129">
        <v>40753</v>
      </c>
      <c r="R227" s="129"/>
      <c r="S227" s="139" t="s">
        <v>6</v>
      </c>
      <c r="T227" s="115" t="s">
        <v>4</v>
      </c>
      <c r="U227" s="139" t="s">
        <v>29</v>
      </c>
      <c r="V227" s="139" t="s">
        <v>1917</v>
      </c>
      <c r="W227" s="139" t="s">
        <v>1918</v>
      </c>
      <c r="X227" s="139" t="s">
        <v>2818</v>
      </c>
      <c r="Y227" s="112" t="s">
        <v>2929</v>
      </c>
      <c r="Z227" s="112" t="s">
        <v>44</v>
      </c>
      <c r="AA227" s="139" t="s">
        <v>2818</v>
      </c>
    </row>
    <row r="228" spans="1:27" ht="17.25" customHeight="1">
      <c r="A228" s="69" t="str">
        <f>IF(priority(Main[[#This Row],[Comments]])&lt;&gt;0, priority(Main[[#This Row],[Comments]]),"")</f>
        <v/>
      </c>
      <c r="B228" s="63" t="s">
        <v>3511</v>
      </c>
      <c r="C228" s="148" t="s">
        <v>4</v>
      </c>
      <c r="D228" s="113" t="s">
        <v>3583</v>
      </c>
      <c r="E228" s="129"/>
      <c r="F228" s="129"/>
      <c r="G228" s="69" t="str">
        <f>IF(stdProdLT(Main[[#This Row],[Comments]])=0.1,"N/A",IF(stdProdLT(Main[[#This Row],[Comments]])=0,"",stdProdLT(Main[[#This Row],[Comments]])))</f>
        <v/>
      </c>
      <c r="H228" s="138" t="str">
        <f>IF(Main[[#This Row],[In Stock Date]]="N/A", "N/A",IF(AND(Main[[#This Row],[In Stock Date]]&lt;&gt;"",Main[[#This Row],[Revised Due Date]]&lt;&gt;"",Main[[#This Row],[In Stock Date]]&lt;&gt;""),Main[[#This Row],[In Stock Date]]-Main[[#This Row],[Revised Due Date]],""))</f>
        <v/>
      </c>
      <c r="I228" s="139" t="s">
        <v>4</v>
      </c>
      <c r="J228" s="139" t="s">
        <v>4</v>
      </c>
      <c r="K228" s="139" t="s">
        <v>4</v>
      </c>
      <c r="L228" s="129"/>
      <c r="M228" s="114" t="str">
        <f>IF(Main[[#This Row],[Tech Start Date]]&lt;1/1/1990,"",IF(Main[[#This Row],[Class]]="C",WORKDAY(Main[[#This Row],[Tech Start Date]],9),IF(Main[[#This Row],[Class]]="B", WORKDAY(Main[[#This Row],[Tech Start Date]],6),IF(Main[[#This Row],[Class]]="A",WORKDAY(Main[[#This Row],[Tech Start Date]],2),""))))</f>
        <v/>
      </c>
      <c r="N228" s="114" t="str">
        <f>IF(Main[[#This Row],[Tech Start Date]]&lt;1/1/1990,"",IF(Main[[#This Row],[Class]]="C",WORKDAY(Main[[#This Row],[Tech Start Date]],19),IF(Main[[#This Row],[Class]]="B", WORKDAY(Main[[#This Row],[Tech Start Date]],12),IF(Main[[#This Row],[Class]]="A",WORKDAY(Main[[#This Row],[Tech Start Date]],4),""))))</f>
        <v/>
      </c>
      <c r="O228" s="114" t="str">
        <f>IF(Main[[#This Row],[Tech Start Date]]&lt;1/1/1990,"",IF(Main[[#This Row],[Class]]="C",WORKDAY(Main[[#This Row],[Tech Start Date]],23),IF(Main[[#This Row],[Class]]="B", WORKDAY(Main[[#This Row],[Tech Start Date]],15),IF(Main[[#This Row],[Class]]="A",WORKDAY(Main[[#This Row],[Tech Start Date]],5),""))))</f>
        <v/>
      </c>
      <c r="P228" s="114" t="str">
        <f>IF(Main[[#This Row],[Tech Start Date]]&lt;1/1/1990,"",IF(Main[[#This Row],[Class]]="C",WORKDAY(Main[[#This Row],[Tech Start Date]],28),IF(Main[[#This Row],[Class]]="B", WORKDAY(Main[[#This Row],[Tech Start Date]],19),IF(Main[[#This Row],[Class]]="A",WORKDAY(Main[[#This Row],[Tech Start Date]],9),""))))</f>
        <v/>
      </c>
      <c r="Q228" s="129">
        <v>40970</v>
      </c>
      <c r="R228" s="129"/>
      <c r="S228" s="139" t="s">
        <v>6</v>
      </c>
      <c r="T228" s="115" t="s">
        <v>4</v>
      </c>
      <c r="U228" s="139" t="s">
        <v>14</v>
      </c>
      <c r="V228" s="139" t="s">
        <v>1917</v>
      </c>
      <c r="W228" s="139" t="s">
        <v>4</v>
      </c>
      <c r="X228" s="139" t="s">
        <v>2819</v>
      </c>
      <c r="Y228" s="112" t="s">
        <v>2932</v>
      </c>
      <c r="Z228" s="112" t="s">
        <v>4</v>
      </c>
      <c r="AA228" s="139" t="s">
        <v>2819</v>
      </c>
    </row>
    <row r="229" spans="1:27" ht="17.25" customHeight="1">
      <c r="A229" s="69" t="str">
        <f>IF(priority(Main[[#This Row],[Comments]])&lt;&gt;0, priority(Main[[#This Row],[Comments]]),"")</f>
        <v/>
      </c>
      <c r="B229" s="63" t="s">
        <v>1042</v>
      </c>
      <c r="C229" s="148" t="s">
        <v>53</v>
      </c>
      <c r="D229" s="113" t="s">
        <v>66</v>
      </c>
      <c r="E229" s="129"/>
      <c r="F229" s="129"/>
      <c r="G229" s="69" t="str">
        <f>IF(stdProdLT(Main[[#This Row],[Comments]])=0.1,"N/A",IF(stdProdLT(Main[[#This Row],[Comments]])=0,"",stdProdLT(Main[[#This Row],[Comments]])))</f>
        <v/>
      </c>
      <c r="H229" s="138" t="str">
        <f>IF(Main[[#This Row],[In Stock Date]]="N/A", "N/A",IF(AND(Main[[#This Row],[In Stock Date]]&lt;&gt;"",Main[[#This Row],[Revised Due Date]]&lt;&gt;"",Main[[#This Row],[In Stock Date]]&lt;&gt;""),Main[[#This Row],[In Stock Date]]-Main[[#This Row],[Revised Due Date]],""))</f>
        <v/>
      </c>
      <c r="I229" s="139" t="s">
        <v>4</v>
      </c>
      <c r="J229" s="139" t="s">
        <v>4</v>
      </c>
      <c r="K229" s="140" t="s">
        <v>4</v>
      </c>
      <c r="L229" s="129"/>
      <c r="M229" s="114" t="str">
        <f>IF(Main[[#This Row],[Tech Start Date]]&lt;1/1/1990,"",IF(Main[[#This Row],[Class]]="C",WORKDAY(Main[[#This Row],[Tech Start Date]],9),IF(Main[[#This Row],[Class]]="B", WORKDAY(Main[[#This Row],[Tech Start Date]],6),IF(Main[[#This Row],[Class]]="A",WORKDAY(Main[[#This Row],[Tech Start Date]],2),""))))</f>
        <v/>
      </c>
      <c r="N229" s="114" t="str">
        <f>IF(Main[[#This Row],[Tech Start Date]]&lt;1/1/1990,"",IF(Main[[#This Row],[Class]]="C",WORKDAY(Main[[#This Row],[Tech Start Date]],19),IF(Main[[#This Row],[Class]]="B", WORKDAY(Main[[#This Row],[Tech Start Date]],12),IF(Main[[#This Row],[Class]]="A",WORKDAY(Main[[#This Row],[Tech Start Date]],4),""))))</f>
        <v/>
      </c>
      <c r="O229" s="114" t="str">
        <f>IF(Main[[#This Row],[Tech Start Date]]&lt;1/1/1990,"",IF(Main[[#This Row],[Class]]="C",WORKDAY(Main[[#This Row],[Tech Start Date]],23),IF(Main[[#This Row],[Class]]="B", WORKDAY(Main[[#This Row],[Tech Start Date]],15),IF(Main[[#This Row],[Class]]="A",WORKDAY(Main[[#This Row],[Tech Start Date]],5),""))))</f>
        <v/>
      </c>
      <c r="P229" s="114" t="str">
        <f>IF(Main[[#This Row],[Tech Start Date]]&lt;1/1/1990,"",IF(Main[[#This Row],[Class]]="C",WORKDAY(Main[[#This Row],[Tech Start Date]],28),IF(Main[[#This Row],[Class]]="B", WORKDAY(Main[[#This Row],[Tech Start Date]],19),IF(Main[[#This Row],[Class]]="A",WORKDAY(Main[[#This Row],[Tech Start Date]],9),""))))</f>
        <v/>
      </c>
      <c r="Q229" s="129">
        <v>40667</v>
      </c>
      <c r="R229" s="129"/>
      <c r="S229" s="139" t="s">
        <v>11</v>
      </c>
      <c r="T229" s="115" t="s">
        <v>4</v>
      </c>
      <c r="U229" s="139" t="s">
        <v>14</v>
      </c>
      <c r="V229" s="139" t="s">
        <v>1915</v>
      </c>
      <c r="W229" s="139" t="s">
        <v>1916</v>
      </c>
      <c r="X229" s="139" t="s">
        <v>2816</v>
      </c>
      <c r="Y229" s="112" t="s">
        <v>4</v>
      </c>
      <c r="Z229" s="112" t="s">
        <v>4</v>
      </c>
      <c r="AA229" s="139" t="s">
        <v>2816</v>
      </c>
    </row>
    <row r="230" spans="1:27" ht="17.25" customHeight="1">
      <c r="A230" s="69" t="str">
        <f>IF(priority(Main[[#This Row],[Comments]])&lt;&gt;0, priority(Main[[#This Row],[Comments]]),"")</f>
        <v/>
      </c>
      <c r="B230" s="63" t="s">
        <v>2027</v>
      </c>
      <c r="C230" s="148" t="s">
        <v>4</v>
      </c>
      <c r="D230" s="113" t="s">
        <v>2028</v>
      </c>
      <c r="E230" s="129">
        <v>40749.684224537035</v>
      </c>
      <c r="F230" s="129"/>
      <c r="G230" s="69" t="str">
        <f>IF(stdProdLT(Main[[#This Row],[Comments]])=0.1,"N/A",IF(stdProdLT(Main[[#This Row],[Comments]])=0,"",stdProdLT(Main[[#This Row],[Comments]])))</f>
        <v/>
      </c>
      <c r="H230" s="138" t="str">
        <f>IF(Main[[#This Row],[In Stock Date]]="N/A", "N/A",IF(AND(Main[[#This Row],[In Stock Date]]&lt;&gt;"",Main[[#This Row],[Revised Due Date]]&lt;&gt;"",Main[[#This Row],[In Stock Date]]&lt;&gt;""),Main[[#This Row],[In Stock Date]]-Main[[#This Row],[Revised Due Date]],""))</f>
        <v/>
      </c>
      <c r="I230" s="139" t="s">
        <v>4</v>
      </c>
      <c r="J230" s="139" t="s">
        <v>4</v>
      </c>
      <c r="K230" s="139" t="s">
        <v>4</v>
      </c>
      <c r="L230" s="129"/>
      <c r="M230" s="114" t="str">
        <f>IF(Main[[#This Row],[Tech Start Date]]&lt;1/1/1990,"",IF(Main[[#This Row],[Class]]="C",WORKDAY(Main[[#This Row],[Tech Start Date]],9),IF(Main[[#This Row],[Class]]="B", WORKDAY(Main[[#This Row],[Tech Start Date]],6),IF(Main[[#This Row],[Class]]="A",WORKDAY(Main[[#This Row],[Tech Start Date]],2),""))))</f>
        <v/>
      </c>
      <c r="N230" s="114" t="str">
        <f>IF(Main[[#This Row],[Tech Start Date]]&lt;1/1/1990,"",IF(Main[[#This Row],[Class]]="C",WORKDAY(Main[[#This Row],[Tech Start Date]],19),IF(Main[[#This Row],[Class]]="B", WORKDAY(Main[[#This Row],[Tech Start Date]],12),IF(Main[[#This Row],[Class]]="A",WORKDAY(Main[[#This Row],[Tech Start Date]],4),""))))</f>
        <v/>
      </c>
      <c r="O230" s="114" t="str">
        <f>IF(Main[[#This Row],[Tech Start Date]]&lt;1/1/1990,"",IF(Main[[#This Row],[Class]]="C",WORKDAY(Main[[#This Row],[Tech Start Date]],23),IF(Main[[#This Row],[Class]]="B", WORKDAY(Main[[#This Row],[Tech Start Date]],15),IF(Main[[#This Row],[Class]]="A",WORKDAY(Main[[#This Row],[Tech Start Date]],5),""))))</f>
        <v/>
      </c>
      <c r="P230" s="114" t="str">
        <f>IF(Main[[#This Row],[Tech Start Date]]&lt;1/1/1990,"",IF(Main[[#This Row],[Class]]="C",WORKDAY(Main[[#This Row],[Tech Start Date]],28),IF(Main[[#This Row],[Class]]="B", WORKDAY(Main[[#This Row],[Tech Start Date]],19),IF(Main[[#This Row],[Class]]="A",WORKDAY(Main[[#This Row],[Tech Start Date]],9),""))))</f>
        <v/>
      </c>
      <c r="Q230" s="129">
        <v>40781</v>
      </c>
      <c r="R230" s="129"/>
      <c r="S230" s="139" t="s">
        <v>6</v>
      </c>
      <c r="T230" s="115" t="s">
        <v>4</v>
      </c>
      <c r="U230" s="139" t="s">
        <v>7</v>
      </c>
      <c r="V230" s="139" t="s">
        <v>1914</v>
      </c>
      <c r="W230" s="139" t="s">
        <v>4</v>
      </c>
      <c r="X230" s="139" t="s">
        <v>2819</v>
      </c>
      <c r="Y230" s="112" t="s">
        <v>2932</v>
      </c>
      <c r="Z230" s="112" t="s">
        <v>4</v>
      </c>
      <c r="AA230" s="139" t="s">
        <v>2819</v>
      </c>
    </row>
    <row r="231" spans="1:27" ht="17.25" customHeight="1">
      <c r="A231" s="69" t="str">
        <f>IF(priority(Main[[#This Row],[Comments]])&lt;&gt;0, priority(Main[[#This Row],[Comments]]),"")</f>
        <v/>
      </c>
      <c r="B231" s="63" t="s">
        <v>1053</v>
      </c>
      <c r="C231" s="148" t="s">
        <v>4</v>
      </c>
      <c r="D231" s="113" t="s">
        <v>85</v>
      </c>
      <c r="E231" s="129"/>
      <c r="F231" s="129"/>
      <c r="G231" s="69" t="str">
        <f>IF(stdProdLT(Main[[#This Row],[Comments]])=0.1,"N/A",IF(stdProdLT(Main[[#This Row],[Comments]])=0,"",stdProdLT(Main[[#This Row],[Comments]])))</f>
        <v/>
      </c>
      <c r="H231" s="138" t="str">
        <f>IF(Main[[#This Row],[In Stock Date]]="N/A", "N/A",IF(AND(Main[[#This Row],[In Stock Date]]&lt;&gt;"",Main[[#This Row],[Revised Due Date]]&lt;&gt;"",Main[[#This Row],[In Stock Date]]&lt;&gt;""),Main[[#This Row],[In Stock Date]]-Main[[#This Row],[Revised Due Date]],""))</f>
        <v/>
      </c>
      <c r="I231" s="139" t="s">
        <v>4</v>
      </c>
      <c r="J231" s="139" t="s">
        <v>4</v>
      </c>
      <c r="K231" s="140" t="s">
        <v>4</v>
      </c>
      <c r="L231" s="129"/>
      <c r="M231" s="114" t="str">
        <f>IF(Main[[#This Row],[Tech Start Date]]&lt;1/1/1990,"",IF(Main[[#This Row],[Class]]="C",WORKDAY(Main[[#This Row],[Tech Start Date]],9),IF(Main[[#This Row],[Class]]="B", WORKDAY(Main[[#This Row],[Tech Start Date]],6),IF(Main[[#This Row],[Class]]="A",WORKDAY(Main[[#This Row],[Tech Start Date]],2),""))))</f>
        <v/>
      </c>
      <c r="N231" s="114" t="str">
        <f>IF(Main[[#This Row],[Tech Start Date]]&lt;1/1/1990,"",IF(Main[[#This Row],[Class]]="C",WORKDAY(Main[[#This Row],[Tech Start Date]],19),IF(Main[[#This Row],[Class]]="B", WORKDAY(Main[[#This Row],[Tech Start Date]],12),IF(Main[[#This Row],[Class]]="A",WORKDAY(Main[[#This Row],[Tech Start Date]],4),""))))</f>
        <v/>
      </c>
      <c r="O231" s="114" t="str">
        <f>IF(Main[[#This Row],[Tech Start Date]]&lt;1/1/1990,"",IF(Main[[#This Row],[Class]]="C",WORKDAY(Main[[#This Row],[Tech Start Date]],23),IF(Main[[#This Row],[Class]]="B", WORKDAY(Main[[#This Row],[Tech Start Date]],15),IF(Main[[#This Row],[Class]]="A",WORKDAY(Main[[#This Row],[Tech Start Date]],5),""))))</f>
        <v/>
      </c>
      <c r="P231" s="114" t="str">
        <f>IF(Main[[#This Row],[Tech Start Date]]&lt;1/1/1990,"",IF(Main[[#This Row],[Class]]="C",WORKDAY(Main[[#This Row],[Tech Start Date]],28),IF(Main[[#This Row],[Class]]="B", WORKDAY(Main[[#This Row],[Tech Start Date]],19),IF(Main[[#This Row],[Class]]="A",WORKDAY(Main[[#This Row],[Tech Start Date]],9),""))))</f>
        <v/>
      </c>
      <c r="Q231" s="129"/>
      <c r="R231" s="129"/>
      <c r="S231" s="139" t="s">
        <v>6</v>
      </c>
      <c r="T231" s="115" t="s">
        <v>4</v>
      </c>
      <c r="U231" s="139" t="s">
        <v>14</v>
      </c>
      <c r="V231" s="139" t="s">
        <v>1915</v>
      </c>
      <c r="W231" s="139" t="s">
        <v>1918</v>
      </c>
      <c r="X231" s="139" t="s">
        <v>399</v>
      </c>
      <c r="Y231" s="112" t="s">
        <v>4</v>
      </c>
      <c r="Z231" s="112" t="s">
        <v>4</v>
      </c>
      <c r="AA231" s="139" t="s">
        <v>3382</v>
      </c>
    </row>
    <row r="232" spans="1:27" ht="17.25" customHeight="1">
      <c r="A232" s="69" t="str">
        <f>IF(priority(Main[[#This Row],[Comments]])&lt;&gt;0, priority(Main[[#This Row],[Comments]]),"")</f>
        <v/>
      </c>
      <c r="B232" s="63" t="s">
        <v>1931</v>
      </c>
      <c r="C232" s="148" t="s">
        <v>4</v>
      </c>
      <c r="D232" s="113" t="s">
        <v>5</v>
      </c>
      <c r="E232" s="129">
        <v>40485.386250000003</v>
      </c>
      <c r="F232" s="129"/>
      <c r="G232" s="69" t="str">
        <f>IF(stdProdLT(Main[[#This Row],[Comments]])=0.1,"N/A",IF(stdProdLT(Main[[#This Row],[Comments]])=0,"",stdProdLT(Main[[#This Row],[Comments]])))</f>
        <v/>
      </c>
      <c r="H232" s="138" t="str">
        <f>IF(Main[[#This Row],[In Stock Date]]="N/A", "N/A",IF(AND(Main[[#This Row],[In Stock Date]]&lt;&gt;"",Main[[#This Row],[Revised Due Date]]&lt;&gt;"",Main[[#This Row],[In Stock Date]]&lt;&gt;""),Main[[#This Row],[In Stock Date]]-Main[[#This Row],[Revised Due Date]],""))</f>
        <v/>
      </c>
      <c r="I232" s="139" t="s">
        <v>4</v>
      </c>
      <c r="J232" s="139" t="s">
        <v>4</v>
      </c>
      <c r="K232" s="139" t="s">
        <v>4</v>
      </c>
      <c r="L232" s="129"/>
      <c r="M232" s="114" t="str">
        <f>IF(Main[[#This Row],[Tech Start Date]]&lt;1/1/1990,"",IF(Main[[#This Row],[Class]]="C",WORKDAY(Main[[#This Row],[Tech Start Date]],9),IF(Main[[#This Row],[Class]]="B", WORKDAY(Main[[#This Row],[Tech Start Date]],6),IF(Main[[#This Row],[Class]]="A",WORKDAY(Main[[#This Row],[Tech Start Date]],2),""))))</f>
        <v/>
      </c>
      <c r="N232" s="114" t="str">
        <f>IF(Main[[#This Row],[Tech Start Date]]&lt;1/1/1990,"",IF(Main[[#This Row],[Class]]="C",WORKDAY(Main[[#This Row],[Tech Start Date]],19),IF(Main[[#This Row],[Class]]="B", WORKDAY(Main[[#This Row],[Tech Start Date]],12),IF(Main[[#This Row],[Class]]="A",WORKDAY(Main[[#This Row],[Tech Start Date]],4),""))))</f>
        <v/>
      </c>
      <c r="O232" s="114" t="str">
        <f>IF(Main[[#This Row],[Tech Start Date]]&lt;1/1/1990,"",IF(Main[[#This Row],[Class]]="C",WORKDAY(Main[[#This Row],[Tech Start Date]],23),IF(Main[[#This Row],[Class]]="B", WORKDAY(Main[[#This Row],[Tech Start Date]],15),IF(Main[[#This Row],[Class]]="A",WORKDAY(Main[[#This Row],[Tech Start Date]],5),""))))</f>
        <v/>
      </c>
      <c r="P232" s="114" t="str">
        <f>IF(Main[[#This Row],[Tech Start Date]]&lt;1/1/1990,"",IF(Main[[#This Row],[Class]]="C",WORKDAY(Main[[#This Row],[Tech Start Date]],28),IF(Main[[#This Row],[Class]]="B", WORKDAY(Main[[#This Row],[Tech Start Date]],19),IF(Main[[#This Row],[Class]]="A",WORKDAY(Main[[#This Row],[Tech Start Date]],9),""))))</f>
        <v/>
      </c>
      <c r="Q232" s="129">
        <v>40508</v>
      </c>
      <c r="R232" s="129"/>
      <c r="S232" s="139" t="s">
        <v>6</v>
      </c>
      <c r="T232" s="115" t="s">
        <v>4</v>
      </c>
      <c r="U232" s="139" t="s">
        <v>7</v>
      </c>
      <c r="V232" s="139" t="s">
        <v>1914</v>
      </c>
      <c r="W232" s="139" t="s">
        <v>4</v>
      </c>
      <c r="X232" s="139" t="s">
        <v>2819</v>
      </c>
      <c r="Y232" s="112" t="s">
        <v>2932</v>
      </c>
      <c r="Z232" s="112" t="s">
        <v>4</v>
      </c>
      <c r="AA232" s="139" t="s">
        <v>2819</v>
      </c>
    </row>
    <row r="233" spans="1:27" ht="17.25" customHeight="1">
      <c r="A233" s="69" t="str">
        <f>IF(priority(Main[[#This Row],[Comments]])&lt;&gt;0, priority(Main[[#This Row],[Comments]]),"")</f>
        <v/>
      </c>
      <c r="B233" s="63" t="s">
        <v>1008</v>
      </c>
      <c r="C233" s="148" t="s">
        <v>4</v>
      </c>
      <c r="D233" s="113" t="s">
        <v>8</v>
      </c>
      <c r="E233" s="129">
        <v>40679.251782407409</v>
      </c>
      <c r="F233" s="129"/>
      <c r="G233" s="69" t="str">
        <f>IF(stdProdLT(Main[[#This Row],[Comments]])=0.1,"N/A",IF(stdProdLT(Main[[#This Row],[Comments]])=0,"",stdProdLT(Main[[#This Row],[Comments]])))</f>
        <v/>
      </c>
      <c r="H233" s="138" t="str">
        <f>IF(Main[[#This Row],[In Stock Date]]="N/A", "N/A",IF(AND(Main[[#This Row],[In Stock Date]]&lt;&gt;"",Main[[#This Row],[Revised Due Date]]&lt;&gt;"",Main[[#This Row],[In Stock Date]]&lt;&gt;""),Main[[#This Row],[In Stock Date]]-Main[[#This Row],[Revised Due Date]],""))</f>
        <v/>
      </c>
      <c r="I233" s="139" t="s">
        <v>4</v>
      </c>
      <c r="J233" s="139" t="s">
        <v>4</v>
      </c>
      <c r="K233" s="139" t="s">
        <v>4</v>
      </c>
      <c r="L233" s="129"/>
      <c r="M233" s="114" t="str">
        <f>IF(Main[[#This Row],[Tech Start Date]]&lt;1/1/1990,"",IF(Main[[#This Row],[Class]]="C",WORKDAY(Main[[#This Row],[Tech Start Date]],9),IF(Main[[#This Row],[Class]]="B", WORKDAY(Main[[#This Row],[Tech Start Date]],6),IF(Main[[#This Row],[Class]]="A",WORKDAY(Main[[#This Row],[Tech Start Date]],2),""))))</f>
        <v/>
      </c>
      <c r="N233" s="114" t="str">
        <f>IF(Main[[#This Row],[Tech Start Date]]&lt;1/1/1990,"",IF(Main[[#This Row],[Class]]="C",WORKDAY(Main[[#This Row],[Tech Start Date]],19),IF(Main[[#This Row],[Class]]="B", WORKDAY(Main[[#This Row],[Tech Start Date]],12),IF(Main[[#This Row],[Class]]="A",WORKDAY(Main[[#This Row],[Tech Start Date]],4),""))))</f>
        <v/>
      </c>
      <c r="O233" s="114" t="str">
        <f>IF(Main[[#This Row],[Tech Start Date]]&lt;1/1/1990,"",IF(Main[[#This Row],[Class]]="C",WORKDAY(Main[[#This Row],[Tech Start Date]],23),IF(Main[[#This Row],[Class]]="B", WORKDAY(Main[[#This Row],[Tech Start Date]],15),IF(Main[[#This Row],[Class]]="A",WORKDAY(Main[[#This Row],[Tech Start Date]],5),""))))</f>
        <v/>
      </c>
      <c r="P233" s="114" t="str">
        <f>IF(Main[[#This Row],[Tech Start Date]]&lt;1/1/1990,"",IF(Main[[#This Row],[Class]]="C",WORKDAY(Main[[#This Row],[Tech Start Date]],28),IF(Main[[#This Row],[Class]]="B", WORKDAY(Main[[#This Row],[Tech Start Date]],19),IF(Main[[#This Row],[Class]]="A",WORKDAY(Main[[#This Row],[Tech Start Date]],9),""))))</f>
        <v/>
      </c>
      <c r="Q233" s="129"/>
      <c r="R233" s="129"/>
      <c r="S233" s="139" t="s">
        <v>6</v>
      </c>
      <c r="T233" s="115" t="s">
        <v>4</v>
      </c>
      <c r="U233" s="139" t="s">
        <v>7</v>
      </c>
      <c r="V233" s="139" t="s">
        <v>1914</v>
      </c>
      <c r="W233" s="139" t="s">
        <v>4</v>
      </c>
      <c r="X233" s="139" t="s">
        <v>2822</v>
      </c>
      <c r="Y233" s="112" t="s">
        <v>2938</v>
      </c>
      <c r="Z233" s="112" t="s">
        <v>4</v>
      </c>
      <c r="AA233" s="139" t="s">
        <v>2822</v>
      </c>
    </row>
    <row r="234" spans="1:27" ht="17.25" customHeight="1">
      <c r="A234" s="69" t="str">
        <f>IF(priority(Main[[#This Row],[Comments]])&lt;&gt;0, priority(Main[[#This Row],[Comments]]),"")</f>
        <v/>
      </c>
      <c r="B234" s="63" t="s">
        <v>1009</v>
      </c>
      <c r="C234" s="148" t="s">
        <v>9</v>
      </c>
      <c r="D234" s="113" t="s">
        <v>10</v>
      </c>
      <c r="E234" s="129"/>
      <c r="F234" s="129"/>
      <c r="G234" s="69" t="str">
        <f>IF(stdProdLT(Main[[#This Row],[Comments]])=0.1,"N/A",IF(stdProdLT(Main[[#This Row],[Comments]])=0,"",stdProdLT(Main[[#This Row],[Comments]])))</f>
        <v/>
      </c>
      <c r="H234" s="138" t="str">
        <f>IF(Main[[#This Row],[In Stock Date]]="N/A", "N/A",IF(AND(Main[[#This Row],[In Stock Date]]&lt;&gt;"",Main[[#This Row],[Revised Due Date]]&lt;&gt;"",Main[[#This Row],[In Stock Date]]&lt;&gt;""),Main[[#This Row],[In Stock Date]]-Main[[#This Row],[Revised Due Date]],""))</f>
        <v/>
      </c>
      <c r="I234" s="139" t="s">
        <v>4</v>
      </c>
      <c r="J234" s="139" t="s">
        <v>4</v>
      </c>
      <c r="K234" s="139" t="s">
        <v>4</v>
      </c>
      <c r="L234" s="129"/>
      <c r="M234" s="114" t="str">
        <f>IF(Main[[#This Row],[Tech Start Date]]&lt;1/1/1990,"",IF(Main[[#This Row],[Class]]="C",WORKDAY(Main[[#This Row],[Tech Start Date]],9),IF(Main[[#This Row],[Class]]="B", WORKDAY(Main[[#This Row],[Tech Start Date]],6),IF(Main[[#This Row],[Class]]="A",WORKDAY(Main[[#This Row],[Tech Start Date]],2),""))))</f>
        <v/>
      </c>
      <c r="N234" s="114" t="str">
        <f>IF(Main[[#This Row],[Tech Start Date]]&lt;1/1/1990,"",IF(Main[[#This Row],[Class]]="C",WORKDAY(Main[[#This Row],[Tech Start Date]],19),IF(Main[[#This Row],[Class]]="B", WORKDAY(Main[[#This Row],[Tech Start Date]],12),IF(Main[[#This Row],[Class]]="A",WORKDAY(Main[[#This Row],[Tech Start Date]],4),""))))</f>
        <v/>
      </c>
      <c r="O234" s="114" t="str">
        <f>IF(Main[[#This Row],[Tech Start Date]]&lt;1/1/1990,"",IF(Main[[#This Row],[Class]]="C",WORKDAY(Main[[#This Row],[Tech Start Date]],23),IF(Main[[#This Row],[Class]]="B", WORKDAY(Main[[#This Row],[Tech Start Date]],15),IF(Main[[#This Row],[Class]]="A",WORKDAY(Main[[#This Row],[Tech Start Date]],5),""))))</f>
        <v/>
      </c>
      <c r="P234" s="114" t="str">
        <f>IF(Main[[#This Row],[Tech Start Date]]&lt;1/1/1990,"",IF(Main[[#This Row],[Class]]="C",WORKDAY(Main[[#This Row],[Tech Start Date]],28),IF(Main[[#This Row],[Class]]="B", WORKDAY(Main[[#This Row],[Tech Start Date]],19),IF(Main[[#This Row],[Class]]="A",WORKDAY(Main[[#This Row],[Tech Start Date]],9),""))))</f>
        <v/>
      </c>
      <c r="Q234" s="129">
        <v>40504</v>
      </c>
      <c r="R234" s="129"/>
      <c r="S234" s="139" t="s">
        <v>11</v>
      </c>
      <c r="T234" s="115" t="s">
        <v>4</v>
      </c>
      <c r="U234" s="139" t="s">
        <v>12</v>
      </c>
      <c r="V234" s="139" t="s">
        <v>1915</v>
      </c>
      <c r="W234" s="139" t="s">
        <v>1916</v>
      </c>
      <c r="X234" s="139" t="s">
        <v>2823</v>
      </c>
      <c r="Y234" s="112" t="s">
        <v>4</v>
      </c>
      <c r="Z234" s="112" t="s">
        <v>4</v>
      </c>
      <c r="AA234" s="139" t="s">
        <v>2823</v>
      </c>
    </row>
    <row r="235" spans="1:27" ht="17.25" customHeight="1">
      <c r="A235" s="69" t="str">
        <f>IF(priority(Main[[#This Row],[Comments]])&lt;&gt;0, priority(Main[[#This Row],[Comments]]),"")</f>
        <v/>
      </c>
      <c r="B235" s="63" t="s">
        <v>1010</v>
      </c>
      <c r="C235" s="148" t="s">
        <v>4</v>
      </c>
      <c r="D235" s="113" t="s">
        <v>13</v>
      </c>
      <c r="E235" s="129"/>
      <c r="F235" s="129"/>
      <c r="G235" s="69" t="str">
        <f>IF(stdProdLT(Main[[#This Row],[Comments]])=0.1,"N/A",IF(stdProdLT(Main[[#This Row],[Comments]])=0,"",stdProdLT(Main[[#This Row],[Comments]])))</f>
        <v/>
      </c>
      <c r="H235" s="138" t="str">
        <f>IF(Main[[#This Row],[In Stock Date]]="N/A", "N/A",IF(AND(Main[[#This Row],[In Stock Date]]&lt;&gt;"",Main[[#This Row],[Revised Due Date]]&lt;&gt;"",Main[[#This Row],[In Stock Date]]&lt;&gt;""),Main[[#This Row],[In Stock Date]]-Main[[#This Row],[Revised Due Date]],""))</f>
        <v/>
      </c>
      <c r="I235" s="139" t="s">
        <v>4</v>
      </c>
      <c r="J235" s="139" t="s">
        <v>4</v>
      </c>
      <c r="K235" s="139" t="s">
        <v>4</v>
      </c>
      <c r="L235" s="129"/>
      <c r="M235" s="114" t="str">
        <f>IF(Main[[#This Row],[Tech Start Date]]&lt;1/1/1990,"",IF(Main[[#This Row],[Class]]="C",WORKDAY(Main[[#This Row],[Tech Start Date]],9),IF(Main[[#This Row],[Class]]="B", WORKDAY(Main[[#This Row],[Tech Start Date]],6),IF(Main[[#This Row],[Class]]="A",WORKDAY(Main[[#This Row],[Tech Start Date]],2),""))))</f>
        <v/>
      </c>
      <c r="N235" s="114" t="str">
        <f>IF(Main[[#This Row],[Tech Start Date]]&lt;1/1/1990,"",IF(Main[[#This Row],[Class]]="C",WORKDAY(Main[[#This Row],[Tech Start Date]],19),IF(Main[[#This Row],[Class]]="B", WORKDAY(Main[[#This Row],[Tech Start Date]],12),IF(Main[[#This Row],[Class]]="A",WORKDAY(Main[[#This Row],[Tech Start Date]],4),""))))</f>
        <v/>
      </c>
      <c r="O235" s="114" t="str">
        <f>IF(Main[[#This Row],[Tech Start Date]]&lt;1/1/1990,"",IF(Main[[#This Row],[Class]]="C",WORKDAY(Main[[#This Row],[Tech Start Date]],23),IF(Main[[#This Row],[Class]]="B", WORKDAY(Main[[#This Row],[Tech Start Date]],15),IF(Main[[#This Row],[Class]]="A",WORKDAY(Main[[#This Row],[Tech Start Date]],5),""))))</f>
        <v/>
      </c>
      <c r="P235" s="114" t="str">
        <f>IF(Main[[#This Row],[Tech Start Date]]&lt;1/1/1990,"",IF(Main[[#This Row],[Class]]="C",WORKDAY(Main[[#This Row],[Tech Start Date]],28),IF(Main[[#This Row],[Class]]="B", WORKDAY(Main[[#This Row],[Tech Start Date]],19),IF(Main[[#This Row],[Class]]="A",WORKDAY(Main[[#This Row],[Tech Start Date]],9),""))))</f>
        <v/>
      </c>
      <c r="Q235" s="129"/>
      <c r="R235" s="129"/>
      <c r="S235" s="139" t="s">
        <v>6</v>
      </c>
      <c r="T235" s="115" t="s">
        <v>4</v>
      </c>
      <c r="U235" s="139" t="s">
        <v>14</v>
      </c>
      <c r="V235" s="139" t="s">
        <v>1917</v>
      </c>
      <c r="W235" s="139" t="s">
        <v>1918</v>
      </c>
      <c r="X235" s="139" t="s">
        <v>306</v>
      </c>
      <c r="Y235" s="112" t="s">
        <v>4</v>
      </c>
      <c r="Z235" s="112" t="s">
        <v>4</v>
      </c>
      <c r="AA235" s="139" t="s">
        <v>652</v>
      </c>
    </row>
    <row r="236" spans="1:27" ht="17.25" customHeight="1">
      <c r="A236" s="69" t="str">
        <f>IF(priority(Main[[#This Row],[Comments]])&lt;&gt;0, priority(Main[[#This Row],[Comments]]),"")</f>
        <v/>
      </c>
      <c r="B236" s="63" t="s">
        <v>1103</v>
      </c>
      <c r="C236" s="148" t="s">
        <v>4</v>
      </c>
      <c r="D236" s="113" t="s">
        <v>125</v>
      </c>
      <c r="E236" s="129"/>
      <c r="F236" s="129"/>
      <c r="G236" s="69" t="str">
        <f>IF(stdProdLT(Main[[#This Row],[Comments]])=0.1,"N/A",IF(stdProdLT(Main[[#This Row],[Comments]])=0,"",stdProdLT(Main[[#This Row],[Comments]])))</f>
        <v/>
      </c>
      <c r="H236" s="138" t="str">
        <f>IF(Main[[#This Row],[In Stock Date]]="N/A", "N/A",IF(AND(Main[[#This Row],[In Stock Date]]&lt;&gt;"",Main[[#This Row],[Revised Due Date]]&lt;&gt;"",Main[[#This Row],[In Stock Date]]&lt;&gt;""),Main[[#This Row],[In Stock Date]]-Main[[#This Row],[Revised Due Date]],""))</f>
        <v/>
      </c>
      <c r="I236" s="139" t="s">
        <v>126</v>
      </c>
      <c r="J236" s="139" t="s">
        <v>4</v>
      </c>
      <c r="K236" s="139" t="s">
        <v>4</v>
      </c>
      <c r="L236" s="129"/>
      <c r="M236" s="114" t="str">
        <f>IF(Main[[#This Row],[Tech Start Date]]&lt;1/1/1990,"",IF(Main[[#This Row],[Class]]="C",WORKDAY(Main[[#This Row],[Tech Start Date]],9),IF(Main[[#This Row],[Class]]="B", WORKDAY(Main[[#This Row],[Tech Start Date]],6),IF(Main[[#This Row],[Class]]="A",WORKDAY(Main[[#This Row],[Tech Start Date]],2),""))))</f>
        <v/>
      </c>
      <c r="N236" s="114" t="str">
        <f>IF(Main[[#This Row],[Tech Start Date]]&lt;1/1/1990,"",IF(Main[[#This Row],[Class]]="C",WORKDAY(Main[[#This Row],[Tech Start Date]],19),IF(Main[[#This Row],[Class]]="B", WORKDAY(Main[[#This Row],[Tech Start Date]],12),IF(Main[[#This Row],[Class]]="A",WORKDAY(Main[[#This Row],[Tech Start Date]],4),""))))</f>
        <v/>
      </c>
      <c r="O236" s="114" t="str">
        <f>IF(Main[[#This Row],[Tech Start Date]]&lt;1/1/1990,"",IF(Main[[#This Row],[Class]]="C",WORKDAY(Main[[#This Row],[Tech Start Date]],23),IF(Main[[#This Row],[Class]]="B", WORKDAY(Main[[#This Row],[Tech Start Date]],15),IF(Main[[#This Row],[Class]]="A",WORKDAY(Main[[#This Row],[Tech Start Date]],5),""))))</f>
        <v/>
      </c>
      <c r="P236" s="114" t="str">
        <f>IF(Main[[#This Row],[Tech Start Date]]&lt;1/1/1990,"",IF(Main[[#This Row],[Class]]="C",WORKDAY(Main[[#This Row],[Tech Start Date]],28),IF(Main[[#This Row],[Class]]="B", WORKDAY(Main[[#This Row],[Tech Start Date]],19),IF(Main[[#This Row],[Class]]="A",WORKDAY(Main[[#This Row],[Tech Start Date]],9),""))))</f>
        <v/>
      </c>
      <c r="Q236" s="129">
        <v>40025</v>
      </c>
      <c r="R236" s="129"/>
      <c r="S236" s="139" t="s">
        <v>11</v>
      </c>
      <c r="T236" s="115" t="s">
        <v>4</v>
      </c>
      <c r="U236" s="139" t="s">
        <v>14</v>
      </c>
      <c r="V236" s="139" t="s">
        <v>1914</v>
      </c>
      <c r="W236" s="139" t="s">
        <v>1922</v>
      </c>
      <c r="X236" s="139" t="s">
        <v>2853</v>
      </c>
      <c r="Y236" s="112" t="s">
        <v>2991</v>
      </c>
      <c r="Z236" s="112" t="s">
        <v>81</v>
      </c>
      <c r="AA236" s="139" t="s">
        <v>2853</v>
      </c>
    </row>
    <row r="237" spans="1:27" ht="17.25" customHeight="1">
      <c r="A237" s="69" t="str">
        <f>IF(priority(Main[[#This Row],[Comments]])&lt;&gt;0, priority(Main[[#This Row],[Comments]]),"")</f>
        <v/>
      </c>
      <c r="B237" s="63" t="s">
        <v>1104</v>
      </c>
      <c r="C237" s="148" t="s">
        <v>4</v>
      </c>
      <c r="D237" s="113" t="s">
        <v>127</v>
      </c>
      <c r="E237" s="129"/>
      <c r="F237" s="129"/>
      <c r="G237" s="69" t="str">
        <f>IF(stdProdLT(Main[[#This Row],[Comments]])=0.1,"N/A",IF(stdProdLT(Main[[#This Row],[Comments]])=0,"",stdProdLT(Main[[#This Row],[Comments]])))</f>
        <v/>
      </c>
      <c r="H237" s="138" t="str">
        <f>IF(Main[[#This Row],[In Stock Date]]="N/A", "N/A",IF(AND(Main[[#This Row],[In Stock Date]]&lt;&gt;"",Main[[#This Row],[Revised Due Date]]&lt;&gt;"",Main[[#This Row],[In Stock Date]]&lt;&gt;""),Main[[#This Row],[In Stock Date]]-Main[[#This Row],[Revised Due Date]],""))</f>
        <v/>
      </c>
      <c r="I237" s="139" t="s">
        <v>30</v>
      </c>
      <c r="J237" s="139" t="s">
        <v>21</v>
      </c>
      <c r="K237" s="139" t="s">
        <v>4</v>
      </c>
      <c r="L237" s="129"/>
      <c r="M237" s="114" t="str">
        <f>IF(Main[[#This Row],[Tech Start Date]]&lt;1/1/1990,"",IF(Main[[#This Row],[Class]]="C",WORKDAY(Main[[#This Row],[Tech Start Date]],9),IF(Main[[#This Row],[Class]]="B", WORKDAY(Main[[#This Row],[Tech Start Date]],6),IF(Main[[#This Row],[Class]]="A",WORKDAY(Main[[#This Row],[Tech Start Date]],2),""))))</f>
        <v/>
      </c>
      <c r="N237" s="114" t="str">
        <f>IF(Main[[#This Row],[Tech Start Date]]&lt;1/1/1990,"",IF(Main[[#This Row],[Class]]="C",WORKDAY(Main[[#This Row],[Tech Start Date]],19),IF(Main[[#This Row],[Class]]="B", WORKDAY(Main[[#This Row],[Tech Start Date]],12),IF(Main[[#This Row],[Class]]="A",WORKDAY(Main[[#This Row],[Tech Start Date]],4),""))))</f>
        <v/>
      </c>
      <c r="O237" s="114" t="str">
        <f>IF(Main[[#This Row],[Tech Start Date]]&lt;1/1/1990,"",IF(Main[[#This Row],[Class]]="C",WORKDAY(Main[[#This Row],[Tech Start Date]],23),IF(Main[[#This Row],[Class]]="B", WORKDAY(Main[[#This Row],[Tech Start Date]],15),IF(Main[[#This Row],[Class]]="A",WORKDAY(Main[[#This Row],[Tech Start Date]],5),""))))</f>
        <v/>
      </c>
      <c r="P237" s="114" t="str">
        <f>IF(Main[[#This Row],[Tech Start Date]]&lt;1/1/1990,"",IF(Main[[#This Row],[Class]]="C",WORKDAY(Main[[#This Row],[Tech Start Date]],28),IF(Main[[#This Row],[Class]]="B", WORKDAY(Main[[#This Row],[Tech Start Date]],19),IF(Main[[#This Row],[Class]]="A",WORKDAY(Main[[#This Row],[Tech Start Date]],9),""))))</f>
        <v/>
      </c>
      <c r="Q237" s="129">
        <v>40508</v>
      </c>
      <c r="R237" s="129"/>
      <c r="S237" s="139" t="s">
        <v>6</v>
      </c>
      <c r="T237" s="115" t="s">
        <v>4</v>
      </c>
      <c r="U237" s="139" t="s">
        <v>14</v>
      </c>
      <c r="V237" s="139" t="s">
        <v>1917</v>
      </c>
      <c r="W237" s="139" t="s">
        <v>1916</v>
      </c>
      <c r="X237" s="139" t="s">
        <v>2818</v>
      </c>
      <c r="Y237" s="112" t="s">
        <v>2929</v>
      </c>
      <c r="Z237" s="112" t="s">
        <v>530</v>
      </c>
      <c r="AA237" s="139" t="s">
        <v>2818</v>
      </c>
    </row>
    <row r="238" spans="1:27" ht="17.25" customHeight="1">
      <c r="A238" s="69" t="str">
        <f>IF(priority(Main[[#This Row],[Comments]])&lt;&gt;0, priority(Main[[#This Row],[Comments]]),"")</f>
        <v/>
      </c>
      <c r="B238" s="63" t="s">
        <v>3245</v>
      </c>
      <c r="C238" s="148" t="s">
        <v>72</v>
      </c>
      <c r="D238" s="113" t="s">
        <v>3246</v>
      </c>
      <c r="E238" s="129"/>
      <c r="F238" s="129"/>
      <c r="G238" s="69" t="str">
        <f>IF(stdProdLT(Main[[#This Row],[Comments]])=0.1,"N/A",IF(stdProdLT(Main[[#This Row],[Comments]])=0,"",stdProdLT(Main[[#This Row],[Comments]])))</f>
        <v/>
      </c>
      <c r="H238" s="138" t="str">
        <f>IF(Main[[#This Row],[In Stock Date]]="N/A", "N/A",IF(AND(Main[[#This Row],[In Stock Date]]&lt;&gt;"",Main[[#This Row],[Revised Due Date]]&lt;&gt;"",Main[[#This Row],[In Stock Date]]&lt;&gt;""),Main[[#This Row],[In Stock Date]]-Main[[#This Row],[Revised Due Date]],""))</f>
        <v/>
      </c>
      <c r="I238" s="139" t="s">
        <v>4</v>
      </c>
      <c r="J238" s="139" t="s">
        <v>4</v>
      </c>
      <c r="K238" s="139" t="s">
        <v>4</v>
      </c>
      <c r="L238" s="129"/>
      <c r="M238" s="114" t="str">
        <f>IF(Main[[#This Row],[Tech Start Date]]&lt;1/1/1990,"",IF(Main[[#This Row],[Class]]="C",WORKDAY(Main[[#This Row],[Tech Start Date]],9),IF(Main[[#This Row],[Class]]="B", WORKDAY(Main[[#This Row],[Tech Start Date]],6),IF(Main[[#This Row],[Class]]="A",WORKDAY(Main[[#This Row],[Tech Start Date]],2),""))))</f>
        <v/>
      </c>
      <c r="N238" s="114" t="str">
        <f>IF(Main[[#This Row],[Tech Start Date]]&lt;1/1/1990,"",IF(Main[[#This Row],[Class]]="C",WORKDAY(Main[[#This Row],[Tech Start Date]],19),IF(Main[[#This Row],[Class]]="B", WORKDAY(Main[[#This Row],[Tech Start Date]],12),IF(Main[[#This Row],[Class]]="A",WORKDAY(Main[[#This Row],[Tech Start Date]],4),""))))</f>
        <v/>
      </c>
      <c r="O238" s="114" t="str">
        <f>IF(Main[[#This Row],[Tech Start Date]]&lt;1/1/1990,"",IF(Main[[#This Row],[Class]]="C",WORKDAY(Main[[#This Row],[Tech Start Date]],23),IF(Main[[#This Row],[Class]]="B", WORKDAY(Main[[#This Row],[Tech Start Date]],15),IF(Main[[#This Row],[Class]]="A",WORKDAY(Main[[#This Row],[Tech Start Date]],5),""))))</f>
        <v/>
      </c>
      <c r="P238" s="114" t="str">
        <f>IF(Main[[#This Row],[Tech Start Date]]&lt;1/1/1990,"",IF(Main[[#This Row],[Class]]="C",WORKDAY(Main[[#This Row],[Tech Start Date]],28),IF(Main[[#This Row],[Class]]="B", WORKDAY(Main[[#This Row],[Tech Start Date]],19),IF(Main[[#This Row],[Class]]="A",WORKDAY(Main[[#This Row],[Tech Start Date]],9),""))))</f>
        <v/>
      </c>
      <c r="Q238" s="129"/>
      <c r="R238" s="129"/>
      <c r="S238" s="139" t="s">
        <v>11</v>
      </c>
      <c r="T238" s="115" t="s">
        <v>4</v>
      </c>
      <c r="U238" s="139" t="s">
        <v>14</v>
      </c>
      <c r="V238" s="139" t="s">
        <v>1915</v>
      </c>
      <c r="W238" s="139" t="s">
        <v>1922</v>
      </c>
      <c r="X238" s="139" t="s">
        <v>2847</v>
      </c>
      <c r="Y238" s="112" t="s">
        <v>2978</v>
      </c>
      <c r="Z238" s="112" t="s">
        <v>4</v>
      </c>
      <c r="AA238" s="139" t="s">
        <v>2847</v>
      </c>
    </row>
    <row r="239" spans="1:27" ht="17.25" customHeight="1">
      <c r="A239" s="69" t="str">
        <f>IF(priority(Main[[#This Row],[Comments]])&lt;&gt;0, priority(Main[[#This Row],[Comments]]),"")</f>
        <v/>
      </c>
      <c r="B239" s="63" t="s">
        <v>1105</v>
      </c>
      <c r="C239" s="148" t="s">
        <v>4</v>
      </c>
      <c r="D239" s="113" t="s">
        <v>128</v>
      </c>
      <c r="E239" s="129"/>
      <c r="F239" s="129"/>
      <c r="G239" s="69" t="str">
        <f>IF(stdProdLT(Main[[#This Row],[Comments]])=0.1,"N/A",IF(stdProdLT(Main[[#This Row],[Comments]])=0,"",stdProdLT(Main[[#This Row],[Comments]])))</f>
        <v/>
      </c>
      <c r="H239" s="138" t="str">
        <f>IF(Main[[#This Row],[In Stock Date]]="N/A", "N/A",IF(AND(Main[[#This Row],[In Stock Date]]&lt;&gt;"",Main[[#This Row],[Revised Due Date]]&lt;&gt;"",Main[[#This Row],[In Stock Date]]&lt;&gt;""),Main[[#This Row],[In Stock Date]]-Main[[#This Row],[Revised Due Date]],""))</f>
        <v/>
      </c>
      <c r="I239" s="139" t="s">
        <v>129</v>
      </c>
      <c r="J239" s="139" t="s">
        <v>4</v>
      </c>
      <c r="K239" s="139" t="s">
        <v>4</v>
      </c>
      <c r="L239" s="129"/>
      <c r="M239" s="114" t="str">
        <f>IF(Main[[#This Row],[Tech Start Date]]&lt;1/1/1990,"",IF(Main[[#This Row],[Class]]="C",WORKDAY(Main[[#This Row],[Tech Start Date]],9),IF(Main[[#This Row],[Class]]="B", WORKDAY(Main[[#This Row],[Tech Start Date]],6),IF(Main[[#This Row],[Class]]="A",WORKDAY(Main[[#This Row],[Tech Start Date]],2),""))))</f>
        <v/>
      </c>
      <c r="N239" s="114" t="str">
        <f>IF(Main[[#This Row],[Tech Start Date]]&lt;1/1/1990,"",IF(Main[[#This Row],[Class]]="C",WORKDAY(Main[[#This Row],[Tech Start Date]],19),IF(Main[[#This Row],[Class]]="B", WORKDAY(Main[[#This Row],[Tech Start Date]],12),IF(Main[[#This Row],[Class]]="A",WORKDAY(Main[[#This Row],[Tech Start Date]],4),""))))</f>
        <v/>
      </c>
      <c r="O239" s="114" t="str">
        <f>IF(Main[[#This Row],[Tech Start Date]]&lt;1/1/1990,"",IF(Main[[#This Row],[Class]]="C",WORKDAY(Main[[#This Row],[Tech Start Date]],23),IF(Main[[#This Row],[Class]]="B", WORKDAY(Main[[#This Row],[Tech Start Date]],15),IF(Main[[#This Row],[Class]]="A",WORKDAY(Main[[#This Row],[Tech Start Date]],5),""))))</f>
        <v/>
      </c>
      <c r="P239" s="114" t="str">
        <f>IF(Main[[#This Row],[Tech Start Date]]&lt;1/1/1990,"",IF(Main[[#This Row],[Class]]="C",WORKDAY(Main[[#This Row],[Tech Start Date]],28),IF(Main[[#This Row],[Class]]="B", WORKDAY(Main[[#This Row],[Tech Start Date]],19),IF(Main[[#This Row],[Class]]="A",WORKDAY(Main[[#This Row],[Tech Start Date]],9),""))))</f>
        <v/>
      </c>
      <c r="Q239" s="129"/>
      <c r="R239" s="129"/>
      <c r="S239" s="139" t="s">
        <v>17</v>
      </c>
      <c r="T239" s="115" t="s">
        <v>4</v>
      </c>
      <c r="U239" s="139" t="s">
        <v>14</v>
      </c>
      <c r="V239" s="139" t="s">
        <v>1914</v>
      </c>
      <c r="W239" s="139" t="s">
        <v>1918</v>
      </c>
      <c r="X239" s="139" t="s">
        <v>922</v>
      </c>
      <c r="Y239" s="112" t="s">
        <v>2992</v>
      </c>
      <c r="Z239" s="112" t="s">
        <v>4</v>
      </c>
      <c r="AA239" s="139" t="s">
        <v>129</v>
      </c>
    </row>
    <row r="240" spans="1:27" ht="17.25" customHeight="1">
      <c r="A240" s="69" t="str">
        <f>IF(priority(Main[[#This Row],[Comments]])&lt;&gt;0, priority(Main[[#This Row],[Comments]]),"")</f>
        <v/>
      </c>
      <c r="B240" s="63" t="s">
        <v>2680</v>
      </c>
      <c r="C240" s="148" t="s">
        <v>42</v>
      </c>
      <c r="D240" s="113" t="s">
        <v>2681</v>
      </c>
      <c r="E240" s="129">
        <v>40897.730937499997</v>
      </c>
      <c r="F240" s="129"/>
      <c r="G240" s="69" t="str">
        <f>IF(stdProdLT(Main[[#This Row],[Comments]])=0.1,"N/A",IF(stdProdLT(Main[[#This Row],[Comments]])=0,"",stdProdLT(Main[[#This Row],[Comments]])))</f>
        <v/>
      </c>
      <c r="H240" s="138" t="str">
        <f>IF(Main[[#This Row],[In Stock Date]]="N/A", "N/A",IF(AND(Main[[#This Row],[In Stock Date]]&lt;&gt;"",Main[[#This Row],[Revised Due Date]]&lt;&gt;"",Main[[#This Row],[In Stock Date]]&lt;&gt;""),Main[[#This Row],[In Stock Date]]-Main[[#This Row],[Revised Due Date]],""))</f>
        <v/>
      </c>
      <c r="I240" s="139" t="s">
        <v>239</v>
      </c>
      <c r="J240" s="139" t="s">
        <v>21</v>
      </c>
      <c r="K240" s="139" t="s">
        <v>1923</v>
      </c>
      <c r="L240" s="129"/>
      <c r="M240" s="114" t="str">
        <f>IF(Main[[#This Row],[Tech Start Date]]&lt;1/1/1990,"",IF(Main[[#This Row],[Class]]="C",WORKDAY(Main[[#This Row],[Tech Start Date]],9),IF(Main[[#This Row],[Class]]="B", WORKDAY(Main[[#This Row],[Tech Start Date]],6),IF(Main[[#This Row],[Class]]="A",WORKDAY(Main[[#This Row],[Tech Start Date]],2),""))))</f>
        <v/>
      </c>
      <c r="N240" s="114" t="str">
        <f>IF(Main[[#This Row],[Tech Start Date]]&lt;1/1/1990,"",IF(Main[[#This Row],[Class]]="C",WORKDAY(Main[[#This Row],[Tech Start Date]],19),IF(Main[[#This Row],[Class]]="B", WORKDAY(Main[[#This Row],[Tech Start Date]],12),IF(Main[[#This Row],[Class]]="A",WORKDAY(Main[[#This Row],[Tech Start Date]],4),""))))</f>
        <v/>
      </c>
      <c r="O240" s="114" t="str">
        <f>IF(Main[[#This Row],[Tech Start Date]]&lt;1/1/1990,"",IF(Main[[#This Row],[Class]]="C",WORKDAY(Main[[#This Row],[Tech Start Date]],23),IF(Main[[#This Row],[Class]]="B", WORKDAY(Main[[#This Row],[Tech Start Date]],15),IF(Main[[#This Row],[Class]]="A",WORKDAY(Main[[#This Row],[Tech Start Date]],5),""))))</f>
        <v/>
      </c>
      <c r="P240" s="114" t="str">
        <f>IF(Main[[#This Row],[Tech Start Date]]&lt;1/1/1990,"",IF(Main[[#This Row],[Class]]="C",WORKDAY(Main[[#This Row],[Tech Start Date]],28),IF(Main[[#This Row],[Class]]="B", WORKDAY(Main[[#This Row],[Tech Start Date]],19),IF(Main[[#This Row],[Class]]="A",WORKDAY(Main[[#This Row],[Tech Start Date]],9),""))))</f>
        <v/>
      </c>
      <c r="Q240" s="129">
        <v>41244</v>
      </c>
      <c r="R240" s="129"/>
      <c r="S240" s="139" t="s">
        <v>6</v>
      </c>
      <c r="T240" s="115" t="s">
        <v>4</v>
      </c>
      <c r="U240" s="139" t="s">
        <v>29</v>
      </c>
      <c r="V240" s="139" t="s">
        <v>1924</v>
      </c>
      <c r="W240" s="139" t="s">
        <v>1916</v>
      </c>
      <c r="X240" s="139" t="s">
        <v>30</v>
      </c>
      <c r="Y240" s="112" t="s">
        <v>2940</v>
      </c>
      <c r="Z240" s="112" t="s">
        <v>530</v>
      </c>
      <c r="AA240" s="139" t="s">
        <v>30</v>
      </c>
    </row>
    <row r="241" spans="1:27" ht="17.25" customHeight="1">
      <c r="A241" s="69" t="str">
        <f>IF(priority(Main[[#This Row],[Comments]])&lt;&gt;0, priority(Main[[#This Row],[Comments]]),"")</f>
        <v/>
      </c>
      <c r="B241" s="63" t="s">
        <v>1082</v>
      </c>
      <c r="C241" s="148" t="s">
        <v>4</v>
      </c>
      <c r="D241" s="113" t="s">
        <v>132</v>
      </c>
      <c r="E241" s="129"/>
      <c r="F241" s="129">
        <v>40598</v>
      </c>
      <c r="G241" s="69" t="str">
        <f>IF(stdProdLT(Main[[#This Row],[Comments]])=0.1,"N/A",IF(stdProdLT(Main[[#This Row],[Comments]])=0,"",stdProdLT(Main[[#This Row],[Comments]])))</f>
        <v/>
      </c>
      <c r="H241" s="138" t="str">
        <f>IF(Main[[#This Row],[In Stock Date]]="N/A", "N/A",IF(AND(Main[[#This Row],[In Stock Date]]&lt;&gt;"",Main[[#This Row],[Revised Due Date]]&lt;&gt;"",Main[[#This Row],[In Stock Date]]&lt;&gt;""),Main[[#This Row],[In Stock Date]]-Main[[#This Row],[Revised Due Date]],""))</f>
        <v/>
      </c>
      <c r="I241" s="139" t="s">
        <v>4</v>
      </c>
      <c r="J241" s="139" t="s">
        <v>4</v>
      </c>
      <c r="K241" s="139" t="s">
        <v>4</v>
      </c>
      <c r="L241" s="129"/>
      <c r="M241" s="114" t="str">
        <f>IF(Main[[#This Row],[Tech Start Date]]&lt;1/1/1990,"",IF(Main[[#This Row],[Class]]="C",WORKDAY(Main[[#This Row],[Tech Start Date]],9),IF(Main[[#This Row],[Class]]="B", WORKDAY(Main[[#This Row],[Tech Start Date]],6),IF(Main[[#This Row],[Class]]="A",WORKDAY(Main[[#This Row],[Tech Start Date]],2),""))))</f>
        <v/>
      </c>
      <c r="N241" s="114" t="str">
        <f>IF(Main[[#This Row],[Tech Start Date]]&lt;1/1/1990,"",IF(Main[[#This Row],[Class]]="C",WORKDAY(Main[[#This Row],[Tech Start Date]],19),IF(Main[[#This Row],[Class]]="B", WORKDAY(Main[[#This Row],[Tech Start Date]],12),IF(Main[[#This Row],[Class]]="A",WORKDAY(Main[[#This Row],[Tech Start Date]],4),""))))</f>
        <v/>
      </c>
      <c r="O241" s="114" t="str">
        <f>IF(Main[[#This Row],[Tech Start Date]]&lt;1/1/1990,"",IF(Main[[#This Row],[Class]]="C",WORKDAY(Main[[#This Row],[Tech Start Date]],23),IF(Main[[#This Row],[Class]]="B", WORKDAY(Main[[#This Row],[Tech Start Date]],15),IF(Main[[#This Row],[Class]]="A",WORKDAY(Main[[#This Row],[Tech Start Date]],5),""))))</f>
        <v/>
      </c>
      <c r="P241" s="114" t="str">
        <f>IF(Main[[#This Row],[Tech Start Date]]&lt;1/1/1990,"",IF(Main[[#This Row],[Class]]="C",WORKDAY(Main[[#This Row],[Tech Start Date]],28),IF(Main[[#This Row],[Class]]="B", WORKDAY(Main[[#This Row],[Tech Start Date]],19),IF(Main[[#This Row],[Class]]="A",WORKDAY(Main[[#This Row],[Tech Start Date]],9),""))))</f>
        <v/>
      </c>
      <c r="Q241" s="129">
        <v>40598</v>
      </c>
      <c r="R241" s="129"/>
      <c r="S241" s="139" t="s">
        <v>11</v>
      </c>
      <c r="T241" s="115" t="s">
        <v>4</v>
      </c>
      <c r="U241" s="139" t="s">
        <v>14</v>
      </c>
      <c r="V241" s="139" t="s">
        <v>1924</v>
      </c>
      <c r="W241" s="139" t="s">
        <v>1920</v>
      </c>
      <c r="X241" s="139" t="s">
        <v>2848</v>
      </c>
      <c r="Y241" s="112" t="s">
        <v>2979</v>
      </c>
      <c r="Z241" s="112" t="s">
        <v>4</v>
      </c>
      <c r="AA241" s="139" t="s">
        <v>2848</v>
      </c>
    </row>
    <row r="242" spans="1:27" ht="17.25" customHeight="1">
      <c r="A242" s="69" t="str">
        <f>IF(priority(Main[[#This Row],[Comments]])&lt;&gt;0, priority(Main[[#This Row],[Comments]]),"")</f>
        <v/>
      </c>
      <c r="B242" s="63" t="s">
        <v>1084</v>
      </c>
      <c r="C242" s="148" t="s">
        <v>4</v>
      </c>
      <c r="D242" s="113" t="s">
        <v>134</v>
      </c>
      <c r="E242" s="129">
        <v>40683.594340277778</v>
      </c>
      <c r="F242" s="129"/>
      <c r="G242" s="69" t="str">
        <f>IF(stdProdLT(Main[[#This Row],[Comments]])=0.1,"N/A",IF(stdProdLT(Main[[#This Row],[Comments]])=0,"",stdProdLT(Main[[#This Row],[Comments]])))</f>
        <v/>
      </c>
      <c r="H242" s="138" t="str">
        <f>IF(Main[[#This Row],[In Stock Date]]="N/A", "N/A",IF(AND(Main[[#This Row],[In Stock Date]]&lt;&gt;"",Main[[#This Row],[Revised Due Date]]&lt;&gt;"",Main[[#This Row],[In Stock Date]]&lt;&gt;""),Main[[#This Row],[In Stock Date]]-Main[[#This Row],[Revised Due Date]],""))</f>
        <v/>
      </c>
      <c r="I242" s="139" t="s">
        <v>4</v>
      </c>
      <c r="J242" s="139" t="s">
        <v>4</v>
      </c>
      <c r="K242" s="139" t="s">
        <v>4</v>
      </c>
      <c r="L242" s="129"/>
      <c r="M242" s="114" t="str">
        <f>IF(Main[[#This Row],[Tech Start Date]]&lt;1/1/1990,"",IF(Main[[#This Row],[Class]]="C",WORKDAY(Main[[#This Row],[Tech Start Date]],9),IF(Main[[#This Row],[Class]]="B", WORKDAY(Main[[#This Row],[Tech Start Date]],6),IF(Main[[#This Row],[Class]]="A",WORKDAY(Main[[#This Row],[Tech Start Date]],2),""))))</f>
        <v/>
      </c>
      <c r="N242" s="114" t="str">
        <f>IF(Main[[#This Row],[Tech Start Date]]&lt;1/1/1990,"",IF(Main[[#This Row],[Class]]="C",WORKDAY(Main[[#This Row],[Tech Start Date]],19),IF(Main[[#This Row],[Class]]="B", WORKDAY(Main[[#This Row],[Tech Start Date]],12),IF(Main[[#This Row],[Class]]="A",WORKDAY(Main[[#This Row],[Tech Start Date]],4),""))))</f>
        <v/>
      </c>
      <c r="O242" s="114" t="str">
        <f>IF(Main[[#This Row],[Tech Start Date]]&lt;1/1/1990,"",IF(Main[[#This Row],[Class]]="C",WORKDAY(Main[[#This Row],[Tech Start Date]],23),IF(Main[[#This Row],[Class]]="B", WORKDAY(Main[[#This Row],[Tech Start Date]],15),IF(Main[[#This Row],[Class]]="A",WORKDAY(Main[[#This Row],[Tech Start Date]],5),""))))</f>
        <v/>
      </c>
      <c r="P242" s="114" t="str">
        <f>IF(Main[[#This Row],[Tech Start Date]]&lt;1/1/1990,"",IF(Main[[#This Row],[Class]]="C",WORKDAY(Main[[#This Row],[Tech Start Date]],28),IF(Main[[#This Row],[Class]]="B", WORKDAY(Main[[#This Row],[Tech Start Date]],19),IF(Main[[#This Row],[Class]]="A",WORKDAY(Main[[#This Row],[Tech Start Date]],9),""))))</f>
        <v/>
      </c>
      <c r="Q242" s="129">
        <v>40718</v>
      </c>
      <c r="R242" s="129"/>
      <c r="S242" s="139" t="s">
        <v>6</v>
      </c>
      <c r="T242" s="115" t="s">
        <v>4</v>
      </c>
      <c r="U242" s="139" t="s">
        <v>7</v>
      </c>
      <c r="V242" s="139" t="s">
        <v>1914</v>
      </c>
      <c r="W242" s="139" t="s">
        <v>1922</v>
      </c>
      <c r="X242" s="139" t="s">
        <v>2821</v>
      </c>
      <c r="Y242" s="112" t="s">
        <v>2936</v>
      </c>
      <c r="Z242" s="112" t="s">
        <v>4</v>
      </c>
      <c r="AA242" s="139" t="s">
        <v>2821</v>
      </c>
    </row>
    <row r="243" spans="1:27" ht="17.25" customHeight="1">
      <c r="A243" s="69" t="str">
        <f>IF(priority(Main[[#This Row],[Comments]])&lt;&gt;0, priority(Main[[#This Row],[Comments]]),"")</f>
        <v/>
      </c>
      <c r="B243" s="63" t="s">
        <v>1085</v>
      </c>
      <c r="C243" s="148" t="s">
        <v>4</v>
      </c>
      <c r="D243" s="113" t="s">
        <v>135</v>
      </c>
      <c r="E243" s="129">
        <v>40312.634143518517</v>
      </c>
      <c r="F243" s="129"/>
      <c r="G243" s="69" t="str">
        <f>IF(stdProdLT(Main[[#This Row],[Comments]])=0.1,"N/A",IF(stdProdLT(Main[[#This Row],[Comments]])=0,"",stdProdLT(Main[[#This Row],[Comments]])))</f>
        <v/>
      </c>
      <c r="H243" s="138" t="str">
        <f>IF(Main[[#This Row],[In Stock Date]]="N/A", "N/A",IF(AND(Main[[#This Row],[In Stock Date]]&lt;&gt;"",Main[[#This Row],[Revised Due Date]]&lt;&gt;"",Main[[#This Row],[In Stock Date]]&lt;&gt;""),Main[[#This Row],[In Stock Date]]-Main[[#This Row],[Revised Due Date]],""))</f>
        <v/>
      </c>
      <c r="I243" s="139" t="s">
        <v>129</v>
      </c>
      <c r="J243" s="139" t="s">
        <v>4</v>
      </c>
      <c r="K243" s="139" t="s">
        <v>4</v>
      </c>
      <c r="L243" s="129"/>
      <c r="M243" s="114" t="str">
        <f>IF(Main[[#This Row],[Tech Start Date]]&lt;1/1/1990,"",IF(Main[[#This Row],[Class]]="C",WORKDAY(Main[[#This Row],[Tech Start Date]],9),IF(Main[[#This Row],[Class]]="B", WORKDAY(Main[[#This Row],[Tech Start Date]],6),IF(Main[[#This Row],[Class]]="A",WORKDAY(Main[[#This Row],[Tech Start Date]],2),""))))</f>
        <v/>
      </c>
      <c r="N243" s="114" t="str">
        <f>IF(Main[[#This Row],[Tech Start Date]]&lt;1/1/1990,"",IF(Main[[#This Row],[Class]]="C",WORKDAY(Main[[#This Row],[Tech Start Date]],19),IF(Main[[#This Row],[Class]]="B", WORKDAY(Main[[#This Row],[Tech Start Date]],12),IF(Main[[#This Row],[Class]]="A",WORKDAY(Main[[#This Row],[Tech Start Date]],4),""))))</f>
        <v/>
      </c>
      <c r="O243" s="114" t="str">
        <f>IF(Main[[#This Row],[Tech Start Date]]&lt;1/1/1990,"",IF(Main[[#This Row],[Class]]="C",WORKDAY(Main[[#This Row],[Tech Start Date]],23),IF(Main[[#This Row],[Class]]="B", WORKDAY(Main[[#This Row],[Tech Start Date]],15),IF(Main[[#This Row],[Class]]="A",WORKDAY(Main[[#This Row],[Tech Start Date]],5),""))))</f>
        <v/>
      </c>
      <c r="P243" s="114" t="str">
        <f>IF(Main[[#This Row],[Tech Start Date]]&lt;1/1/1990,"",IF(Main[[#This Row],[Class]]="C",WORKDAY(Main[[#This Row],[Tech Start Date]],28),IF(Main[[#This Row],[Class]]="B", WORKDAY(Main[[#This Row],[Tech Start Date]],19),IF(Main[[#This Row],[Class]]="A",WORKDAY(Main[[#This Row],[Tech Start Date]],9),""))))</f>
        <v/>
      </c>
      <c r="Q243" s="129">
        <v>40329</v>
      </c>
      <c r="R243" s="129"/>
      <c r="S243" s="139" t="s">
        <v>6</v>
      </c>
      <c r="T243" s="115" t="s">
        <v>4</v>
      </c>
      <c r="U243" s="139" t="s">
        <v>7</v>
      </c>
      <c r="V243" s="139" t="s">
        <v>1914</v>
      </c>
      <c r="W243" s="139" t="s">
        <v>1916</v>
      </c>
      <c r="X243" s="139" t="s">
        <v>417</v>
      </c>
      <c r="Y243" s="112" t="s">
        <v>2980</v>
      </c>
      <c r="Z243" s="112" t="s">
        <v>4</v>
      </c>
      <c r="AA243" s="139" t="s">
        <v>3378</v>
      </c>
    </row>
    <row r="244" spans="1:27" ht="17.25" customHeight="1">
      <c r="A244" s="69" t="str">
        <f>IF(priority(Main[[#This Row],[Comments]])&lt;&gt;0, priority(Main[[#This Row],[Comments]]),"")</f>
        <v/>
      </c>
      <c r="B244" s="63" t="s">
        <v>1086</v>
      </c>
      <c r="C244" s="148" t="s">
        <v>4</v>
      </c>
      <c r="D244" s="113" t="s">
        <v>97</v>
      </c>
      <c r="E244" s="129"/>
      <c r="F244" s="129"/>
      <c r="G244" s="69" t="str">
        <f>IF(stdProdLT(Main[[#This Row],[Comments]])=0.1,"N/A",IF(stdProdLT(Main[[#This Row],[Comments]])=0,"",stdProdLT(Main[[#This Row],[Comments]])))</f>
        <v/>
      </c>
      <c r="H244" s="138" t="str">
        <f>IF(Main[[#This Row],[In Stock Date]]="N/A", "N/A",IF(AND(Main[[#This Row],[In Stock Date]]&lt;&gt;"",Main[[#This Row],[Revised Due Date]]&lt;&gt;"",Main[[#This Row],[In Stock Date]]&lt;&gt;""),Main[[#This Row],[In Stock Date]]-Main[[#This Row],[Revised Due Date]],""))</f>
        <v/>
      </c>
      <c r="I244" s="139" t="s">
        <v>4</v>
      </c>
      <c r="J244" s="139" t="s">
        <v>4</v>
      </c>
      <c r="K244" s="139" t="s">
        <v>4</v>
      </c>
      <c r="L244" s="129"/>
      <c r="M244" s="114" t="str">
        <f>IF(Main[[#This Row],[Tech Start Date]]&lt;1/1/1990,"",IF(Main[[#This Row],[Class]]="C",WORKDAY(Main[[#This Row],[Tech Start Date]],9),IF(Main[[#This Row],[Class]]="B", WORKDAY(Main[[#This Row],[Tech Start Date]],6),IF(Main[[#This Row],[Class]]="A",WORKDAY(Main[[#This Row],[Tech Start Date]],2),""))))</f>
        <v/>
      </c>
      <c r="N244" s="114" t="str">
        <f>IF(Main[[#This Row],[Tech Start Date]]&lt;1/1/1990,"",IF(Main[[#This Row],[Class]]="C",WORKDAY(Main[[#This Row],[Tech Start Date]],19),IF(Main[[#This Row],[Class]]="B", WORKDAY(Main[[#This Row],[Tech Start Date]],12),IF(Main[[#This Row],[Class]]="A",WORKDAY(Main[[#This Row],[Tech Start Date]],4),""))))</f>
        <v/>
      </c>
      <c r="O244" s="114" t="str">
        <f>IF(Main[[#This Row],[Tech Start Date]]&lt;1/1/1990,"",IF(Main[[#This Row],[Class]]="C",WORKDAY(Main[[#This Row],[Tech Start Date]],23),IF(Main[[#This Row],[Class]]="B", WORKDAY(Main[[#This Row],[Tech Start Date]],15),IF(Main[[#This Row],[Class]]="A",WORKDAY(Main[[#This Row],[Tech Start Date]],5),""))))</f>
        <v/>
      </c>
      <c r="P244" s="114" t="str">
        <f>IF(Main[[#This Row],[Tech Start Date]]&lt;1/1/1990,"",IF(Main[[#This Row],[Class]]="C",WORKDAY(Main[[#This Row],[Tech Start Date]],28),IF(Main[[#This Row],[Class]]="B", WORKDAY(Main[[#This Row],[Tech Start Date]],19),IF(Main[[#This Row],[Class]]="A",WORKDAY(Main[[#This Row],[Tech Start Date]],9),""))))</f>
        <v/>
      </c>
      <c r="Q244" s="129">
        <v>40858</v>
      </c>
      <c r="R244" s="129"/>
      <c r="S244" s="139" t="s">
        <v>17</v>
      </c>
      <c r="T244" s="115" t="s">
        <v>4</v>
      </c>
      <c r="U244" s="139" t="s">
        <v>14</v>
      </c>
      <c r="V244" s="139" t="s">
        <v>1914</v>
      </c>
      <c r="W244" s="139" t="s">
        <v>1919</v>
      </c>
      <c r="X244" s="139" t="s">
        <v>50</v>
      </c>
      <c r="Y244" s="112" t="s">
        <v>2959</v>
      </c>
      <c r="Z244" s="112" t="s">
        <v>4</v>
      </c>
      <c r="AA244" s="139" t="s">
        <v>2828</v>
      </c>
    </row>
    <row r="245" spans="1:27" ht="17.25" customHeight="1">
      <c r="A245" s="69" t="str">
        <f>IF(priority(Main[[#This Row],[Comments]])&lt;&gt;0, priority(Main[[#This Row],[Comments]]),"")</f>
        <v/>
      </c>
      <c r="B245" s="63" t="s">
        <v>1670</v>
      </c>
      <c r="C245" s="148" t="s">
        <v>4</v>
      </c>
      <c r="D245" s="113" t="s">
        <v>730</v>
      </c>
      <c r="E245" s="129"/>
      <c r="F245" s="129"/>
      <c r="G245" s="69" t="str">
        <f>IF(stdProdLT(Main[[#This Row],[Comments]])=0.1,"N/A",IF(stdProdLT(Main[[#This Row],[Comments]])=0,"",stdProdLT(Main[[#This Row],[Comments]])))</f>
        <v/>
      </c>
      <c r="H245" s="138" t="str">
        <f>IF(Main[[#This Row],[In Stock Date]]="N/A", "N/A",IF(AND(Main[[#This Row],[In Stock Date]]&lt;&gt;"",Main[[#This Row],[Revised Due Date]]&lt;&gt;"",Main[[#This Row],[In Stock Date]]&lt;&gt;""),Main[[#This Row],[In Stock Date]]-Main[[#This Row],[Revised Due Date]],""))</f>
        <v/>
      </c>
      <c r="I245" s="139" t="s">
        <v>4</v>
      </c>
      <c r="J245" s="139" t="s">
        <v>4</v>
      </c>
      <c r="K245" s="139" t="s">
        <v>4</v>
      </c>
      <c r="L245" s="129"/>
      <c r="M245" s="114" t="str">
        <f>IF(Main[[#This Row],[Tech Start Date]]&lt;1/1/1990,"",IF(Main[[#This Row],[Class]]="C",WORKDAY(Main[[#This Row],[Tech Start Date]],9),IF(Main[[#This Row],[Class]]="B", WORKDAY(Main[[#This Row],[Tech Start Date]],6),IF(Main[[#This Row],[Class]]="A",WORKDAY(Main[[#This Row],[Tech Start Date]],2),""))))</f>
        <v/>
      </c>
      <c r="N245" s="114" t="str">
        <f>IF(Main[[#This Row],[Tech Start Date]]&lt;1/1/1990,"",IF(Main[[#This Row],[Class]]="C",WORKDAY(Main[[#This Row],[Tech Start Date]],19),IF(Main[[#This Row],[Class]]="B", WORKDAY(Main[[#This Row],[Tech Start Date]],12),IF(Main[[#This Row],[Class]]="A",WORKDAY(Main[[#This Row],[Tech Start Date]],4),""))))</f>
        <v/>
      </c>
      <c r="O245" s="114" t="str">
        <f>IF(Main[[#This Row],[Tech Start Date]]&lt;1/1/1990,"",IF(Main[[#This Row],[Class]]="C",WORKDAY(Main[[#This Row],[Tech Start Date]],23),IF(Main[[#This Row],[Class]]="B", WORKDAY(Main[[#This Row],[Tech Start Date]],15),IF(Main[[#This Row],[Class]]="A",WORKDAY(Main[[#This Row],[Tech Start Date]],5),""))))</f>
        <v/>
      </c>
      <c r="P245" s="114" t="str">
        <f>IF(Main[[#This Row],[Tech Start Date]]&lt;1/1/1990,"",IF(Main[[#This Row],[Class]]="C",WORKDAY(Main[[#This Row],[Tech Start Date]],28),IF(Main[[#This Row],[Class]]="B", WORKDAY(Main[[#This Row],[Tech Start Date]],19),IF(Main[[#This Row],[Class]]="A",WORKDAY(Main[[#This Row],[Tech Start Date]],9),""))))</f>
        <v/>
      </c>
      <c r="Q245" s="129"/>
      <c r="R245" s="129"/>
      <c r="S245" s="139" t="s">
        <v>23</v>
      </c>
      <c r="T245" s="115" t="s">
        <v>4</v>
      </c>
      <c r="U245" s="139" t="s">
        <v>14</v>
      </c>
      <c r="V245" s="139" t="s">
        <v>1914</v>
      </c>
      <c r="W245" s="139" t="s">
        <v>1918</v>
      </c>
      <c r="X245" s="139" t="s">
        <v>399</v>
      </c>
      <c r="Y245" s="112" t="s">
        <v>4</v>
      </c>
      <c r="Z245" s="112" t="s">
        <v>4</v>
      </c>
      <c r="AA245" s="139" t="s">
        <v>3390</v>
      </c>
    </row>
    <row r="246" spans="1:27" ht="17.25" customHeight="1">
      <c r="A246" s="69" t="str">
        <f>IF(priority(Main[[#This Row],[Comments]])&lt;&gt;0, priority(Main[[#This Row],[Comments]]),"")</f>
        <v/>
      </c>
      <c r="B246" s="63" t="s">
        <v>1087</v>
      </c>
      <c r="C246" s="148" t="s">
        <v>113</v>
      </c>
      <c r="D246" s="113" t="s">
        <v>136</v>
      </c>
      <c r="E246" s="129"/>
      <c r="F246" s="129"/>
      <c r="G246" s="69" t="str">
        <f>IF(stdProdLT(Main[[#This Row],[Comments]])=0.1,"N/A",IF(stdProdLT(Main[[#This Row],[Comments]])=0,"",stdProdLT(Main[[#This Row],[Comments]])))</f>
        <v/>
      </c>
      <c r="H246" s="138" t="str">
        <f>IF(Main[[#This Row],[In Stock Date]]="N/A", "N/A",IF(AND(Main[[#This Row],[In Stock Date]]&lt;&gt;"",Main[[#This Row],[Revised Due Date]]&lt;&gt;"",Main[[#This Row],[In Stock Date]]&lt;&gt;""),Main[[#This Row],[In Stock Date]]-Main[[#This Row],[Revised Due Date]],""))</f>
        <v/>
      </c>
      <c r="I246" s="139" t="s">
        <v>4</v>
      </c>
      <c r="J246" s="139" t="s">
        <v>4</v>
      </c>
      <c r="K246" s="139" t="s">
        <v>4</v>
      </c>
      <c r="L246" s="129"/>
      <c r="M246" s="114" t="str">
        <f>IF(Main[[#This Row],[Tech Start Date]]&lt;1/1/1990,"",IF(Main[[#This Row],[Class]]="C",WORKDAY(Main[[#This Row],[Tech Start Date]],9),IF(Main[[#This Row],[Class]]="B", WORKDAY(Main[[#This Row],[Tech Start Date]],6),IF(Main[[#This Row],[Class]]="A",WORKDAY(Main[[#This Row],[Tech Start Date]],2),""))))</f>
        <v/>
      </c>
      <c r="N246" s="114" t="str">
        <f>IF(Main[[#This Row],[Tech Start Date]]&lt;1/1/1990,"",IF(Main[[#This Row],[Class]]="C",WORKDAY(Main[[#This Row],[Tech Start Date]],19),IF(Main[[#This Row],[Class]]="B", WORKDAY(Main[[#This Row],[Tech Start Date]],12),IF(Main[[#This Row],[Class]]="A",WORKDAY(Main[[#This Row],[Tech Start Date]],4),""))))</f>
        <v/>
      </c>
      <c r="O246" s="114" t="str">
        <f>IF(Main[[#This Row],[Tech Start Date]]&lt;1/1/1990,"",IF(Main[[#This Row],[Class]]="C",WORKDAY(Main[[#This Row],[Tech Start Date]],23),IF(Main[[#This Row],[Class]]="B", WORKDAY(Main[[#This Row],[Tech Start Date]],15),IF(Main[[#This Row],[Class]]="A",WORKDAY(Main[[#This Row],[Tech Start Date]],5),""))))</f>
        <v/>
      </c>
      <c r="P246" s="114" t="str">
        <f>IF(Main[[#This Row],[Tech Start Date]]&lt;1/1/1990,"",IF(Main[[#This Row],[Class]]="C",WORKDAY(Main[[#This Row],[Tech Start Date]],28),IF(Main[[#This Row],[Class]]="B", WORKDAY(Main[[#This Row],[Tech Start Date]],19),IF(Main[[#This Row],[Class]]="A",WORKDAY(Main[[#This Row],[Tech Start Date]],9),""))))</f>
        <v/>
      </c>
      <c r="Q246" s="129">
        <v>40641</v>
      </c>
      <c r="R246" s="129"/>
      <c r="S246" s="139" t="s">
        <v>11</v>
      </c>
      <c r="T246" s="115" t="s">
        <v>4</v>
      </c>
      <c r="U246" s="139" t="s">
        <v>14</v>
      </c>
      <c r="V246" s="139" t="s">
        <v>1914</v>
      </c>
      <c r="W246" s="139" t="s">
        <v>1922</v>
      </c>
      <c r="X246" s="139" t="s">
        <v>2839</v>
      </c>
      <c r="Y246" s="112" t="s">
        <v>2981</v>
      </c>
      <c r="Z246" s="112" t="s">
        <v>4</v>
      </c>
      <c r="AA246" s="139" t="s">
        <v>2839</v>
      </c>
    </row>
    <row r="247" spans="1:27" ht="17.25" customHeight="1">
      <c r="A247" s="69" t="str">
        <f>IF(priority(Main[[#This Row],[Comments]])&lt;&gt;0, priority(Main[[#This Row],[Comments]]),"")</f>
        <v/>
      </c>
      <c r="B247" s="63" t="s">
        <v>1088</v>
      </c>
      <c r="C247" s="148" t="s">
        <v>137</v>
      </c>
      <c r="D247" s="113" t="s">
        <v>138</v>
      </c>
      <c r="E247" s="129"/>
      <c r="F247" s="129"/>
      <c r="G247" s="69" t="str">
        <f>IF(stdProdLT(Main[[#This Row],[Comments]])=0.1,"N/A",IF(stdProdLT(Main[[#This Row],[Comments]])=0,"",stdProdLT(Main[[#This Row],[Comments]])))</f>
        <v/>
      </c>
      <c r="H247" s="138" t="str">
        <f>IF(Main[[#This Row],[In Stock Date]]="N/A", "N/A",IF(AND(Main[[#This Row],[In Stock Date]]&lt;&gt;"",Main[[#This Row],[Revised Due Date]]&lt;&gt;"",Main[[#This Row],[In Stock Date]]&lt;&gt;""),Main[[#This Row],[In Stock Date]]-Main[[#This Row],[Revised Due Date]],""))</f>
        <v/>
      </c>
      <c r="I247" s="139" t="s">
        <v>4</v>
      </c>
      <c r="J247" s="139" t="s">
        <v>4</v>
      </c>
      <c r="K247" s="139" t="s">
        <v>4</v>
      </c>
      <c r="L247" s="129"/>
      <c r="M247" s="114" t="str">
        <f>IF(Main[[#This Row],[Tech Start Date]]&lt;1/1/1990,"",IF(Main[[#This Row],[Class]]="C",WORKDAY(Main[[#This Row],[Tech Start Date]],9),IF(Main[[#This Row],[Class]]="B", WORKDAY(Main[[#This Row],[Tech Start Date]],6),IF(Main[[#This Row],[Class]]="A",WORKDAY(Main[[#This Row],[Tech Start Date]],2),""))))</f>
        <v/>
      </c>
      <c r="N247" s="114" t="str">
        <f>IF(Main[[#This Row],[Tech Start Date]]&lt;1/1/1990,"",IF(Main[[#This Row],[Class]]="C",WORKDAY(Main[[#This Row],[Tech Start Date]],19),IF(Main[[#This Row],[Class]]="B", WORKDAY(Main[[#This Row],[Tech Start Date]],12),IF(Main[[#This Row],[Class]]="A",WORKDAY(Main[[#This Row],[Tech Start Date]],4),""))))</f>
        <v/>
      </c>
      <c r="O247" s="114" t="str">
        <f>IF(Main[[#This Row],[Tech Start Date]]&lt;1/1/1990,"",IF(Main[[#This Row],[Class]]="C",WORKDAY(Main[[#This Row],[Tech Start Date]],23),IF(Main[[#This Row],[Class]]="B", WORKDAY(Main[[#This Row],[Tech Start Date]],15),IF(Main[[#This Row],[Class]]="A",WORKDAY(Main[[#This Row],[Tech Start Date]],5),""))))</f>
        <v/>
      </c>
      <c r="P247" s="114" t="str">
        <f>IF(Main[[#This Row],[Tech Start Date]]&lt;1/1/1990,"",IF(Main[[#This Row],[Class]]="C",WORKDAY(Main[[#This Row],[Tech Start Date]],28),IF(Main[[#This Row],[Class]]="B", WORKDAY(Main[[#This Row],[Tech Start Date]],19),IF(Main[[#This Row],[Class]]="A",WORKDAY(Main[[#This Row],[Tech Start Date]],9),""))))</f>
        <v/>
      </c>
      <c r="Q247" s="129">
        <v>40641</v>
      </c>
      <c r="R247" s="129"/>
      <c r="S247" s="139" t="s">
        <v>11</v>
      </c>
      <c r="T247" s="115" t="s">
        <v>4</v>
      </c>
      <c r="U247" s="139" t="s">
        <v>14</v>
      </c>
      <c r="V247" s="139" t="s">
        <v>1914</v>
      </c>
      <c r="W247" s="139" t="s">
        <v>1922</v>
      </c>
      <c r="X247" s="139" t="s">
        <v>2839</v>
      </c>
      <c r="Y247" s="112" t="s">
        <v>2970</v>
      </c>
      <c r="Z247" s="112" t="s">
        <v>4</v>
      </c>
      <c r="AA247" s="139" t="s">
        <v>2839</v>
      </c>
    </row>
    <row r="248" spans="1:27" ht="17.25" customHeight="1">
      <c r="A248" s="69" t="str">
        <f>IF(priority(Main[[#This Row],[Comments]])&lt;&gt;0, priority(Main[[#This Row],[Comments]]),"")</f>
        <v/>
      </c>
      <c r="B248" s="63" t="s">
        <v>1090</v>
      </c>
      <c r="C248" s="148" t="s">
        <v>33</v>
      </c>
      <c r="D248" s="113" t="s">
        <v>139</v>
      </c>
      <c r="E248" s="129"/>
      <c r="F248" s="129"/>
      <c r="G248" s="69" t="str">
        <f>IF(stdProdLT(Main[[#This Row],[Comments]])=0.1,"N/A",IF(stdProdLT(Main[[#This Row],[Comments]])=0,"",stdProdLT(Main[[#This Row],[Comments]])))</f>
        <v/>
      </c>
      <c r="H248" s="138" t="str">
        <f>IF(Main[[#This Row],[In Stock Date]]="N/A", "N/A",IF(AND(Main[[#This Row],[In Stock Date]]&lt;&gt;"",Main[[#This Row],[Revised Due Date]]&lt;&gt;"",Main[[#This Row],[In Stock Date]]&lt;&gt;""),Main[[#This Row],[In Stock Date]]-Main[[#This Row],[Revised Due Date]],""))</f>
        <v/>
      </c>
      <c r="I248" s="139" t="s">
        <v>4</v>
      </c>
      <c r="J248" s="139" t="s">
        <v>4</v>
      </c>
      <c r="K248" s="140" t="s">
        <v>4</v>
      </c>
      <c r="L248" s="129"/>
      <c r="M248" s="114" t="str">
        <f>IF(Main[[#This Row],[Tech Start Date]]&lt;1/1/1990,"",IF(Main[[#This Row],[Class]]="C",WORKDAY(Main[[#This Row],[Tech Start Date]],9),IF(Main[[#This Row],[Class]]="B", WORKDAY(Main[[#This Row],[Tech Start Date]],6),IF(Main[[#This Row],[Class]]="A",WORKDAY(Main[[#This Row],[Tech Start Date]],2),""))))</f>
        <v/>
      </c>
      <c r="N248" s="114" t="str">
        <f>IF(Main[[#This Row],[Tech Start Date]]&lt;1/1/1990,"",IF(Main[[#This Row],[Class]]="C",WORKDAY(Main[[#This Row],[Tech Start Date]],19),IF(Main[[#This Row],[Class]]="B", WORKDAY(Main[[#This Row],[Tech Start Date]],12),IF(Main[[#This Row],[Class]]="A",WORKDAY(Main[[#This Row],[Tech Start Date]],4),""))))</f>
        <v/>
      </c>
      <c r="O248" s="114" t="str">
        <f>IF(Main[[#This Row],[Tech Start Date]]&lt;1/1/1990,"",IF(Main[[#This Row],[Class]]="C",WORKDAY(Main[[#This Row],[Tech Start Date]],23),IF(Main[[#This Row],[Class]]="B", WORKDAY(Main[[#This Row],[Tech Start Date]],15),IF(Main[[#This Row],[Class]]="A",WORKDAY(Main[[#This Row],[Tech Start Date]],5),""))))</f>
        <v/>
      </c>
      <c r="P248" s="114" t="str">
        <f>IF(Main[[#This Row],[Tech Start Date]]&lt;1/1/1990,"",IF(Main[[#This Row],[Class]]="C",WORKDAY(Main[[#This Row],[Tech Start Date]],28),IF(Main[[#This Row],[Class]]="B", WORKDAY(Main[[#This Row],[Tech Start Date]],19),IF(Main[[#This Row],[Class]]="A",WORKDAY(Main[[#This Row],[Tech Start Date]],9),""))))</f>
        <v/>
      </c>
      <c r="Q248" s="129"/>
      <c r="R248" s="129"/>
      <c r="S248" s="139" t="s">
        <v>11</v>
      </c>
      <c r="T248" s="115" t="s">
        <v>4</v>
      </c>
      <c r="U248" s="139" t="s">
        <v>14</v>
      </c>
      <c r="V248" s="139" t="s">
        <v>1915</v>
      </c>
      <c r="W248" s="139" t="s">
        <v>1922</v>
      </c>
      <c r="X248" s="139" t="s">
        <v>2827</v>
      </c>
      <c r="Y248" s="112" t="s">
        <v>2948</v>
      </c>
      <c r="Z248" s="112" t="s">
        <v>4</v>
      </c>
      <c r="AA248" s="139" t="s">
        <v>2827</v>
      </c>
    </row>
    <row r="249" spans="1:27" ht="17.25" customHeight="1">
      <c r="A249" s="69" t="str">
        <f>IF(priority(Main[[#This Row],[Comments]])&lt;&gt;0, priority(Main[[#This Row],[Comments]]),"")</f>
        <v/>
      </c>
      <c r="B249" s="63" t="s">
        <v>1091</v>
      </c>
      <c r="C249" s="148" t="s">
        <v>4</v>
      </c>
      <c r="D249" s="113" t="s">
        <v>140</v>
      </c>
      <c r="E249" s="129">
        <v>40436.663981481484</v>
      </c>
      <c r="F249" s="129"/>
      <c r="G249" s="69" t="str">
        <f>IF(stdProdLT(Main[[#This Row],[Comments]])=0.1,"N/A",IF(stdProdLT(Main[[#This Row],[Comments]])=0,"",stdProdLT(Main[[#This Row],[Comments]])))</f>
        <v/>
      </c>
      <c r="H249" s="138" t="str">
        <f>IF(Main[[#This Row],[In Stock Date]]="N/A", "N/A",IF(AND(Main[[#This Row],[In Stock Date]]&lt;&gt;"",Main[[#This Row],[Revised Due Date]]&lt;&gt;"",Main[[#This Row],[In Stock Date]]&lt;&gt;""),Main[[#This Row],[In Stock Date]]-Main[[#This Row],[Revised Due Date]],""))</f>
        <v/>
      </c>
      <c r="I249" s="139" t="s">
        <v>4</v>
      </c>
      <c r="J249" s="139" t="s">
        <v>4</v>
      </c>
      <c r="K249" s="139" t="s">
        <v>4</v>
      </c>
      <c r="L249" s="129"/>
      <c r="M249" s="114" t="str">
        <f>IF(Main[[#This Row],[Tech Start Date]]&lt;1/1/1990,"",IF(Main[[#This Row],[Class]]="C",WORKDAY(Main[[#This Row],[Tech Start Date]],9),IF(Main[[#This Row],[Class]]="B", WORKDAY(Main[[#This Row],[Tech Start Date]],6),IF(Main[[#This Row],[Class]]="A",WORKDAY(Main[[#This Row],[Tech Start Date]],2),""))))</f>
        <v/>
      </c>
      <c r="N249" s="114" t="str">
        <f>IF(Main[[#This Row],[Tech Start Date]]&lt;1/1/1990,"",IF(Main[[#This Row],[Class]]="C",WORKDAY(Main[[#This Row],[Tech Start Date]],19),IF(Main[[#This Row],[Class]]="B", WORKDAY(Main[[#This Row],[Tech Start Date]],12),IF(Main[[#This Row],[Class]]="A",WORKDAY(Main[[#This Row],[Tech Start Date]],4),""))))</f>
        <v/>
      </c>
      <c r="O249" s="114" t="str">
        <f>IF(Main[[#This Row],[Tech Start Date]]&lt;1/1/1990,"",IF(Main[[#This Row],[Class]]="C",WORKDAY(Main[[#This Row],[Tech Start Date]],23),IF(Main[[#This Row],[Class]]="B", WORKDAY(Main[[#This Row],[Tech Start Date]],15),IF(Main[[#This Row],[Class]]="A",WORKDAY(Main[[#This Row],[Tech Start Date]],5),""))))</f>
        <v/>
      </c>
      <c r="P249" s="114" t="str">
        <f>IF(Main[[#This Row],[Tech Start Date]]&lt;1/1/1990,"",IF(Main[[#This Row],[Class]]="C",WORKDAY(Main[[#This Row],[Tech Start Date]],28),IF(Main[[#This Row],[Class]]="B", WORKDAY(Main[[#This Row],[Tech Start Date]],19),IF(Main[[#This Row],[Class]]="A",WORKDAY(Main[[#This Row],[Tech Start Date]],9),""))))</f>
        <v/>
      </c>
      <c r="Q249" s="129"/>
      <c r="R249" s="129"/>
      <c r="S249" s="139" t="s">
        <v>17</v>
      </c>
      <c r="T249" s="115" t="s">
        <v>141</v>
      </c>
      <c r="U249" s="139" t="s">
        <v>7</v>
      </c>
      <c r="V249" s="139" t="s">
        <v>1915</v>
      </c>
      <c r="W249" s="139" t="s">
        <v>1922</v>
      </c>
      <c r="X249" s="139" t="s">
        <v>922</v>
      </c>
      <c r="Y249" s="112" t="s">
        <v>2982</v>
      </c>
      <c r="Z249" s="112" t="s">
        <v>4</v>
      </c>
      <c r="AA249" s="139" t="s">
        <v>922</v>
      </c>
    </row>
    <row r="250" spans="1:27" ht="17.25" customHeight="1">
      <c r="A250" s="69" t="str">
        <f>IF(priority(Main[[#This Row],[Comments]])&lt;&gt;0, priority(Main[[#This Row],[Comments]]),"")</f>
        <v/>
      </c>
      <c r="B250" s="63" t="s">
        <v>1093</v>
      </c>
      <c r="C250" s="148" t="s">
        <v>31</v>
      </c>
      <c r="D250" s="113" t="s">
        <v>142</v>
      </c>
      <c r="E250" s="129"/>
      <c r="F250" s="129"/>
      <c r="G250" s="69" t="str">
        <f>IF(stdProdLT(Main[[#This Row],[Comments]])=0.1,"N/A",IF(stdProdLT(Main[[#This Row],[Comments]])=0,"",stdProdLT(Main[[#This Row],[Comments]])))</f>
        <v/>
      </c>
      <c r="H250" s="138" t="str">
        <f>IF(Main[[#This Row],[In Stock Date]]="N/A", "N/A",IF(AND(Main[[#This Row],[In Stock Date]]&lt;&gt;"",Main[[#This Row],[Revised Due Date]]&lt;&gt;"",Main[[#This Row],[In Stock Date]]&lt;&gt;""),Main[[#This Row],[In Stock Date]]-Main[[#This Row],[Revised Due Date]],""))</f>
        <v/>
      </c>
      <c r="I250" s="139" t="s">
        <v>4</v>
      </c>
      <c r="J250" s="139" t="s">
        <v>4</v>
      </c>
      <c r="K250" s="139" t="s">
        <v>4</v>
      </c>
      <c r="L250" s="129"/>
      <c r="M250" s="114" t="str">
        <f>IF(Main[[#This Row],[Tech Start Date]]&lt;1/1/1990,"",IF(Main[[#This Row],[Class]]="C",WORKDAY(Main[[#This Row],[Tech Start Date]],9),IF(Main[[#This Row],[Class]]="B", WORKDAY(Main[[#This Row],[Tech Start Date]],6),IF(Main[[#This Row],[Class]]="A",WORKDAY(Main[[#This Row],[Tech Start Date]],2),""))))</f>
        <v/>
      </c>
      <c r="N250" s="114" t="str">
        <f>IF(Main[[#This Row],[Tech Start Date]]&lt;1/1/1990,"",IF(Main[[#This Row],[Class]]="C",WORKDAY(Main[[#This Row],[Tech Start Date]],19),IF(Main[[#This Row],[Class]]="B", WORKDAY(Main[[#This Row],[Tech Start Date]],12),IF(Main[[#This Row],[Class]]="A",WORKDAY(Main[[#This Row],[Tech Start Date]],4),""))))</f>
        <v/>
      </c>
      <c r="O250" s="114" t="str">
        <f>IF(Main[[#This Row],[Tech Start Date]]&lt;1/1/1990,"",IF(Main[[#This Row],[Class]]="C",WORKDAY(Main[[#This Row],[Tech Start Date]],23),IF(Main[[#This Row],[Class]]="B", WORKDAY(Main[[#This Row],[Tech Start Date]],15),IF(Main[[#This Row],[Class]]="A",WORKDAY(Main[[#This Row],[Tech Start Date]],5),""))))</f>
        <v/>
      </c>
      <c r="P250" s="114" t="str">
        <f>IF(Main[[#This Row],[Tech Start Date]]&lt;1/1/1990,"",IF(Main[[#This Row],[Class]]="C",WORKDAY(Main[[#This Row],[Tech Start Date]],28),IF(Main[[#This Row],[Class]]="B", WORKDAY(Main[[#This Row],[Tech Start Date]],19),IF(Main[[#This Row],[Class]]="A",WORKDAY(Main[[#This Row],[Tech Start Date]],9),""))))</f>
        <v/>
      </c>
      <c r="Q250" s="129">
        <v>40318</v>
      </c>
      <c r="R250" s="129"/>
      <c r="S250" s="139" t="s">
        <v>11</v>
      </c>
      <c r="T250" s="115" t="s">
        <v>4</v>
      </c>
      <c r="U250" s="139" t="s">
        <v>14</v>
      </c>
      <c r="V250" s="139" t="s">
        <v>1917</v>
      </c>
      <c r="W250" s="139" t="s">
        <v>1916</v>
      </c>
      <c r="X250" s="139" t="s">
        <v>2830</v>
      </c>
      <c r="Y250" s="112" t="s">
        <v>4</v>
      </c>
      <c r="Z250" s="112" t="s">
        <v>4</v>
      </c>
      <c r="AA250" s="139" t="s">
        <v>2830</v>
      </c>
    </row>
    <row r="251" spans="1:27" ht="17.25" customHeight="1">
      <c r="A251" s="69" t="str">
        <f>IF(priority(Main[[#This Row],[Comments]])&lt;&gt;0, priority(Main[[#This Row],[Comments]]),"")</f>
        <v/>
      </c>
      <c r="B251" s="63" t="s">
        <v>2335</v>
      </c>
      <c r="C251" s="148" t="s">
        <v>347</v>
      </c>
      <c r="D251" s="113" t="s">
        <v>2336</v>
      </c>
      <c r="E251" s="129"/>
      <c r="F251" s="129"/>
      <c r="G251" s="69" t="str">
        <f>IF(stdProdLT(Main[[#This Row],[Comments]])=0.1,"N/A",IF(stdProdLT(Main[[#This Row],[Comments]])=0,"",stdProdLT(Main[[#This Row],[Comments]])))</f>
        <v/>
      </c>
      <c r="H251" s="138" t="str">
        <f>IF(Main[[#This Row],[In Stock Date]]="N/A", "N/A",IF(AND(Main[[#This Row],[In Stock Date]]&lt;&gt;"",Main[[#This Row],[Revised Due Date]]&lt;&gt;"",Main[[#This Row],[In Stock Date]]&lt;&gt;""),Main[[#This Row],[In Stock Date]]-Main[[#This Row],[Revised Due Date]],""))</f>
        <v/>
      </c>
      <c r="I251" s="139" t="s">
        <v>4</v>
      </c>
      <c r="J251" s="139" t="s">
        <v>4</v>
      </c>
      <c r="K251" s="140" t="s">
        <v>4</v>
      </c>
      <c r="L251" s="129"/>
      <c r="M251" s="114" t="str">
        <f>IF(Main[[#This Row],[Tech Start Date]]&lt;1/1/1990,"",IF(Main[[#This Row],[Class]]="C",WORKDAY(Main[[#This Row],[Tech Start Date]],9),IF(Main[[#This Row],[Class]]="B", WORKDAY(Main[[#This Row],[Tech Start Date]],6),IF(Main[[#This Row],[Class]]="A",WORKDAY(Main[[#This Row],[Tech Start Date]],2),""))))</f>
        <v/>
      </c>
      <c r="N251" s="114" t="str">
        <f>IF(Main[[#This Row],[Tech Start Date]]&lt;1/1/1990,"",IF(Main[[#This Row],[Class]]="C",WORKDAY(Main[[#This Row],[Tech Start Date]],19),IF(Main[[#This Row],[Class]]="B", WORKDAY(Main[[#This Row],[Tech Start Date]],12),IF(Main[[#This Row],[Class]]="A",WORKDAY(Main[[#This Row],[Tech Start Date]],4),""))))</f>
        <v/>
      </c>
      <c r="O251" s="114" t="str">
        <f>IF(Main[[#This Row],[Tech Start Date]]&lt;1/1/1990,"",IF(Main[[#This Row],[Class]]="C",WORKDAY(Main[[#This Row],[Tech Start Date]],23),IF(Main[[#This Row],[Class]]="B", WORKDAY(Main[[#This Row],[Tech Start Date]],15),IF(Main[[#This Row],[Class]]="A",WORKDAY(Main[[#This Row],[Tech Start Date]],5),""))))</f>
        <v/>
      </c>
      <c r="P251" s="114" t="str">
        <f>IF(Main[[#This Row],[Tech Start Date]]&lt;1/1/1990,"",IF(Main[[#This Row],[Class]]="C",WORKDAY(Main[[#This Row],[Tech Start Date]],28),IF(Main[[#This Row],[Class]]="B", WORKDAY(Main[[#This Row],[Tech Start Date]],19),IF(Main[[#This Row],[Class]]="A",WORKDAY(Main[[#This Row],[Tech Start Date]],9),""))))</f>
        <v/>
      </c>
      <c r="Q251" s="129">
        <v>40847</v>
      </c>
      <c r="R251" s="129"/>
      <c r="S251" s="139" t="s">
        <v>4</v>
      </c>
      <c r="T251" s="115" t="s">
        <v>4</v>
      </c>
      <c r="U251" s="139" t="s">
        <v>12</v>
      </c>
      <c r="V251" s="139" t="s">
        <v>1914</v>
      </c>
      <c r="W251" s="139" t="s">
        <v>4</v>
      </c>
      <c r="X251" s="139" t="s">
        <v>2849</v>
      </c>
      <c r="Y251" s="112" t="s">
        <v>2983</v>
      </c>
      <c r="Z251" s="112" t="s">
        <v>4</v>
      </c>
      <c r="AA251" s="139" t="s">
        <v>2849</v>
      </c>
    </row>
    <row r="252" spans="1:27" ht="17.25" customHeight="1">
      <c r="A252" s="69" t="str">
        <f>IF(priority(Main[[#This Row],[Comments]])&lt;&gt;0, priority(Main[[#This Row],[Comments]]),"")</f>
        <v/>
      </c>
      <c r="B252" s="63" t="s">
        <v>2067</v>
      </c>
      <c r="C252" s="148" t="s">
        <v>4</v>
      </c>
      <c r="D252" s="113" t="s">
        <v>2068</v>
      </c>
      <c r="E252" s="129"/>
      <c r="F252" s="129"/>
      <c r="G252" s="69" t="str">
        <f>IF(stdProdLT(Main[[#This Row],[Comments]])=0.1,"N/A",IF(stdProdLT(Main[[#This Row],[Comments]])=0,"",stdProdLT(Main[[#This Row],[Comments]])))</f>
        <v/>
      </c>
      <c r="H252" s="138" t="str">
        <f>IF(Main[[#This Row],[In Stock Date]]="N/A", "N/A",IF(AND(Main[[#This Row],[In Stock Date]]&lt;&gt;"",Main[[#This Row],[Revised Due Date]]&lt;&gt;"",Main[[#This Row],[In Stock Date]]&lt;&gt;""),Main[[#This Row],[In Stock Date]]-Main[[#This Row],[Revised Due Date]],""))</f>
        <v/>
      </c>
      <c r="I252" s="139" t="s">
        <v>4</v>
      </c>
      <c r="J252" s="139" t="s">
        <v>4</v>
      </c>
      <c r="K252" s="139" t="s">
        <v>4</v>
      </c>
      <c r="L252" s="129"/>
      <c r="M252" s="114" t="str">
        <f>IF(Main[[#This Row],[Tech Start Date]]&lt;1/1/1990,"",IF(Main[[#This Row],[Class]]="C",WORKDAY(Main[[#This Row],[Tech Start Date]],9),IF(Main[[#This Row],[Class]]="B", WORKDAY(Main[[#This Row],[Tech Start Date]],6),IF(Main[[#This Row],[Class]]="A",WORKDAY(Main[[#This Row],[Tech Start Date]],2),""))))</f>
        <v/>
      </c>
      <c r="N252" s="114" t="str">
        <f>IF(Main[[#This Row],[Tech Start Date]]&lt;1/1/1990,"",IF(Main[[#This Row],[Class]]="C",WORKDAY(Main[[#This Row],[Tech Start Date]],19),IF(Main[[#This Row],[Class]]="B", WORKDAY(Main[[#This Row],[Tech Start Date]],12),IF(Main[[#This Row],[Class]]="A",WORKDAY(Main[[#This Row],[Tech Start Date]],4),""))))</f>
        <v/>
      </c>
      <c r="O252" s="114" t="str">
        <f>IF(Main[[#This Row],[Tech Start Date]]&lt;1/1/1990,"",IF(Main[[#This Row],[Class]]="C",WORKDAY(Main[[#This Row],[Tech Start Date]],23),IF(Main[[#This Row],[Class]]="B", WORKDAY(Main[[#This Row],[Tech Start Date]],15),IF(Main[[#This Row],[Class]]="A",WORKDAY(Main[[#This Row],[Tech Start Date]],5),""))))</f>
        <v/>
      </c>
      <c r="P252" s="114" t="str">
        <f>IF(Main[[#This Row],[Tech Start Date]]&lt;1/1/1990,"",IF(Main[[#This Row],[Class]]="C",WORKDAY(Main[[#This Row],[Tech Start Date]],28),IF(Main[[#This Row],[Class]]="B", WORKDAY(Main[[#This Row],[Tech Start Date]],19),IF(Main[[#This Row],[Class]]="A",WORKDAY(Main[[#This Row],[Tech Start Date]],9),""))))</f>
        <v/>
      </c>
      <c r="Q252" s="129"/>
      <c r="R252" s="129"/>
      <c r="S252" s="139" t="s">
        <v>6</v>
      </c>
      <c r="T252" s="115" t="s">
        <v>4</v>
      </c>
      <c r="U252" s="139" t="s">
        <v>14</v>
      </c>
      <c r="V252" s="139" t="s">
        <v>1924</v>
      </c>
      <c r="W252" s="139" t="s">
        <v>1918</v>
      </c>
      <c r="X252" s="139" t="s">
        <v>306</v>
      </c>
      <c r="Y252" s="112" t="s">
        <v>4</v>
      </c>
      <c r="Z252" s="112" t="s">
        <v>4</v>
      </c>
      <c r="AA252" s="139" t="s">
        <v>4</v>
      </c>
    </row>
    <row r="253" spans="1:27" ht="17.25" customHeight="1">
      <c r="A253" s="69" t="str">
        <f>IF(priority(Main[[#This Row],[Comments]])&lt;&gt;0, priority(Main[[#This Row],[Comments]]),"")</f>
        <v/>
      </c>
      <c r="B253" s="63" t="s">
        <v>2337</v>
      </c>
      <c r="C253" s="148" t="s">
        <v>4</v>
      </c>
      <c r="D253" s="113" t="s">
        <v>2338</v>
      </c>
      <c r="E253" s="129">
        <v>40841.293483796297</v>
      </c>
      <c r="F253" s="129"/>
      <c r="G253" s="69" t="str">
        <f>IF(stdProdLT(Main[[#This Row],[Comments]])=0.1,"N/A",IF(stdProdLT(Main[[#This Row],[Comments]])=0,"",stdProdLT(Main[[#This Row],[Comments]])))</f>
        <v/>
      </c>
      <c r="H253" s="138" t="str">
        <f>IF(Main[[#This Row],[In Stock Date]]="N/A", "N/A",IF(AND(Main[[#This Row],[In Stock Date]]&lt;&gt;"",Main[[#This Row],[Revised Due Date]]&lt;&gt;"",Main[[#This Row],[In Stock Date]]&lt;&gt;""),Main[[#This Row],[In Stock Date]]-Main[[#This Row],[Revised Due Date]],""))</f>
        <v/>
      </c>
      <c r="I253" s="139" t="s">
        <v>912</v>
      </c>
      <c r="J253" s="139" t="s">
        <v>52</v>
      </c>
      <c r="K253" s="139" t="s">
        <v>4</v>
      </c>
      <c r="L253" s="129"/>
      <c r="M253" s="114" t="str">
        <f>IF(Main[[#This Row],[Tech Start Date]]&lt;1/1/1990,"",IF(Main[[#This Row],[Class]]="C",WORKDAY(Main[[#This Row],[Tech Start Date]],9),IF(Main[[#This Row],[Class]]="B", WORKDAY(Main[[#This Row],[Tech Start Date]],6),IF(Main[[#This Row],[Class]]="A",WORKDAY(Main[[#This Row],[Tech Start Date]],2),""))))</f>
        <v/>
      </c>
      <c r="N253" s="114" t="str">
        <f>IF(Main[[#This Row],[Tech Start Date]]&lt;1/1/1990,"",IF(Main[[#This Row],[Class]]="C",WORKDAY(Main[[#This Row],[Tech Start Date]],19),IF(Main[[#This Row],[Class]]="B", WORKDAY(Main[[#This Row],[Tech Start Date]],12),IF(Main[[#This Row],[Class]]="A",WORKDAY(Main[[#This Row],[Tech Start Date]],4),""))))</f>
        <v/>
      </c>
      <c r="O253" s="114" t="str">
        <f>IF(Main[[#This Row],[Tech Start Date]]&lt;1/1/1990,"",IF(Main[[#This Row],[Class]]="C",WORKDAY(Main[[#This Row],[Tech Start Date]],23),IF(Main[[#This Row],[Class]]="B", WORKDAY(Main[[#This Row],[Tech Start Date]],15),IF(Main[[#This Row],[Class]]="A",WORKDAY(Main[[#This Row],[Tech Start Date]],5),""))))</f>
        <v/>
      </c>
      <c r="P253" s="114" t="str">
        <f>IF(Main[[#This Row],[Tech Start Date]]&lt;1/1/1990,"",IF(Main[[#This Row],[Class]]="C",WORKDAY(Main[[#This Row],[Tech Start Date]],28),IF(Main[[#This Row],[Class]]="B", WORKDAY(Main[[#This Row],[Tech Start Date]],19),IF(Main[[#This Row],[Class]]="A",WORKDAY(Main[[#This Row],[Tech Start Date]],9),""))))</f>
        <v/>
      </c>
      <c r="Q253" s="129"/>
      <c r="R253" s="129"/>
      <c r="S253" s="139" t="s">
        <v>6</v>
      </c>
      <c r="T253" s="115" t="s">
        <v>4</v>
      </c>
      <c r="U253" s="139" t="s">
        <v>29</v>
      </c>
      <c r="V253" s="139" t="s">
        <v>1914</v>
      </c>
      <c r="W253" s="139" t="s">
        <v>1918</v>
      </c>
      <c r="X253" s="139" t="s">
        <v>937</v>
      </c>
      <c r="Y253" s="112" t="s">
        <v>2984</v>
      </c>
      <c r="Z253" s="112" t="s">
        <v>4</v>
      </c>
      <c r="AA253" s="139" t="s">
        <v>937</v>
      </c>
    </row>
    <row r="254" spans="1:27" ht="17.25" customHeight="1">
      <c r="A254" s="69" t="str">
        <f>IF(priority(Main[[#This Row],[Comments]])&lt;&gt;0, priority(Main[[#This Row],[Comments]]),"")</f>
        <v/>
      </c>
      <c r="B254" s="63" t="s">
        <v>1094</v>
      </c>
      <c r="C254" s="148" t="s">
        <v>33</v>
      </c>
      <c r="D254" s="113" t="s">
        <v>143</v>
      </c>
      <c r="E254" s="129"/>
      <c r="F254" s="129">
        <v>40422</v>
      </c>
      <c r="G254" s="69" t="str">
        <f>IF(stdProdLT(Main[[#This Row],[Comments]])=0.1,"N/A",IF(stdProdLT(Main[[#This Row],[Comments]])=0,"",stdProdLT(Main[[#This Row],[Comments]])))</f>
        <v/>
      </c>
      <c r="H254" s="138" t="str">
        <f>IF(Main[[#This Row],[In Stock Date]]="N/A", "N/A",IF(AND(Main[[#This Row],[In Stock Date]]&lt;&gt;"",Main[[#This Row],[Revised Due Date]]&lt;&gt;"",Main[[#This Row],[In Stock Date]]&lt;&gt;""),Main[[#This Row],[In Stock Date]]-Main[[#This Row],[Revised Due Date]],""))</f>
        <v/>
      </c>
      <c r="I254" s="139" t="s">
        <v>4</v>
      </c>
      <c r="J254" s="139" t="s">
        <v>4</v>
      </c>
      <c r="K254" s="139" t="s">
        <v>4</v>
      </c>
      <c r="L254" s="129"/>
      <c r="M254" s="114" t="str">
        <f>IF(Main[[#This Row],[Tech Start Date]]&lt;1/1/1990,"",IF(Main[[#This Row],[Class]]="C",WORKDAY(Main[[#This Row],[Tech Start Date]],9),IF(Main[[#This Row],[Class]]="B", WORKDAY(Main[[#This Row],[Tech Start Date]],6),IF(Main[[#This Row],[Class]]="A",WORKDAY(Main[[#This Row],[Tech Start Date]],2),""))))</f>
        <v/>
      </c>
      <c r="N254" s="114" t="str">
        <f>IF(Main[[#This Row],[Tech Start Date]]&lt;1/1/1990,"",IF(Main[[#This Row],[Class]]="C",WORKDAY(Main[[#This Row],[Tech Start Date]],19),IF(Main[[#This Row],[Class]]="B", WORKDAY(Main[[#This Row],[Tech Start Date]],12),IF(Main[[#This Row],[Class]]="A",WORKDAY(Main[[#This Row],[Tech Start Date]],4),""))))</f>
        <v/>
      </c>
      <c r="O254" s="114" t="str">
        <f>IF(Main[[#This Row],[Tech Start Date]]&lt;1/1/1990,"",IF(Main[[#This Row],[Class]]="C",WORKDAY(Main[[#This Row],[Tech Start Date]],23),IF(Main[[#This Row],[Class]]="B", WORKDAY(Main[[#This Row],[Tech Start Date]],15),IF(Main[[#This Row],[Class]]="A",WORKDAY(Main[[#This Row],[Tech Start Date]],5),""))))</f>
        <v/>
      </c>
      <c r="P254" s="114" t="str">
        <f>IF(Main[[#This Row],[Tech Start Date]]&lt;1/1/1990,"",IF(Main[[#This Row],[Class]]="C",WORKDAY(Main[[#This Row],[Tech Start Date]],28),IF(Main[[#This Row],[Class]]="B", WORKDAY(Main[[#This Row],[Tech Start Date]],19),IF(Main[[#This Row],[Class]]="A",WORKDAY(Main[[#This Row],[Tech Start Date]],9),""))))</f>
        <v/>
      </c>
      <c r="Q254" s="129">
        <v>40282</v>
      </c>
      <c r="R254" s="129"/>
      <c r="S254" s="139" t="s">
        <v>11</v>
      </c>
      <c r="T254" s="115" t="s">
        <v>4</v>
      </c>
      <c r="U254" s="139" t="s">
        <v>14</v>
      </c>
      <c r="V254" s="139" t="s">
        <v>1917</v>
      </c>
      <c r="W254" s="139" t="s">
        <v>1919</v>
      </c>
      <c r="X254" s="139" t="s">
        <v>2850</v>
      </c>
      <c r="Y254" s="112" t="s">
        <v>4</v>
      </c>
      <c r="Z254" s="112" t="s">
        <v>4</v>
      </c>
      <c r="AA254" s="139" t="s">
        <v>2850</v>
      </c>
    </row>
    <row r="255" spans="1:27" ht="17.25" customHeight="1">
      <c r="A255" s="69" t="str">
        <f>IF(priority(Main[[#This Row],[Comments]])&lt;&gt;0, priority(Main[[#This Row],[Comments]]),"")</f>
        <v/>
      </c>
      <c r="B255" s="63" t="s">
        <v>1095</v>
      </c>
      <c r="C255" s="148" t="s">
        <v>4</v>
      </c>
      <c r="D255" s="113" t="s">
        <v>144</v>
      </c>
      <c r="E255" s="129">
        <v>40395.405358796299</v>
      </c>
      <c r="F255" s="129">
        <v>40574</v>
      </c>
      <c r="G255" s="69" t="str">
        <f>IF(stdProdLT(Main[[#This Row],[Comments]])=0.1,"N/A",IF(stdProdLT(Main[[#This Row],[Comments]])=0,"",stdProdLT(Main[[#This Row],[Comments]])))</f>
        <v/>
      </c>
      <c r="H255" s="138" t="str">
        <f>IF(Main[[#This Row],[In Stock Date]]="N/A", "N/A",IF(AND(Main[[#This Row],[In Stock Date]]&lt;&gt;"",Main[[#This Row],[Revised Due Date]]&lt;&gt;"",Main[[#This Row],[In Stock Date]]&lt;&gt;""),Main[[#This Row],[In Stock Date]]-Main[[#This Row],[Revised Due Date]],""))</f>
        <v/>
      </c>
      <c r="I255" s="139" t="s">
        <v>4</v>
      </c>
      <c r="J255" s="139" t="s">
        <v>28</v>
      </c>
      <c r="K255" s="139" t="s">
        <v>4</v>
      </c>
      <c r="L255" s="129"/>
      <c r="M255" s="114" t="str">
        <f>IF(Main[[#This Row],[Tech Start Date]]&lt;1/1/1990,"",IF(Main[[#This Row],[Class]]="C",WORKDAY(Main[[#This Row],[Tech Start Date]],9),IF(Main[[#This Row],[Class]]="B", WORKDAY(Main[[#This Row],[Tech Start Date]],6),IF(Main[[#This Row],[Class]]="A",WORKDAY(Main[[#This Row],[Tech Start Date]],2),""))))</f>
        <v/>
      </c>
      <c r="N255" s="114" t="str">
        <f>IF(Main[[#This Row],[Tech Start Date]]&lt;1/1/1990,"",IF(Main[[#This Row],[Class]]="C",WORKDAY(Main[[#This Row],[Tech Start Date]],19),IF(Main[[#This Row],[Class]]="B", WORKDAY(Main[[#This Row],[Tech Start Date]],12),IF(Main[[#This Row],[Class]]="A",WORKDAY(Main[[#This Row],[Tech Start Date]],4),""))))</f>
        <v/>
      </c>
      <c r="O255" s="114" t="str">
        <f>IF(Main[[#This Row],[Tech Start Date]]&lt;1/1/1990,"",IF(Main[[#This Row],[Class]]="C",WORKDAY(Main[[#This Row],[Tech Start Date]],23),IF(Main[[#This Row],[Class]]="B", WORKDAY(Main[[#This Row],[Tech Start Date]],15),IF(Main[[#This Row],[Class]]="A",WORKDAY(Main[[#This Row],[Tech Start Date]],5),""))))</f>
        <v/>
      </c>
      <c r="P255" s="114" t="str">
        <f>IF(Main[[#This Row],[Tech Start Date]]&lt;1/1/1990,"",IF(Main[[#This Row],[Class]]="C",WORKDAY(Main[[#This Row],[Tech Start Date]],28),IF(Main[[#This Row],[Class]]="B", WORKDAY(Main[[#This Row],[Tech Start Date]],19),IF(Main[[#This Row],[Class]]="A",WORKDAY(Main[[#This Row],[Tech Start Date]],9),""))))</f>
        <v/>
      </c>
      <c r="Q255" s="129"/>
      <c r="R255" s="129"/>
      <c r="S255" s="139" t="s">
        <v>17</v>
      </c>
      <c r="T255" s="115" t="s">
        <v>4</v>
      </c>
      <c r="U255" s="139" t="s">
        <v>7</v>
      </c>
      <c r="V255" s="139" t="s">
        <v>1915</v>
      </c>
      <c r="W255" s="139" t="s">
        <v>1919</v>
      </c>
      <c r="X255" s="139" t="s">
        <v>50</v>
      </c>
      <c r="Y255" s="112" t="s">
        <v>2985</v>
      </c>
      <c r="Z255" s="112" t="s">
        <v>2862</v>
      </c>
      <c r="AA255" s="139" t="s">
        <v>65</v>
      </c>
    </row>
    <row r="256" spans="1:27" ht="17.25" customHeight="1">
      <c r="A256" s="69" t="str">
        <f>IF(priority(Main[[#This Row],[Comments]])&lt;&gt;0, priority(Main[[#This Row],[Comments]]),"")</f>
        <v/>
      </c>
      <c r="B256" s="63" t="s">
        <v>1083</v>
      </c>
      <c r="C256" s="148" t="s">
        <v>4</v>
      </c>
      <c r="D256" s="113" t="s">
        <v>133</v>
      </c>
      <c r="E256" s="129"/>
      <c r="F256" s="129"/>
      <c r="G256" s="69" t="str">
        <f>IF(stdProdLT(Main[[#This Row],[Comments]])=0.1,"N/A",IF(stdProdLT(Main[[#This Row],[Comments]])=0,"",stdProdLT(Main[[#This Row],[Comments]])))</f>
        <v/>
      </c>
      <c r="H256" s="138" t="str">
        <f>IF(Main[[#This Row],[In Stock Date]]="N/A", "N/A",IF(AND(Main[[#This Row],[In Stock Date]]&lt;&gt;"",Main[[#This Row],[Revised Due Date]]&lt;&gt;"",Main[[#This Row],[In Stock Date]]&lt;&gt;""),Main[[#This Row],[In Stock Date]]-Main[[#This Row],[Revised Due Date]],""))</f>
        <v/>
      </c>
      <c r="I256" s="139" t="s">
        <v>69</v>
      </c>
      <c r="J256" s="139" t="s">
        <v>70</v>
      </c>
      <c r="K256" s="140" t="s">
        <v>1923</v>
      </c>
      <c r="L256" s="129"/>
      <c r="M256" s="114" t="str">
        <f>IF(Main[[#This Row],[Tech Start Date]]&lt;1/1/1990,"",IF(Main[[#This Row],[Class]]="C",WORKDAY(Main[[#This Row],[Tech Start Date]],9),IF(Main[[#This Row],[Class]]="B", WORKDAY(Main[[#This Row],[Tech Start Date]],6),IF(Main[[#This Row],[Class]]="A",WORKDAY(Main[[#This Row],[Tech Start Date]],2),""))))</f>
        <v/>
      </c>
      <c r="N256" s="114" t="str">
        <f>IF(Main[[#This Row],[Tech Start Date]]&lt;1/1/1990,"",IF(Main[[#This Row],[Class]]="C",WORKDAY(Main[[#This Row],[Tech Start Date]],19),IF(Main[[#This Row],[Class]]="B", WORKDAY(Main[[#This Row],[Tech Start Date]],12),IF(Main[[#This Row],[Class]]="A",WORKDAY(Main[[#This Row],[Tech Start Date]],4),""))))</f>
        <v/>
      </c>
      <c r="O256" s="114" t="str">
        <f>IF(Main[[#This Row],[Tech Start Date]]&lt;1/1/1990,"",IF(Main[[#This Row],[Class]]="C",WORKDAY(Main[[#This Row],[Tech Start Date]],23),IF(Main[[#This Row],[Class]]="B", WORKDAY(Main[[#This Row],[Tech Start Date]],15),IF(Main[[#This Row],[Class]]="A",WORKDAY(Main[[#This Row],[Tech Start Date]],5),""))))</f>
        <v/>
      </c>
      <c r="P256" s="114" t="str">
        <f>IF(Main[[#This Row],[Tech Start Date]]&lt;1/1/1990,"",IF(Main[[#This Row],[Class]]="C",WORKDAY(Main[[#This Row],[Tech Start Date]],28),IF(Main[[#This Row],[Class]]="B", WORKDAY(Main[[#This Row],[Tech Start Date]],19),IF(Main[[#This Row],[Class]]="A",WORKDAY(Main[[#This Row],[Tech Start Date]],9),""))))</f>
        <v/>
      </c>
      <c r="Q256" s="129">
        <v>40633</v>
      </c>
      <c r="R256" s="129"/>
      <c r="S256" s="139" t="s">
        <v>6</v>
      </c>
      <c r="T256" s="115" t="s">
        <v>4</v>
      </c>
      <c r="U256" s="139" t="s">
        <v>14</v>
      </c>
      <c r="V256" s="139" t="s">
        <v>1917</v>
      </c>
      <c r="W256" s="139" t="s">
        <v>1918</v>
      </c>
      <c r="X256" s="139" t="s">
        <v>2819</v>
      </c>
      <c r="Y256" s="112" t="s">
        <v>2932</v>
      </c>
      <c r="Z256" s="112" t="s">
        <v>44</v>
      </c>
      <c r="AA256" s="139" t="s">
        <v>2819</v>
      </c>
    </row>
    <row r="257" spans="1:27" ht="17.25" customHeight="1">
      <c r="A257" s="69" t="str">
        <f>IF(priority(Main[[#This Row],[Comments]])&lt;&gt;0, priority(Main[[#This Row],[Comments]]),"")</f>
        <v/>
      </c>
      <c r="B257" s="63" t="s">
        <v>1097</v>
      </c>
      <c r="C257" s="148" t="s">
        <v>47</v>
      </c>
      <c r="D257" s="113" t="s">
        <v>146</v>
      </c>
      <c r="E257" s="129"/>
      <c r="F257" s="129"/>
      <c r="G257" s="69" t="str">
        <f>IF(stdProdLT(Main[[#This Row],[Comments]])=0.1,"N/A",IF(stdProdLT(Main[[#This Row],[Comments]])=0,"",stdProdLT(Main[[#This Row],[Comments]])))</f>
        <v/>
      </c>
      <c r="H257" s="138" t="str">
        <f>IF(Main[[#This Row],[In Stock Date]]="N/A", "N/A",IF(AND(Main[[#This Row],[In Stock Date]]&lt;&gt;"",Main[[#This Row],[Revised Due Date]]&lt;&gt;"",Main[[#This Row],[In Stock Date]]&lt;&gt;""),Main[[#This Row],[In Stock Date]]-Main[[#This Row],[Revised Due Date]],""))</f>
        <v/>
      </c>
      <c r="I257" s="139" t="s">
        <v>4</v>
      </c>
      <c r="J257" s="139" t="s">
        <v>4</v>
      </c>
      <c r="K257" s="139" t="s">
        <v>4</v>
      </c>
      <c r="L257" s="129"/>
      <c r="M257" s="114" t="str">
        <f>IF(Main[[#This Row],[Tech Start Date]]&lt;1/1/1990,"",IF(Main[[#This Row],[Class]]="C",WORKDAY(Main[[#This Row],[Tech Start Date]],9),IF(Main[[#This Row],[Class]]="B", WORKDAY(Main[[#This Row],[Tech Start Date]],6),IF(Main[[#This Row],[Class]]="A",WORKDAY(Main[[#This Row],[Tech Start Date]],2),""))))</f>
        <v/>
      </c>
      <c r="N257" s="114" t="str">
        <f>IF(Main[[#This Row],[Tech Start Date]]&lt;1/1/1990,"",IF(Main[[#This Row],[Class]]="C",WORKDAY(Main[[#This Row],[Tech Start Date]],19),IF(Main[[#This Row],[Class]]="B", WORKDAY(Main[[#This Row],[Tech Start Date]],12),IF(Main[[#This Row],[Class]]="A",WORKDAY(Main[[#This Row],[Tech Start Date]],4),""))))</f>
        <v/>
      </c>
      <c r="O257" s="114" t="str">
        <f>IF(Main[[#This Row],[Tech Start Date]]&lt;1/1/1990,"",IF(Main[[#This Row],[Class]]="C",WORKDAY(Main[[#This Row],[Tech Start Date]],23),IF(Main[[#This Row],[Class]]="B", WORKDAY(Main[[#This Row],[Tech Start Date]],15),IF(Main[[#This Row],[Class]]="A",WORKDAY(Main[[#This Row],[Tech Start Date]],5),""))))</f>
        <v/>
      </c>
      <c r="P257" s="114" t="str">
        <f>IF(Main[[#This Row],[Tech Start Date]]&lt;1/1/1990,"",IF(Main[[#This Row],[Class]]="C",WORKDAY(Main[[#This Row],[Tech Start Date]],28),IF(Main[[#This Row],[Class]]="B", WORKDAY(Main[[#This Row],[Tech Start Date]],19),IF(Main[[#This Row],[Class]]="A",WORKDAY(Main[[#This Row],[Tech Start Date]],9),""))))</f>
        <v/>
      </c>
      <c r="Q257" s="129"/>
      <c r="R257" s="129"/>
      <c r="S257" s="139" t="s">
        <v>11</v>
      </c>
      <c r="T257" s="115" t="s">
        <v>4</v>
      </c>
      <c r="U257" s="139" t="s">
        <v>14</v>
      </c>
      <c r="V257" s="139" t="s">
        <v>1915</v>
      </c>
      <c r="W257" s="139" t="s">
        <v>1918</v>
      </c>
      <c r="X257" s="139" t="s">
        <v>399</v>
      </c>
      <c r="Y257" s="112" t="s">
        <v>4</v>
      </c>
      <c r="Z257" s="112" t="s">
        <v>4</v>
      </c>
      <c r="AA257" s="139" t="s">
        <v>399</v>
      </c>
    </row>
    <row r="258" spans="1:27" ht="17.25" customHeight="1">
      <c r="A258" s="69" t="str">
        <f>IF(priority(Main[[#This Row],[Comments]])&lt;&gt;0, priority(Main[[#This Row],[Comments]]),"")</f>
        <v/>
      </c>
      <c r="B258" s="63" t="s">
        <v>3247</v>
      </c>
      <c r="C258" s="148" t="s">
        <v>4</v>
      </c>
      <c r="D258" s="113" t="s">
        <v>3248</v>
      </c>
      <c r="E258" s="129">
        <v>40928.503738425927</v>
      </c>
      <c r="F258" s="129"/>
      <c r="G258" s="69" t="str">
        <f>IF(stdProdLT(Main[[#This Row],[Comments]])=0.1,"N/A",IF(stdProdLT(Main[[#This Row],[Comments]])=0,"",stdProdLT(Main[[#This Row],[Comments]])))</f>
        <v/>
      </c>
      <c r="H258" s="138" t="str">
        <f>IF(Main[[#This Row],[In Stock Date]]="N/A", "N/A",IF(AND(Main[[#This Row],[In Stock Date]]&lt;&gt;"",Main[[#This Row],[Revised Due Date]]&lt;&gt;"",Main[[#This Row],[In Stock Date]]&lt;&gt;""),Main[[#This Row],[In Stock Date]]-Main[[#This Row],[Revised Due Date]],""))</f>
        <v/>
      </c>
      <c r="I258" s="139" t="s">
        <v>4</v>
      </c>
      <c r="J258" s="139" t="s">
        <v>4</v>
      </c>
      <c r="K258" s="139" t="s">
        <v>4</v>
      </c>
      <c r="L258" s="129"/>
      <c r="M258" s="114" t="str">
        <f>IF(Main[[#This Row],[Tech Start Date]]&lt;1/1/1990,"",IF(Main[[#This Row],[Class]]="C",WORKDAY(Main[[#This Row],[Tech Start Date]],9),IF(Main[[#This Row],[Class]]="B", WORKDAY(Main[[#This Row],[Tech Start Date]],6),IF(Main[[#This Row],[Class]]="A",WORKDAY(Main[[#This Row],[Tech Start Date]],2),""))))</f>
        <v/>
      </c>
      <c r="N258" s="114" t="str">
        <f>IF(Main[[#This Row],[Tech Start Date]]&lt;1/1/1990,"",IF(Main[[#This Row],[Class]]="C",WORKDAY(Main[[#This Row],[Tech Start Date]],19),IF(Main[[#This Row],[Class]]="B", WORKDAY(Main[[#This Row],[Tech Start Date]],12),IF(Main[[#This Row],[Class]]="A",WORKDAY(Main[[#This Row],[Tech Start Date]],4),""))))</f>
        <v/>
      </c>
      <c r="O258" s="114" t="str">
        <f>IF(Main[[#This Row],[Tech Start Date]]&lt;1/1/1990,"",IF(Main[[#This Row],[Class]]="C",WORKDAY(Main[[#This Row],[Tech Start Date]],23),IF(Main[[#This Row],[Class]]="B", WORKDAY(Main[[#This Row],[Tech Start Date]],15),IF(Main[[#This Row],[Class]]="A",WORKDAY(Main[[#This Row],[Tech Start Date]],5),""))))</f>
        <v/>
      </c>
      <c r="P258" s="114" t="str">
        <f>IF(Main[[#This Row],[Tech Start Date]]&lt;1/1/1990,"",IF(Main[[#This Row],[Class]]="C",WORKDAY(Main[[#This Row],[Tech Start Date]],28),IF(Main[[#This Row],[Class]]="B", WORKDAY(Main[[#This Row],[Tech Start Date]],19),IF(Main[[#This Row],[Class]]="A",WORKDAY(Main[[#This Row],[Tech Start Date]],9),""))))</f>
        <v/>
      </c>
      <c r="Q258" s="129"/>
      <c r="R258" s="129"/>
      <c r="S258" s="139" t="s">
        <v>6</v>
      </c>
      <c r="T258" s="115" t="s">
        <v>4</v>
      </c>
      <c r="U258" s="139" t="s">
        <v>29</v>
      </c>
      <c r="V258" s="139" t="s">
        <v>1915</v>
      </c>
      <c r="W258" s="139" t="s">
        <v>1918</v>
      </c>
      <c r="X258" s="139" t="s">
        <v>2249</v>
      </c>
      <c r="Y258" s="112" t="s">
        <v>4</v>
      </c>
      <c r="Z258" s="112" t="s">
        <v>4</v>
      </c>
      <c r="AA258" s="139" t="s">
        <v>4</v>
      </c>
    </row>
    <row r="259" spans="1:27" ht="17.25" customHeight="1">
      <c r="A259" s="69" t="str">
        <f>IF(priority(Main[[#This Row],[Comments]])&lt;&gt;0, priority(Main[[#This Row],[Comments]]),"")</f>
        <v/>
      </c>
      <c r="B259" s="63" t="s">
        <v>1098</v>
      </c>
      <c r="C259" s="148" t="s">
        <v>4</v>
      </c>
      <c r="D259" s="113" t="s">
        <v>147</v>
      </c>
      <c r="E259" s="129">
        <v>40666.180879629632</v>
      </c>
      <c r="F259" s="129"/>
      <c r="G259" s="69" t="str">
        <f>IF(stdProdLT(Main[[#This Row],[Comments]])=0.1,"N/A",IF(stdProdLT(Main[[#This Row],[Comments]])=0,"",stdProdLT(Main[[#This Row],[Comments]])))</f>
        <v/>
      </c>
      <c r="H259" s="138" t="str">
        <f>IF(Main[[#This Row],[In Stock Date]]="N/A", "N/A",IF(AND(Main[[#This Row],[In Stock Date]]&lt;&gt;"",Main[[#This Row],[Revised Due Date]]&lt;&gt;"",Main[[#This Row],[In Stock Date]]&lt;&gt;""),Main[[#This Row],[In Stock Date]]-Main[[#This Row],[Revised Due Date]],""))</f>
        <v/>
      </c>
      <c r="I259" s="139" t="s">
        <v>4</v>
      </c>
      <c r="J259" s="139" t="s">
        <v>4</v>
      </c>
      <c r="K259" s="140" t="s">
        <v>4</v>
      </c>
      <c r="L259" s="129"/>
      <c r="M259" s="114" t="str">
        <f>IF(Main[[#This Row],[Tech Start Date]]&lt;1/1/1990,"",IF(Main[[#This Row],[Class]]="C",WORKDAY(Main[[#This Row],[Tech Start Date]],9),IF(Main[[#This Row],[Class]]="B", WORKDAY(Main[[#This Row],[Tech Start Date]],6),IF(Main[[#This Row],[Class]]="A",WORKDAY(Main[[#This Row],[Tech Start Date]],2),""))))</f>
        <v/>
      </c>
      <c r="N259" s="114" t="str">
        <f>IF(Main[[#This Row],[Tech Start Date]]&lt;1/1/1990,"",IF(Main[[#This Row],[Class]]="C",WORKDAY(Main[[#This Row],[Tech Start Date]],19),IF(Main[[#This Row],[Class]]="B", WORKDAY(Main[[#This Row],[Tech Start Date]],12),IF(Main[[#This Row],[Class]]="A",WORKDAY(Main[[#This Row],[Tech Start Date]],4),""))))</f>
        <v/>
      </c>
      <c r="O259" s="114" t="str">
        <f>IF(Main[[#This Row],[Tech Start Date]]&lt;1/1/1990,"",IF(Main[[#This Row],[Class]]="C",WORKDAY(Main[[#This Row],[Tech Start Date]],23),IF(Main[[#This Row],[Class]]="B", WORKDAY(Main[[#This Row],[Tech Start Date]],15),IF(Main[[#This Row],[Class]]="A",WORKDAY(Main[[#This Row],[Tech Start Date]],5),""))))</f>
        <v/>
      </c>
      <c r="P259" s="114" t="str">
        <f>IF(Main[[#This Row],[Tech Start Date]]&lt;1/1/1990,"",IF(Main[[#This Row],[Class]]="C",WORKDAY(Main[[#This Row],[Tech Start Date]],28),IF(Main[[#This Row],[Class]]="B", WORKDAY(Main[[#This Row],[Tech Start Date]],19),IF(Main[[#This Row],[Class]]="A",WORKDAY(Main[[#This Row],[Tech Start Date]],9),""))))</f>
        <v/>
      </c>
      <c r="Q259" s="129">
        <v>40687</v>
      </c>
      <c r="R259" s="129"/>
      <c r="S259" s="139" t="s">
        <v>6</v>
      </c>
      <c r="T259" s="115" t="s">
        <v>4</v>
      </c>
      <c r="U259" s="139" t="s">
        <v>7</v>
      </c>
      <c r="V259" s="139" t="s">
        <v>1914</v>
      </c>
      <c r="W259" s="139" t="s">
        <v>4</v>
      </c>
      <c r="X259" s="139" t="s">
        <v>2851</v>
      </c>
      <c r="Y259" s="112" t="s">
        <v>2986</v>
      </c>
      <c r="Z259" s="112" t="s">
        <v>4</v>
      </c>
      <c r="AA259" s="139" t="s">
        <v>2851</v>
      </c>
    </row>
    <row r="260" spans="1:27" ht="17.25" customHeight="1">
      <c r="A260" s="69" t="str">
        <f>IF(priority(Main[[#This Row],[Comments]])&lt;&gt;0, priority(Main[[#This Row],[Comments]]),"")</f>
        <v/>
      </c>
      <c r="B260" s="63" t="s">
        <v>1099</v>
      </c>
      <c r="C260" s="148" t="s">
        <v>148</v>
      </c>
      <c r="D260" s="113" t="s">
        <v>149</v>
      </c>
      <c r="E260" s="129"/>
      <c r="F260" s="129"/>
      <c r="G260" s="69" t="str">
        <f>IF(stdProdLT(Main[[#This Row],[Comments]])=0.1,"N/A",IF(stdProdLT(Main[[#This Row],[Comments]])=0,"",stdProdLT(Main[[#This Row],[Comments]])))</f>
        <v/>
      </c>
      <c r="H260" s="138" t="str">
        <f>IF(Main[[#This Row],[In Stock Date]]="N/A", "N/A",IF(AND(Main[[#This Row],[In Stock Date]]&lt;&gt;"",Main[[#This Row],[Revised Due Date]]&lt;&gt;"",Main[[#This Row],[In Stock Date]]&lt;&gt;""),Main[[#This Row],[In Stock Date]]-Main[[#This Row],[Revised Due Date]],""))</f>
        <v/>
      </c>
      <c r="I260" s="139" t="s">
        <v>4</v>
      </c>
      <c r="J260" s="139" t="s">
        <v>28</v>
      </c>
      <c r="K260" s="139" t="s">
        <v>4</v>
      </c>
      <c r="L260" s="129"/>
      <c r="M260" s="114" t="str">
        <f>IF(Main[[#This Row],[Tech Start Date]]&lt;1/1/1990,"",IF(Main[[#This Row],[Class]]="C",WORKDAY(Main[[#This Row],[Tech Start Date]],9),IF(Main[[#This Row],[Class]]="B", WORKDAY(Main[[#This Row],[Tech Start Date]],6),IF(Main[[#This Row],[Class]]="A",WORKDAY(Main[[#This Row],[Tech Start Date]],2),""))))</f>
        <v/>
      </c>
      <c r="N260" s="114" t="str">
        <f>IF(Main[[#This Row],[Tech Start Date]]&lt;1/1/1990,"",IF(Main[[#This Row],[Class]]="C",WORKDAY(Main[[#This Row],[Tech Start Date]],19),IF(Main[[#This Row],[Class]]="B", WORKDAY(Main[[#This Row],[Tech Start Date]],12),IF(Main[[#This Row],[Class]]="A",WORKDAY(Main[[#This Row],[Tech Start Date]],4),""))))</f>
        <v/>
      </c>
      <c r="O260" s="114" t="str">
        <f>IF(Main[[#This Row],[Tech Start Date]]&lt;1/1/1990,"",IF(Main[[#This Row],[Class]]="C",WORKDAY(Main[[#This Row],[Tech Start Date]],23),IF(Main[[#This Row],[Class]]="B", WORKDAY(Main[[#This Row],[Tech Start Date]],15),IF(Main[[#This Row],[Class]]="A",WORKDAY(Main[[#This Row],[Tech Start Date]],5),""))))</f>
        <v/>
      </c>
      <c r="P260" s="114" t="str">
        <f>IF(Main[[#This Row],[Tech Start Date]]&lt;1/1/1990,"",IF(Main[[#This Row],[Class]]="C",WORKDAY(Main[[#This Row],[Tech Start Date]],28),IF(Main[[#This Row],[Class]]="B", WORKDAY(Main[[#This Row],[Tech Start Date]],19),IF(Main[[#This Row],[Class]]="A",WORKDAY(Main[[#This Row],[Tech Start Date]],9),""))))</f>
        <v/>
      </c>
      <c r="Q260" s="129">
        <v>40511</v>
      </c>
      <c r="R260" s="129"/>
      <c r="S260" s="139" t="s">
        <v>11</v>
      </c>
      <c r="T260" s="115" t="s">
        <v>4</v>
      </c>
      <c r="U260" s="139" t="s">
        <v>14</v>
      </c>
      <c r="V260" s="139" t="s">
        <v>1917</v>
      </c>
      <c r="W260" s="139" t="s">
        <v>1916</v>
      </c>
      <c r="X260" s="139" t="s">
        <v>2843</v>
      </c>
      <c r="Y260" s="112" t="s">
        <v>2987</v>
      </c>
      <c r="Z260" s="112" t="s">
        <v>530</v>
      </c>
      <c r="AA260" s="139" t="s">
        <v>2843</v>
      </c>
    </row>
    <row r="261" spans="1:27" ht="17.25" customHeight="1">
      <c r="A261" s="69" t="str">
        <f>IF(priority(Main[[#This Row],[Comments]])&lt;&gt;0, priority(Main[[#This Row],[Comments]]),"")</f>
        <v/>
      </c>
      <c r="B261" s="63" t="s">
        <v>2698</v>
      </c>
      <c r="C261" s="148" t="s">
        <v>4</v>
      </c>
      <c r="D261" s="113" t="s">
        <v>2699</v>
      </c>
      <c r="E261" s="129">
        <v>40905.438483796293</v>
      </c>
      <c r="F261" s="129"/>
      <c r="G261" s="69" t="str">
        <f>IF(stdProdLT(Main[[#This Row],[Comments]])=0.1,"N/A",IF(stdProdLT(Main[[#This Row],[Comments]])=0,"",stdProdLT(Main[[#This Row],[Comments]])))</f>
        <v/>
      </c>
      <c r="H261" s="138" t="str">
        <f>IF(Main[[#This Row],[In Stock Date]]="N/A", "N/A",IF(AND(Main[[#This Row],[In Stock Date]]&lt;&gt;"",Main[[#This Row],[Revised Due Date]]&lt;&gt;"",Main[[#This Row],[In Stock Date]]&lt;&gt;""),Main[[#This Row],[In Stock Date]]-Main[[#This Row],[Revised Due Date]],""))</f>
        <v/>
      </c>
      <c r="I261" s="139" t="s">
        <v>4</v>
      </c>
      <c r="J261" s="139" t="s">
        <v>4</v>
      </c>
      <c r="K261" s="139" t="s">
        <v>4</v>
      </c>
      <c r="L261" s="129"/>
      <c r="M261" s="114" t="str">
        <f>IF(Main[[#This Row],[Tech Start Date]]&lt;1/1/1990,"",IF(Main[[#This Row],[Class]]="C",WORKDAY(Main[[#This Row],[Tech Start Date]],9),IF(Main[[#This Row],[Class]]="B", WORKDAY(Main[[#This Row],[Tech Start Date]],6),IF(Main[[#This Row],[Class]]="A",WORKDAY(Main[[#This Row],[Tech Start Date]],2),""))))</f>
        <v/>
      </c>
      <c r="N261" s="114" t="str">
        <f>IF(Main[[#This Row],[Tech Start Date]]&lt;1/1/1990,"",IF(Main[[#This Row],[Class]]="C",WORKDAY(Main[[#This Row],[Tech Start Date]],19),IF(Main[[#This Row],[Class]]="B", WORKDAY(Main[[#This Row],[Tech Start Date]],12),IF(Main[[#This Row],[Class]]="A",WORKDAY(Main[[#This Row],[Tech Start Date]],4),""))))</f>
        <v/>
      </c>
      <c r="O261" s="114" t="str">
        <f>IF(Main[[#This Row],[Tech Start Date]]&lt;1/1/1990,"",IF(Main[[#This Row],[Class]]="C",WORKDAY(Main[[#This Row],[Tech Start Date]],23),IF(Main[[#This Row],[Class]]="B", WORKDAY(Main[[#This Row],[Tech Start Date]],15),IF(Main[[#This Row],[Class]]="A",WORKDAY(Main[[#This Row],[Tech Start Date]],5),""))))</f>
        <v/>
      </c>
      <c r="P261" s="114" t="str">
        <f>IF(Main[[#This Row],[Tech Start Date]]&lt;1/1/1990,"",IF(Main[[#This Row],[Class]]="C",WORKDAY(Main[[#This Row],[Tech Start Date]],28),IF(Main[[#This Row],[Class]]="B", WORKDAY(Main[[#This Row],[Tech Start Date]],19),IF(Main[[#This Row],[Class]]="A",WORKDAY(Main[[#This Row],[Tech Start Date]],9),""))))</f>
        <v/>
      </c>
      <c r="Q261" s="129"/>
      <c r="R261" s="129"/>
      <c r="S261" s="139" t="s">
        <v>6</v>
      </c>
      <c r="T261" s="115" t="s">
        <v>4</v>
      </c>
      <c r="U261" s="139" t="s">
        <v>29</v>
      </c>
      <c r="V261" s="139" t="s">
        <v>1914</v>
      </c>
      <c r="W261" s="139" t="s">
        <v>1918</v>
      </c>
      <c r="X261" s="139" t="s">
        <v>937</v>
      </c>
      <c r="Y261" s="112" t="s">
        <v>2984</v>
      </c>
      <c r="Z261" s="112" t="s">
        <v>4</v>
      </c>
      <c r="AA261" s="139" t="s">
        <v>937</v>
      </c>
    </row>
    <row r="262" spans="1:27" ht="17.25" customHeight="1">
      <c r="A262" s="69" t="str">
        <f>IF(priority(Main[[#This Row],[Comments]])&lt;&gt;0, priority(Main[[#This Row],[Comments]]),"")</f>
        <v/>
      </c>
      <c r="B262" s="63" t="s">
        <v>1100</v>
      </c>
      <c r="C262" s="148" t="s">
        <v>93</v>
      </c>
      <c r="D262" s="113" t="s">
        <v>150</v>
      </c>
      <c r="E262" s="129"/>
      <c r="F262" s="129"/>
      <c r="G262" s="69" t="str">
        <f>IF(stdProdLT(Main[[#This Row],[Comments]])=0.1,"N/A",IF(stdProdLT(Main[[#This Row],[Comments]])=0,"",stdProdLT(Main[[#This Row],[Comments]])))</f>
        <v/>
      </c>
      <c r="H262" s="138" t="str">
        <f>IF(Main[[#This Row],[In Stock Date]]="N/A", "N/A",IF(AND(Main[[#This Row],[In Stock Date]]&lt;&gt;"",Main[[#This Row],[Revised Due Date]]&lt;&gt;"",Main[[#This Row],[In Stock Date]]&lt;&gt;""),Main[[#This Row],[In Stock Date]]-Main[[#This Row],[Revised Due Date]],""))</f>
        <v/>
      </c>
      <c r="I262" s="139" t="s">
        <v>4</v>
      </c>
      <c r="J262" s="139" t="s">
        <v>4</v>
      </c>
      <c r="K262" s="139" t="s">
        <v>4</v>
      </c>
      <c r="L262" s="129"/>
      <c r="M262" s="114" t="str">
        <f>IF(Main[[#This Row],[Tech Start Date]]&lt;1/1/1990,"",IF(Main[[#This Row],[Class]]="C",WORKDAY(Main[[#This Row],[Tech Start Date]],9),IF(Main[[#This Row],[Class]]="B", WORKDAY(Main[[#This Row],[Tech Start Date]],6),IF(Main[[#This Row],[Class]]="A",WORKDAY(Main[[#This Row],[Tech Start Date]],2),""))))</f>
        <v/>
      </c>
      <c r="N262" s="114" t="str">
        <f>IF(Main[[#This Row],[Tech Start Date]]&lt;1/1/1990,"",IF(Main[[#This Row],[Class]]="C",WORKDAY(Main[[#This Row],[Tech Start Date]],19),IF(Main[[#This Row],[Class]]="B", WORKDAY(Main[[#This Row],[Tech Start Date]],12),IF(Main[[#This Row],[Class]]="A",WORKDAY(Main[[#This Row],[Tech Start Date]],4),""))))</f>
        <v/>
      </c>
      <c r="O262" s="114" t="str">
        <f>IF(Main[[#This Row],[Tech Start Date]]&lt;1/1/1990,"",IF(Main[[#This Row],[Class]]="C",WORKDAY(Main[[#This Row],[Tech Start Date]],23),IF(Main[[#This Row],[Class]]="B", WORKDAY(Main[[#This Row],[Tech Start Date]],15),IF(Main[[#This Row],[Class]]="A",WORKDAY(Main[[#This Row],[Tech Start Date]],5),""))))</f>
        <v/>
      </c>
      <c r="P262" s="114" t="str">
        <f>IF(Main[[#This Row],[Tech Start Date]]&lt;1/1/1990,"",IF(Main[[#This Row],[Class]]="C",WORKDAY(Main[[#This Row],[Tech Start Date]],28),IF(Main[[#This Row],[Class]]="B", WORKDAY(Main[[#This Row],[Tech Start Date]],19),IF(Main[[#This Row],[Class]]="A",WORKDAY(Main[[#This Row],[Tech Start Date]],9),""))))</f>
        <v/>
      </c>
      <c r="Q262" s="129"/>
      <c r="R262" s="129"/>
      <c r="S262" s="139" t="s">
        <v>11</v>
      </c>
      <c r="T262" s="115" t="s">
        <v>4</v>
      </c>
      <c r="U262" s="139" t="s">
        <v>14</v>
      </c>
      <c r="V262" s="139" t="s">
        <v>1917</v>
      </c>
      <c r="W262" s="139" t="s">
        <v>1920</v>
      </c>
      <c r="X262" s="139" t="s">
        <v>553</v>
      </c>
      <c r="Y262" s="112" t="s">
        <v>2988</v>
      </c>
      <c r="Z262" s="112" t="s">
        <v>4</v>
      </c>
      <c r="AA262" s="139" t="s">
        <v>3391</v>
      </c>
    </row>
    <row r="263" spans="1:27" ht="17.25" customHeight="1">
      <c r="A263" s="69" t="str">
        <f>IF(priority(Main[[#This Row],[Comments]])&lt;&gt;0, priority(Main[[#This Row],[Comments]]),"")</f>
        <v/>
      </c>
      <c r="B263" s="63" t="s">
        <v>1101</v>
      </c>
      <c r="C263" s="148" t="s">
        <v>26</v>
      </c>
      <c r="D263" s="113" t="s">
        <v>151</v>
      </c>
      <c r="E263" s="129"/>
      <c r="F263" s="129">
        <v>40613</v>
      </c>
      <c r="G263" s="69" t="str">
        <f>IF(stdProdLT(Main[[#This Row],[Comments]])=0.1,"N/A",IF(stdProdLT(Main[[#This Row],[Comments]])=0,"",stdProdLT(Main[[#This Row],[Comments]])))</f>
        <v/>
      </c>
      <c r="H263" s="138" t="str">
        <f>IF(Main[[#This Row],[In Stock Date]]="N/A", "N/A",IF(AND(Main[[#This Row],[In Stock Date]]&lt;&gt;"",Main[[#This Row],[Revised Due Date]]&lt;&gt;"",Main[[#This Row],[In Stock Date]]&lt;&gt;""),Main[[#This Row],[In Stock Date]]-Main[[#This Row],[Revised Due Date]],""))</f>
        <v/>
      </c>
      <c r="I263" s="139" t="s">
        <v>4</v>
      </c>
      <c r="J263" s="139" t="s">
        <v>28</v>
      </c>
      <c r="K263" s="139" t="s">
        <v>4</v>
      </c>
      <c r="L263" s="129"/>
      <c r="M263" s="114" t="str">
        <f>IF(Main[[#This Row],[Tech Start Date]]&lt;1/1/1990,"",IF(Main[[#This Row],[Class]]="C",WORKDAY(Main[[#This Row],[Tech Start Date]],9),IF(Main[[#This Row],[Class]]="B", WORKDAY(Main[[#This Row],[Tech Start Date]],6),IF(Main[[#This Row],[Class]]="A",WORKDAY(Main[[#This Row],[Tech Start Date]],2),""))))</f>
        <v/>
      </c>
      <c r="N263" s="114" t="str">
        <f>IF(Main[[#This Row],[Tech Start Date]]&lt;1/1/1990,"",IF(Main[[#This Row],[Class]]="C",WORKDAY(Main[[#This Row],[Tech Start Date]],19),IF(Main[[#This Row],[Class]]="B", WORKDAY(Main[[#This Row],[Tech Start Date]],12),IF(Main[[#This Row],[Class]]="A",WORKDAY(Main[[#This Row],[Tech Start Date]],4),""))))</f>
        <v/>
      </c>
      <c r="O263" s="114" t="str">
        <f>IF(Main[[#This Row],[Tech Start Date]]&lt;1/1/1990,"",IF(Main[[#This Row],[Class]]="C",WORKDAY(Main[[#This Row],[Tech Start Date]],23),IF(Main[[#This Row],[Class]]="B", WORKDAY(Main[[#This Row],[Tech Start Date]],15),IF(Main[[#This Row],[Class]]="A",WORKDAY(Main[[#This Row],[Tech Start Date]],5),""))))</f>
        <v/>
      </c>
      <c r="P263" s="114" t="str">
        <f>IF(Main[[#This Row],[Tech Start Date]]&lt;1/1/1990,"",IF(Main[[#This Row],[Class]]="C",WORKDAY(Main[[#This Row],[Tech Start Date]],28),IF(Main[[#This Row],[Class]]="B", WORKDAY(Main[[#This Row],[Tech Start Date]],19),IF(Main[[#This Row],[Class]]="A",WORKDAY(Main[[#This Row],[Tech Start Date]],9),""))))</f>
        <v/>
      </c>
      <c r="Q263" s="129"/>
      <c r="R263" s="129"/>
      <c r="S263" s="139" t="s">
        <v>11</v>
      </c>
      <c r="T263" s="115" t="s">
        <v>4</v>
      </c>
      <c r="U263" s="139" t="s">
        <v>14</v>
      </c>
      <c r="V263" s="139" t="s">
        <v>1914</v>
      </c>
      <c r="W263" s="139" t="s">
        <v>1922</v>
      </c>
      <c r="X263" s="139" t="s">
        <v>2842</v>
      </c>
      <c r="Y263" s="112" t="s">
        <v>2974</v>
      </c>
      <c r="Z263" s="112" t="s">
        <v>129</v>
      </c>
      <c r="AA263" s="139" t="s">
        <v>2842</v>
      </c>
    </row>
    <row r="264" spans="1:27" ht="17.25" customHeight="1">
      <c r="A264" s="69" t="str">
        <f>IF(priority(Main[[#This Row],[Comments]])&lt;&gt;0, priority(Main[[#This Row],[Comments]]),"")</f>
        <v/>
      </c>
      <c r="B264" s="63" t="s">
        <v>1106</v>
      </c>
      <c r="C264" s="148" t="s">
        <v>4</v>
      </c>
      <c r="D264" s="113" t="s">
        <v>152</v>
      </c>
      <c r="E264" s="129">
        <v>40584.587800925925</v>
      </c>
      <c r="F264" s="129"/>
      <c r="G264" s="69" t="str">
        <f>IF(stdProdLT(Main[[#This Row],[Comments]])=0.1,"N/A",IF(stdProdLT(Main[[#This Row],[Comments]])=0,"",stdProdLT(Main[[#This Row],[Comments]])))</f>
        <v/>
      </c>
      <c r="H264" s="138" t="str">
        <f>IF(Main[[#This Row],[In Stock Date]]="N/A", "N/A",IF(AND(Main[[#This Row],[In Stock Date]]&lt;&gt;"",Main[[#This Row],[Revised Due Date]]&lt;&gt;"",Main[[#This Row],[In Stock Date]]&lt;&gt;""),Main[[#This Row],[In Stock Date]]-Main[[#This Row],[Revised Due Date]],""))</f>
        <v/>
      </c>
      <c r="I264" s="139" t="s">
        <v>4</v>
      </c>
      <c r="J264" s="139" t="s">
        <v>4</v>
      </c>
      <c r="K264" s="139" t="s">
        <v>4</v>
      </c>
      <c r="L264" s="129"/>
      <c r="M264" s="114" t="str">
        <f>IF(Main[[#This Row],[Tech Start Date]]&lt;1/1/1990,"",IF(Main[[#This Row],[Class]]="C",WORKDAY(Main[[#This Row],[Tech Start Date]],9),IF(Main[[#This Row],[Class]]="B", WORKDAY(Main[[#This Row],[Tech Start Date]],6),IF(Main[[#This Row],[Class]]="A",WORKDAY(Main[[#This Row],[Tech Start Date]],2),""))))</f>
        <v/>
      </c>
      <c r="N264" s="114" t="str">
        <f>IF(Main[[#This Row],[Tech Start Date]]&lt;1/1/1990,"",IF(Main[[#This Row],[Class]]="C",WORKDAY(Main[[#This Row],[Tech Start Date]],19),IF(Main[[#This Row],[Class]]="B", WORKDAY(Main[[#This Row],[Tech Start Date]],12),IF(Main[[#This Row],[Class]]="A",WORKDAY(Main[[#This Row],[Tech Start Date]],4),""))))</f>
        <v/>
      </c>
      <c r="O264" s="114" t="str">
        <f>IF(Main[[#This Row],[Tech Start Date]]&lt;1/1/1990,"",IF(Main[[#This Row],[Class]]="C",WORKDAY(Main[[#This Row],[Tech Start Date]],23),IF(Main[[#This Row],[Class]]="B", WORKDAY(Main[[#This Row],[Tech Start Date]],15),IF(Main[[#This Row],[Class]]="A",WORKDAY(Main[[#This Row],[Tech Start Date]],5),""))))</f>
        <v/>
      </c>
      <c r="P264" s="114" t="str">
        <f>IF(Main[[#This Row],[Tech Start Date]]&lt;1/1/1990,"",IF(Main[[#This Row],[Class]]="C",WORKDAY(Main[[#This Row],[Tech Start Date]],28),IF(Main[[#This Row],[Class]]="B", WORKDAY(Main[[#This Row],[Tech Start Date]],19),IF(Main[[#This Row],[Class]]="A",WORKDAY(Main[[#This Row],[Tech Start Date]],9),""))))</f>
        <v/>
      </c>
      <c r="Q264" s="129"/>
      <c r="R264" s="129"/>
      <c r="S264" s="139" t="s">
        <v>4</v>
      </c>
      <c r="T264" s="115" t="s">
        <v>4</v>
      </c>
      <c r="U264" s="139" t="s">
        <v>29</v>
      </c>
      <c r="V264" s="139" t="s">
        <v>1915</v>
      </c>
      <c r="W264" s="139" t="s">
        <v>4</v>
      </c>
      <c r="X264" s="139" t="s">
        <v>942</v>
      </c>
      <c r="Y264" s="112" t="s">
        <v>2989</v>
      </c>
      <c r="Z264" s="112" t="s">
        <v>4</v>
      </c>
      <c r="AA264" s="139" t="s">
        <v>942</v>
      </c>
    </row>
    <row r="265" spans="1:27" ht="17.25" customHeight="1">
      <c r="A265" s="69" t="str">
        <f>IF(priority(Main[[#This Row],[Comments]])&lt;&gt;0, priority(Main[[#This Row],[Comments]]),"")</f>
        <v/>
      </c>
      <c r="B265" s="63" t="s">
        <v>1107</v>
      </c>
      <c r="C265" s="148" t="s">
        <v>4</v>
      </c>
      <c r="D265" s="113" t="s">
        <v>153</v>
      </c>
      <c r="E265" s="129"/>
      <c r="F265" s="129"/>
      <c r="G265" s="69" t="str">
        <f>IF(stdProdLT(Main[[#This Row],[Comments]])=0.1,"N/A",IF(stdProdLT(Main[[#This Row],[Comments]])=0,"",stdProdLT(Main[[#This Row],[Comments]])))</f>
        <v/>
      </c>
      <c r="H265" s="138" t="str">
        <f>IF(Main[[#This Row],[In Stock Date]]="N/A", "N/A",IF(AND(Main[[#This Row],[In Stock Date]]&lt;&gt;"",Main[[#This Row],[Revised Due Date]]&lt;&gt;"",Main[[#This Row],[In Stock Date]]&lt;&gt;""),Main[[#This Row],[In Stock Date]]-Main[[#This Row],[Revised Due Date]],""))</f>
        <v/>
      </c>
      <c r="I265" s="139" t="s">
        <v>30</v>
      </c>
      <c r="J265" s="139" t="s">
        <v>52</v>
      </c>
      <c r="K265" s="139" t="s">
        <v>4</v>
      </c>
      <c r="L265" s="129"/>
      <c r="M265" s="114" t="str">
        <f>IF(Main[[#This Row],[Tech Start Date]]&lt;1/1/1990,"",IF(Main[[#This Row],[Class]]="C",WORKDAY(Main[[#This Row],[Tech Start Date]],9),IF(Main[[#This Row],[Class]]="B", WORKDAY(Main[[#This Row],[Tech Start Date]],6),IF(Main[[#This Row],[Class]]="A",WORKDAY(Main[[#This Row],[Tech Start Date]],2),""))))</f>
        <v/>
      </c>
      <c r="N265" s="114" t="str">
        <f>IF(Main[[#This Row],[Tech Start Date]]&lt;1/1/1990,"",IF(Main[[#This Row],[Class]]="C",WORKDAY(Main[[#This Row],[Tech Start Date]],19),IF(Main[[#This Row],[Class]]="B", WORKDAY(Main[[#This Row],[Tech Start Date]],12),IF(Main[[#This Row],[Class]]="A",WORKDAY(Main[[#This Row],[Tech Start Date]],4),""))))</f>
        <v/>
      </c>
      <c r="O265" s="114" t="str">
        <f>IF(Main[[#This Row],[Tech Start Date]]&lt;1/1/1990,"",IF(Main[[#This Row],[Class]]="C",WORKDAY(Main[[#This Row],[Tech Start Date]],23),IF(Main[[#This Row],[Class]]="B", WORKDAY(Main[[#This Row],[Tech Start Date]],15),IF(Main[[#This Row],[Class]]="A",WORKDAY(Main[[#This Row],[Tech Start Date]],5),""))))</f>
        <v/>
      </c>
      <c r="P265" s="114" t="str">
        <f>IF(Main[[#This Row],[Tech Start Date]]&lt;1/1/1990,"",IF(Main[[#This Row],[Class]]="C",WORKDAY(Main[[#This Row],[Tech Start Date]],28),IF(Main[[#This Row],[Class]]="B", WORKDAY(Main[[#This Row],[Tech Start Date]],19),IF(Main[[#This Row],[Class]]="A",WORKDAY(Main[[#This Row],[Tech Start Date]],9),""))))</f>
        <v/>
      </c>
      <c r="Q265" s="129">
        <v>40448</v>
      </c>
      <c r="R265" s="129"/>
      <c r="S265" s="139" t="s">
        <v>6</v>
      </c>
      <c r="T265" s="115" t="s">
        <v>4</v>
      </c>
      <c r="U265" s="139" t="s">
        <v>14</v>
      </c>
      <c r="V265" s="139" t="s">
        <v>1917</v>
      </c>
      <c r="W265" s="139" t="s">
        <v>4</v>
      </c>
      <c r="X265" s="139" t="s">
        <v>2818</v>
      </c>
      <c r="Y265" s="112" t="s">
        <v>2929</v>
      </c>
      <c r="Z265" s="112" t="s">
        <v>530</v>
      </c>
      <c r="AA265" s="139" t="s">
        <v>2818</v>
      </c>
    </row>
    <row r="266" spans="1:27" ht="17.25" customHeight="1">
      <c r="A266" s="69" t="str">
        <f>IF(priority(Main[[#This Row],[Comments]])&lt;&gt;0, priority(Main[[#This Row],[Comments]]),"")</f>
        <v/>
      </c>
      <c r="B266" s="63" t="s">
        <v>3318</v>
      </c>
      <c r="C266" s="148" t="s">
        <v>4</v>
      </c>
      <c r="D266" s="113" t="s">
        <v>3319</v>
      </c>
      <c r="E266" s="129">
        <v>40939.457824074074</v>
      </c>
      <c r="F266" s="129"/>
      <c r="G266" s="69" t="str">
        <f>IF(stdProdLT(Main[[#This Row],[Comments]])=0.1,"N/A",IF(stdProdLT(Main[[#This Row],[Comments]])=0,"",stdProdLT(Main[[#This Row],[Comments]])))</f>
        <v/>
      </c>
      <c r="H266" s="138" t="str">
        <f>IF(Main[[#This Row],[In Stock Date]]="N/A", "N/A",IF(AND(Main[[#This Row],[In Stock Date]]&lt;&gt;"",Main[[#This Row],[Revised Due Date]]&lt;&gt;"",Main[[#This Row],[In Stock Date]]&lt;&gt;""),Main[[#This Row],[In Stock Date]]-Main[[#This Row],[Revised Due Date]],""))</f>
        <v/>
      </c>
      <c r="I266" s="139" t="s">
        <v>4</v>
      </c>
      <c r="J266" s="139" t="s">
        <v>4</v>
      </c>
      <c r="K266" s="139" t="s">
        <v>4</v>
      </c>
      <c r="L266" s="129"/>
      <c r="M266" s="114" t="str">
        <f>IF(Main[[#This Row],[Tech Start Date]]&lt;1/1/1990,"",IF(Main[[#This Row],[Class]]="C",WORKDAY(Main[[#This Row],[Tech Start Date]],9),IF(Main[[#This Row],[Class]]="B", WORKDAY(Main[[#This Row],[Tech Start Date]],6),IF(Main[[#This Row],[Class]]="A",WORKDAY(Main[[#This Row],[Tech Start Date]],2),""))))</f>
        <v/>
      </c>
      <c r="N266" s="114" t="str">
        <f>IF(Main[[#This Row],[Tech Start Date]]&lt;1/1/1990,"",IF(Main[[#This Row],[Class]]="C",WORKDAY(Main[[#This Row],[Tech Start Date]],19),IF(Main[[#This Row],[Class]]="B", WORKDAY(Main[[#This Row],[Tech Start Date]],12),IF(Main[[#This Row],[Class]]="A",WORKDAY(Main[[#This Row],[Tech Start Date]],4),""))))</f>
        <v/>
      </c>
      <c r="O266" s="114" t="str">
        <f>IF(Main[[#This Row],[Tech Start Date]]&lt;1/1/1990,"",IF(Main[[#This Row],[Class]]="C",WORKDAY(Main[[#This Row],[Tech Start Date]],23),IF(Main[[#This Row],[Class]]="B", WORKDAY(Main[[#This Row],[Tech Start Date]],15),IF(Main[[#This Row],[Class]]="A",WORKDAY(Main[[#This Row],[Tech Start Date]],5),""))))</f>
        <v/>
      </c>
      <c r="P266" s="114" t="str">
        <f>IF(Main[[#This Row],[Tech Start Date]]&lt;1/1/1990,"",IF(Main[[#This Row],[Class]]="C",WORKDAY(Main[[#This Row],[Tech Start Date]],28),IF(Main[[#This Row],[Class]]="B", WORKDAY(Main[[#This Row],[Tech Start Date]],19),IF(Main[[#This Row],[Class]]="A",WORKDAY(Main[[#This Row],[Tech Start Date]],9),""))))</f>
        <v/>
      </c>
      <c r="Q266" s="129">
        <v>40968</v>
      </c>
      <c r="R266" s="129"/>
      <c r="S266" s="139" t="s">
        <v>6</v>
      </c>
      <c r="T266" s="115" t="s">
        <v>4</v>
      </c>
      <c r="U266" s="139" t="s">
        <v>7</v>
      </c>
      <c r="V266" s="139" t="s">
        <v>1914</v>
      </c>
      <c r="W266" s="139" t="s">
        <v>4</v>
      </c>
      <c r="X266" s="139" t="s">
        <v>2822</v>
      </c>
      <c r="Y266" s="112" t="s">
        <v>2938</v>
      </c>
      <c r="Z266" s="112" t="s">
        <v>4</v>
      </c>
      <c r="AA266" s="139" t="s">
        <v>2822</v>
      </c>
    </row>
    <row r="267" spans="1:27" ht="17.25" customHeight="1">
      <c r="A267" s="69" t="str">
        <f>IF(priority(Main[[#This Row],[Comments]])&lt;&gt;0, priority(Main[[#This Row],[Comments]]),"")</f>
        <v/>
      </c>
      <c r="B267" s="63" t="s">
        <v>1156</v>
      </c>
      <c r="C267" s="148" t="s">
        <v>4</v>
      </c>
      <c r="D267" s="113" t="s">
        <v>2339</v>
      </c>
      <c r="E267" s="129">
        <v>40274.393113425926</v>
      </c>
      <c r="F267" s="129"/>
      <c r="G267" s="69" t="str">
        <f>IF(stdProdLT(Main[[#This Row],[Comments]])=0.1,"N/A",IF(stdProdLT(Main[[#This Row],[Comments]])=0,"",stdProdLT(Main[[#This Row],[Comments]])))</f>
        <v/>
      </c>
      <c r="H267" s="138" t="str">
        <f>IF(Main[[#This Row],[In Stock Date]]="N/A", "N/A",IF(AND(Main[[#This Row],[In Stock Date]]&lt;&gt;"",Main[[#This Row],[Revised Due Date]]&lt;&gt;"",Main[[#This Row],[In Stock Date]]&lt;&gt;""),Main[[#This Row],[In Stock Date]]-Main[[#This Row],[Revised Due Date]],""))</f>
        <v/>
      </c>
      <c r="I267" s="139" t="s">
        <v>4</v>
      </c>
      <c r="J267" s="139" t="s">
        <v>4</v>
      </c>
      <c r="K267" s="139" t="s">
        <v>4</v>
      </c>
      <c r="L267" s="129"/>
      <c r="M267" s="114" t="str">
        <f>IF(Main[[#This Row],[Tech Start Date]]&lt;1/1/1990,"",IF(Main[[#This Row],[Class]]="C",WORKDAY(Main[[#This Row],[Tech Start Date]],9),IF(Main[[#This Row],[Class]]="B", WORKDAY(Main[[#This Row],[Tech Start Date]],6),IF(Main[[#This Row],[Class]]="A",WORKDAY(Main[[#This Row],[Tech Start Date]],2),""))))</f>
        <v/>
      </c>
      <c r="N267" s="114" t="str">
        <f>IF(Main[[#This Row],[Tech Start Date]]&lt;1/1/1990,"",IF(Main[[#This Row],[Class]]="C",WORKDAY(Main[[#This Row],[Tech Start Date]],19),IF(Main[[#This Row],[Class]]="B", WORKDAY(Main[[#This Row],[Tech Start Date]],12),IF(Main[[#This Row],[Class]]="A",WORKDAY(Main[[#This Row],[Tech Start Date]],4),""))))</f>
        <v/>
      </c>
      <c r="O267" s="114" t="str">
        <f>IF(Main[[#This Row],[Tech Start Date]]&lt;1/1/1990,"",IF(Main[[#This Row],[Class]]="C",WORKDAY(Main[[#This Row],[Tech Start Date]],23),IF(Main[[#This Row],[Class]]="B", WORKDAY(Main[[#This Row],[Tech Start Date]],15),IF(Main[[#This Row],[Class]]="A",WORKDAY(Main[[#This Row],[Tech Start Date]],5),""))))</f>
        <v/>
      </c>
      <c r="P267" s="114" t="str">
        <f>IF(Main[[#This Row],[Tech Start Date]]&lt;1/1/1990,"",IF(Main[[#This Row],[Class]]="C",WORKDAY(Main[[#This Row],[Tech Start Date]],28),IF(Main[[#This Row],[Class]]="B", WORKDAY(Main[[#This Row],[Tech Start Date]],19),IF(Main[[#This Row],[Class]]="A",WORKDAY(Main[[#This Row],[Tech Start Date]],9),""))))</f>
        <v/>
      </c>
      <c r="Q267" s="129">
        <v>40302</v>
      </c>
      <c r="R267" s="129"/>
      <c r="S267" s="139" t="s">
        <v>6</v>
      </c>
      <c r="T267" s="115" t="s">
        <v>4</v>
      </c>
      <c r="U267" s="139" t="s">
        <v>7</v>
      </c>
      <c r="V267" s="139" t="s">
        <v>1914</v>
      </c>
      <c r="W267" s="139" t="s">
        <v>1916</v>
      </c>
      <c r="X267" s="139" t="s">
        <v>2821</v>
      </c>
      <c r="Y267" s="112" t="s">
        <v>2936</v>
      </c>
      <c r="Z267" s="112" t="s">
        <v>4</v>
      </c>
      <c r="AA267" s="139" t="s">
        <v>2821</v>
      </c>
    </row>
    <row r="268" spans="1:27" ht="17.25" customHeight="1">
      <c r="A268" s="69" t="str">
        <f>IF(priority(Main[[#This Row],[Comments]])&lt;&gt;0, priority(Main[[#This Row],[Comments]]),"")</f>
        <v/>
      </c>
      <c r="B268" s="63" t="s">
        <v>1389</v>
      </c>
      <c r="C268" s="148" t="s">
        <v>4</v>
      </c>
      <c r="D268" s="113" t="s">
        <v>2340</v>
      </c>
      <c r="E268" s="129">
        <v>40644.246631944443</v>
      </c>
      <c r="F268" s="129"/>
      <c r="G268" s="69" t="str">
        <f>IF(stdProdLT(Main[[#This Row],[Comments]])=0.1,"N/A",IF(stdProdLT(Main[[#This Row],[Comments]])=0,"",stdProdLT(Main[[#This Row],[Comments]])))</f>
        <v/>
      </c>
      <c r="H268" s="138" t="str">
        <f>IF(Main[[#This Row],[In Stock Date]]="N/A", "N/A",IF(AND(Main[[#This Row],[In Stock Date]]&lt;&gt;"",Main[[#This Row],[Revised Due Date]]&lt;&gt;"",Main[[#This Row],[In Stock Date]]&lt;&gt;""),Main[[#This Row],[In Stock Date]]-Main[[#This Row],[Revised Due Date]],""))</f>
        <v/>
      </c>
      <c r="I268" s="139" t="s">
        <v>912</v>
      </c>
      <c r="J268" s="139" t="s">
        <v>52</v>
      </c>
      <c r="K268" s="139" t="s">
        <v>4</v>
      </c>
      <c r="L268" s="129"/>
      <c r="M268" s="114" t="str">
        <f>IF(Main[[#This Row],[Tech Start Date]]&lt;1/1/1990,"",IF(Main[[#This Row],[Class]]="C",WORKDAY(Main[[#This Row],[Tech Start Date]],9),IF(Main[[#This Row],[Class]]="B", WORKDAY(Main[[#This Row],[Tech Start Date]],6),IF(Main[[#This Row],[Class]]="A",WORKDAY(Main[[#This Row],[Tech Start Date]],2),""))))</f>
        <v/>
      </c>
      <c r="N268" s="114" t="str">
        <f>IF(Main[[#This Row],[Tech Start Date]]&lt;1/1/1990,"",IF(Main[[#This Row],[Class]]="C",WORKDAY(Main[[#This Row],[Tech Start Date]],19),IF(Main[[#This Row],[Class]]="B", WORKDAY(Main[[#This Row],[Tech Start Date]],12),IF(Main[[#This Row],[Class]]="A",WORKDAY(Main[[#This Row],[Tech Start Date]],4),""))))</f>
        <v/>
      </c>
      <c r="O268" s="114" t="str">
        <f>IF(Main[[#This Row],[Tech Start Date]]&lt;1/1/1990,"",IF(Main[[#This Row],[Class]]="C",WORKDAY(Main[[#This Row],[Tech Start Date]],23),IF(Main[[#This Row],[Class]]="B", WORKDAY(Main[[#This Row],[Tech Start Date]],15),IF(Main[[#This Row],[Class]]="A",WORKDAY(Main[[#This Row],[Tech Start Date]],5),""))))</f>
        <v/>
      </c>
      <c r="P268" s="114" t="str">
        <f>IF(Main[[#This Row],[Tech Start Date]]&lt;1/1/1990,"",IF(Main[[#This Row],[Class]]="C",WORKDAY(Main[[#This Row],[Tech Start Date]],28),IF(Main[[#This Row],[Class]]="B", WORKDAY(Main[[#This Row],[Tech Start Date]],19),IF(Main[[#This Row],[Class]]="A",WORKDAY(Main[[#This Row],[Tech Start Date]],9),""))))</f>
        <v/>
      </c>
      <c r="Q268" s="129">
        <v>40659</v>
      </c>
      <c r="R268" s="129"/>
      <c r="S268" s="139" t="s">
        <v>6</v>
      </c>
      <c r="T268" s="115" t="s">
        <v>4</v>
      </c>
      <c r="U268" s="139" t="s">
        <v>29</v>
      </c>
      <c r="V268" s="139" t="s">
        <v>1914</v>
      </c>
      <c r="W268" s="139" t="s">
        <v>1922</v>
      </c>
      <c r="X268" s="139" t="s">
        <v>2821</v>
      </c>
      <c r="Y268" s="112" t="s">
        <v>2936</v>
      </c>
      <c r="Z268" s="112" t="s">
        <v>4</v>
      </c>
      <c r="AA268" s="139" t="s">
        <v>2821</v>
      </c>
    </row>
    <row r="269" spans="1:27" ht="17.25" customHeight="1">
      <c r="A269" s="69" t="str">
        <f>IF(priority(Main[[#This Row],[Comments]])&lt;&gt;0, priority(Main[[#This Row],[Comments]]),"")</f>
        <v/>
      </c>
      <c r="B269" s="63" t="s">
        <v>1109</v>
      </c>
      <c r="C269" s="148" t="s">
        <v>155</v>
      </c>
      <c r="D269" s="113" t="s">
        <v>156</v>
      </c>
      <c r="E269" s="129"/>
      <c r="F269" s="129"/>
      <c r="G269" s="69" t="str">
        <f>IF(stdProdLT(Main[[#This Row],[Comments]])=0.1,"N/A",IF(stdProdLT(Main[[#This Row],[Comments]])=0,"",stdProdLT(Main[[#This Row],[Comments]])))</f>
        <v/>
      </c>
      <c r="H269" s="138" t="str">
        <f>IF(Main[[#This Row],[In Stock Date]]="N/A", "N/A",IF(AND(Main[[#This Row],[In Stock Date]]&lt;&gt;"",Main[[#This Row],[Revised Due Date]]&lt;&gt;"",Main[[#This Row],[In Stock Date]]&lt;&gt;""),Main[[#This Row],[In Stock Date]]-Main[[#This Row],[Revised Due Date]],""))</f>
        <v/>
      </c>
      <c r="I269" s="139" t="s">
        <v>4</v>
      </c>
      <c r="J269" s="139" t="s">
        <v>4</v>
      </c>
      <c r="K269" s="139" t="s">
        <v>4</v>
      </c>
      <c r="L269" s="129"/>
      <c r="M269" s="114" t="str">
        <f>IF(Main[[#This Row],[Tech Start Date]]&lt;1/1/1990,"",IF(Main[[#This Row],[Class]]="C",WORKDAY(Main[[#This Row],[Tech Start Date]],9),IF(Main[[#This Row],[Class]]="B", WORKDAY(Main[[#This Row],[Tech Start Date]],6),IF(Main[[#This Row],[Class]]="A",WORKDAY(Main[[#This Row],[Tech Start Date]],2),""))))</f>
        <v/>
      </c>
      <c r="N269" s="114" t="str">
        <f>IF(Main[[#This Row],[Tech Start Date]]&lt;1/1/1990,"",IF(Main[[#This Row],[Class]]="C",WORKDAY(Main[[#This Row],[Tech Start Date]],19),IF(Main[[#This Row],[Class]]="B", WORKDAY(Main[[#This Row],[Tech Start Date]],12),IF(Main[[#This Row],[Class]]="A",WORKDAY(Main[[#This Row],[Tech Start Date]],4),""))))</f>
        <v/>
      </c>
      <c r="O269" s="114" t="str">
        <f>IF(Main[[#This Row],[Tech Start Date]]&lt;1/1/1990,"",IF(Main[[#This Row],[Class]]="C",WORKDAY(Main[[#This Row],[Tech Start Date]],23),IF(Main[[#This Row],[Class]]="B", WORKDAY(Main[[#This Row],[Tech Start Date]],15),IF(Main[[#This Row],[Class]]="A",WORKDAY(Main[[#This Row],[Tech Start Date]],5),""))))</f>
        <v/>
      </c>
      <c r="P269" s="114" t="str">
        <f>IF(Main[[#This Row],[Tech Start Date]]&lt;1/1/1990,"",IF(Main[[#This Row],[Class]]="C",WORKDAY(Main[[#This Row],[Tech Start Date]],28),IF(Main[[#This Row],[Class]]="B", WORKDAY(Main[[#This Row],[Tech Start Date]],19),IF(Main[[#This Row],[Class]]="A",WORKDAY(Main[[#This Row],[Tech Start Date]],9),""))))</f>
        <v/>
      </c>
      <c r="Q269" s="129">
        <v>40144</v>
      </c>
      <c r="R269" s="129"/>
      <c r="S269" s="139" t="s">
        <v>11</v>
      </c>
      <c r="T269" s="115" t="s">
        <v>4</v>
      </c>
      <c r="U269" s="139" t="s">
        <v>14</v>
      </c>
      <c r="V269" s="139" t="s">
        <v>1914</v>
      </c>
      <c r="W269" s="139" t="s">
        <v>1916</v>
      </c>
      <c r="X269" s="139" t="s">
        <v>2854</v>
      </c>
      <c r="Y269" s="112" t="s">
        <v>4</v>
      </c>
      <c r="Z269" s="112" t="s">
        <v>4</v>
      </c>
      <c r="AA269" s="139" t="s">
        <v>2854</v>
      </c>
    </row>
    <row r="270" spans="1:27" ht="17.25" customHeight="1">
      <c r="A270" s="69" t="str">
        <f>IF(priority(Main[[#This Row],[Comments]])&lt;&gt;0, priority(Main[[#This Row],[Comments]]),"")</f>
        <v/>
      </c>
      <c r="B270" s="63" t="s">
        <v>1110</v>
      </c>
      <c r="C270" s="148" t="s">
        <v>157</v>
      </c>
      <c r="D270" s="113" t="s">
        <v>158</v>
      </c>
      <c r="E270" s="129"/>
      <c r="F270" s="129"/>
      <c r="G270" s="69" t="str">
        <f>IF(stdProdLT(Main[[#This Row],[Comments]])=0.1,"N/A",IF(stdProdLT(Main[[#This Row],[Comments]])=0,"",stdProdLT(Main[[#This Row],[Comments]])))</f>
        <v/>
      </c>
      <c r="H270" s="138" t="str">
        <f>IF(Main[[#This Row],[In Stock Date]]="N/A", "N/A",IF(AND(Main[[#This Row],[In Stock Date]]&lt;&gt;"",Main[[#This Row],[Revised Due Date]]&lt;&gt;"",Main[[#This Row],[In Stock Date]]&lt;&gt;""),Main[[#This Row],[In Stock Date]]-Main[[#This Row],[Revised Due Date]],""))</f>
        <v/>
      </c>
      <c r="I270" s="139" t="s">
        <v>4</v>
      </c>
      <c r="J270" s="139" t="s">
        <v>4</v>
      </c>
      <c r="K270" s="139" t="s">
        <v>4</v>
      </c>
      <c r="L270" s="129"/>
      <c r="M270" s="114" t="str">
        <f>IF(Main[[#This Row],[Tech Start Date]]&lt;1/1/1990,"",IF(Main[[#This Row],[Class]]="C",WORKDAY(Main[[#This Row],[Tech Start Date]],9),IF(Main[[#This Row],[Class]]="B", WORKDAY(Main[[#This Row],[Tech Start Date]],6),IF(Main[[#This Row],[Class]]="A",WORKDAY(Main[[#This Row],[Tech Start Date]],2),""))))</f>
        <v/>
      </c>
      <c r="N270" s="114" t="str">
        <f>IF(Main[[#This Row],[Tech Start Date]]&lt;1/1/1990,"",IF(Main[[#This Row],[Class]]="C",WORKDAY(Main[[#This Row],[Tech Start Date]],19),IF(Main[[#This Row],[Class]]="B", WORKDAY(Main[[#This Row],[Tech Start Date]],12),IF(Main[[#This Row],[Class]]="A",WORKDAY(Main[[#This Row],[Tech Start Date]],4),""))))</f>
        <v/>
      </c>
      <c r="O270" s="114" t="str">
        <f>IF(Main[[#This Row],[Tech Start Date]]&lt;1/1/1990,"",IF(Main[[#This Row],[Class]]="C",WORKDAY(Main[[#This Row],[Tech Start Date]],23),IF(Main[[#This Row],[Class]]="B", WORKDAY(Main[[#This Row],[Tech Start Date]],15),IF(Main[[#This Row],[Class]]="A",WORKDAY(Main[[#This Row],[Tech Start Date]],5),""))))</f>
        <v/>
      </c>
      <c r="P270" s="114" t="str">
        <f>IF(Main[[#This Row],[Tech Start Date]]&lt;1/1/1990,"",IF(Main[[#This Row],[Class]]="C",WORKDAY(Main[[#This Row],[Tech Start Date]],28),IF(Main[[#This Row],[Class]]="B", WORKDAY(Main[[#This Row],[Tech Start Date]],19),IF(Main[[#This Row],[Class]]="A",WORKDAY(Main[[#This Row],[Tech Start Date]],9),""))))</f>
        <v/>
      </c>
      <c r="Q270" s="129"/>
      <c r="R270" s="129"/>
      <c r="S270" s="139" t="s">
        <v>11</v>
      </c>
      <c r="T270" s="115" t="s">
        <v>4</v>
      </c>
      <c r="U270" s="139" t="s">
        <v>14</v>
      </c>
      <c r="V270" s="139" t="s">
        <v>1915</v>
      </c>
      <c r="W270" s="139" t="s">
        <v>1916</v>
      </c>
      <c r="X270" s="139" t="s">
        <v>2816</v>
      </c>
      <c r="Y270" s="112" t="s">
        <v>2993</v>
      </c>
      <c r="Z270" s="112" t="s">
        <v>4</v>
      </c>
      <c r="AA270" s="139" t="s">
        <v>3392</v>
      </c>
    </row>
    <row r="271" spans="1:27" ht="17.25" customHeight="1">
      <c r="A271" s="69" t="str">
        <f>IF(priority(Main[[#This Row],[Comments]])&lt;&gt;0, priority(Main[[#This Row],[Comments]]),"")</f>
        <v/>
      </c>
      <c r="B271" s="63" t="s">
        <v>1111</v>
      </c>
      <c r="C271" s="148" t="s">
        <v>159</v>
      </c>
      <c r="D271" s="113" t="s">
        <v>160</v>
      </c>
      <c r="E271" s="129"/>
      <c r="F271" s="129">
        <v>40513</v>
      </c>
      <c r="G271" s="69" t="str">
        <f>IF(stdProdLT(Main[[#This Row],[Comments]])=0.1,"N/A",IF(stdProdLT(Main[[#This Row],[Comments]])=0,"",stdProdLT(Main[[#This Row],[Comments]])))</f>
        <v/>
      </c>
      <c r="H271" s="138" t="str">
        <f>IF(Main[[#This Row],[In Stock Date]]="N/A", "N/A",IF(AND(Main[[#This Row],[In Stock Date]]&lt;&gt;"",Main[[#This Row],[Revised Due Date]]&lt;&gt;"",Main[[#This Row],[In Stock Date]]&lt;&gt;""),Main[[#This Row],[In Stock Date]]-Main[[#This Row],[Revised Due Date]],""))</f>
        <v/>
      </c>
      <c r="I271" s="139" t="s">
        <v>4</v>
      </c>
      <c r="J271" s="139" t="s">
        <v>28</v>
      </c>
      <c r="K271" s="139" t="s">
        <v>4</v>
      </c>
      <c r="L271" s="129"/>
      <c r="M271" s="114" t="str">
        <f>IF(Main[[#This Row],[Tech Start Date]]&lt;1/1/1990,"",IF(Main[[#This Row],[Class]]="C",WORKDAY(Main[[#This Row],[Tech Start Date]],9),IF(Main[[#This Row],[Class]]="B", WORKDAY(Main[[#This Row],[Tech Start Date]],6),IF(Main[[#This Row],[Class]]="A",WORKDAY(Main[[#This Row],[Tech Start Date]],2),""))))</f>
        <v/>
      </c>
      <c r="N271" s="114" t="str">
        <f>IF(Main[[#This Row],[Tech Start Date]]&lt;1/1/1990,"",IF(Main[[#This Row],[Class]]="C",WORKDAY(Main[[#This Row],[Tech Start Date]],19),IF(Main[[#This Row],[Class]]="B", WORKDAY(Main[[#This Row],[Tech Start Date]],12),IF(Main[[#This Row],[Class]]="A",WORKDAY(Main[[#This Row],[Tech Start Date]],4),""))))</f>
        <v/>
      </c>
      <c r="O271" s="114" t="str">
        <f>IF(Main[[#This Row],[Tech Start Date]]&lt;1/1/1990,"",IF(Main[[#This Row],[Class]]="C",WORKDAY(Main[[#This Row],[Tech Start Date]],23),IF(Main[[#This Row],[Class]]="B", WORKDAY(Main[[#This Row],[Tech Start Date]],15),IF(Main[[#This Row],[Class]]="A",WORKDAY(Main[[#This Row],[Tech Start Date]],5),""))))</f>
        <v/>
      </c>
      <c r="P271" s="114" t="str">
        <f>IF(Main[[#This Row],[Tech Start Date]]&lt;1/1/1990,"",IF(Main[[#This Row],[Class]]="C",WORKDAY(Main[[#This Row],[Tech Start Date]],28),IF(Main[[#This Row],[Class]]="B", WORKDAY(Main[[#This Row],[Tech Start Date]],19),IF(Main[[#This Row],[Class]]="A",WORKDAY(Main[[#This Row],[Tech Start Date]],9),""))))</f>
        <v/>
      </c>
      <c r="Q271" s="129">
        <v>40382</v>
      </c>
      <c r="R271" s="129"/>
      <c r="S271" s="139" t="s">
        <v>11</v>
      </c>
      <c r="T271" s="115" t="s">
        <v>4</v>
      </c>
      <c r="U271" s="139" t="s">
        <v>14</v>
      </c>
      <c r="V271" s="139" t="s">
        <v>1914</v>
      </c>
      <c r="W271" s="139" t="s">
        <v>1922</v>
      </c>
      <c r="X271" s="139" t="s">
        <v>2855</v>
      </c>
      <c r="Y271" s="112" t="s">
        <v>2994</v>
      </c>
      <c r="Z271" s="112" t="s">
        <v>129</v>
      </c>
      <c r="AA271" s="139" t="s">
        <v>2855</v>
      </c>
    </row>
    <row r="272" spans="1:27" ht="17.25" customHeight="1">
      <c r="A272" s="69" t="str">
        <f>IF(priority(Main[[#This Row],[Comments]])&lt;&gt;0, priority(Main[[#This Row],[Comments]]),"")</f>
        <v/>
      </c>
      <c r="B272" s="63" t="s">
        <v>2169</v>
      </c>
      <c r="C272" s="148" t="s">
        <v>4</v>
      </c>
      <c r="D272" s="113" t="s">
        <v>2170</v>
      </c>
      <c r="E272" s="129">
        <v>40781.644953703704</v>
      </c>
      <c r="F272" s="129"/>
      <c r="G272" s="69" t="str">
        <f>IF(stdProdLT(Main[[#This Row],[Comments]])=0.1,"N/A",IF(stdProdLT(Main[[#This Row],[Comments]])=0,"",stdProdLT(Main[[#This Row],[Comments]])))</f>
        <v/>
      </c>
      <c r="H272" s="138" t="str">
        <f>IF(Main[[#This Row],[In Stock Date]]="N/A", "N/A",IF(AND(Main[[#This Row],[In Stock Date]]&lt;&gt;"",Main[[#This Row],[Revised Due Date]]&lt;&gt;"",Main[[#This Row],[In Stock Date]]&lt;&gt;""),Main[[#This Row],[In Stock Date]]-Main[[#This Row],[Revised Due Date]],""))</f>
        <v/>
      </c>
      <c r="I272" s="139" t="s">
        <v>4</v>
      </c>
      <c r="J272" s="139" t="s">
        <v>4</v>
      </c>
      <c r="K272" s="139" t="s">
        <v>4</v>
      </c>
      <c r="L272" s="129"/>
      <c r="M272" s="114" t="str">
        <f>IF(Main[[#This Row],[Tech Start Date]]&lt;1/1/1990,"",IF(Main[[#This Row],[Class]]="C",WORKDAY(Main[[#This Row],[Tech Start Date]],9),IF(Main[[#This Row],[Class]]="B", WORKDAY(Main[[#This Row],[Tech Start Date]],6),IF(Main[[#This Row],[Class]]="A",WORKDAY(Main[[#This Row],[Tech Start Date]],2),""))))</f>
        <v/>
      </c>
      <c r="N272" s="114" t="str">
        <f>IF(Main[[#This Row],[Tech Start Date]]&lt;1/1/1990,"",IF(Main[[#This Row],[Class]]="C",WORKDAY(Main[[#This Row],[Tech Start Date]],19),IF(Main[[#This Row],[Class]]="B", WORKDAY(Main[[#This Row],[Tech Start Date]],12),IF(Main[[#This Row],[Class]]="A",WORKDAY(Main[[#This Row],[Tech Start Date]],4),""))))</f>
        <v/>
      </c>
      <c r="O272" s="114" t="str">
        <f>IF(Main[[#This Row],[Tech Start Date]]&lt;1/1/1990,"",IF(Main[[#This Row],[Class]]="C",WORKDAY(Main[[#This Row],[Tech Start Date]],23),IF(Main[[#This Row],[Class]]="B", WORKDAY(Main[[#This Row],[Tech Start Date]],15),IF(Main[[#This Row],[Class]]="A",WORKDAY(Main[[#This Row],[Tech Start Date]],5),""))))</f>
        <v/>
      </c>
      <c r="P272" s="114" t="str">
        <f>IF(Main[[#This Row],[Tech Start Date]]&lt;1/1/1990,"",IF(Main[[#This Row],[Class]]="C",WORKDAY(Main[[#This Row],[Tech Start Date]],28),IF(Main[[#This Row],[Class]]="B", WORKDAY(Main[[#This Row],[Tech Start Date]],19),IF(Main[[#This Row],[Class]]="A",WORKDAY(Main[[#This Row],[Tech Start Date]],9),""))))</f>
        <v/>
      </c>
      <c r="Q272" s="129">
        <v>40809</v>
      </c>
      <c r="R272" s="129"/>
      <c r="S272" s="139" t="s">
        <v>6</v>
      </c>
      <c r="T272" s="115" t="s">
        <v>4</v>
      </c>
      <c r="U272" s="139" t="s">
        <v>7</v>
      </c>
      <c r="V272" s="139" t="s">
        <v>1914</v>
      </c>
      <c r="W272" s="139" t="s">
        <v>4</v>
      </c>
      <c r="X272" s="139" t="s">
        <v>2819</v>
      </c>
      <c r="Y272" s="112" t="s">
        <v>2932</v>
      </c>
      <c r="Z272" s="112" t="s">
        <v>4</v>
      </c>
      <c r="AA272" s="139" t="s">
        <v>2819</v>
      </c>
    </row>
    <row r="273" spans="1:27" ht="17.25" customHeight="1">
      <c r="A273" s="69" t="str">
        <f>IF(priority(Main[[#This Row],[Comments]])&lt;&gt;0, priority(Main[[#This Row],[Comments]]),"")</f>
        <v/>
      </c>
      <c r="B273" s="63" t="s">
        <v>2701</v>
      </c>
      <c r="C273" s="148" t="s">
        <v>4</v>
      </c>
      <c r="D273" s="113" t="s">
        <v>2702</v>
      </c>
      <c r="E273" s="129">
        <v>40892.147916666669</v>
      </c>
      <c r="F273" s="129"/>
      <c r="G273" s="69" t="str">
        <f>IF(stdProdLT(Main[[#This Row],[Comments]])=0.1,"N/A",IF(stdProdLT(Main[[#This Row],[Comments]])=0,"",stdProdLT(Main[[#This Row],[Comments]])))</f>
        <v/>
      </c>
      <c r="H273" s="138" t="str">
        <f>IF(Main[[#This Row],[In Stock Date]]="N/A", "N/A",IF(AND(Main[[#This Row],[In Stock Date]]&lt;&gt;"",Main[[#This Row],[Revised Due Date]]&lt;&gt;"",Main[[#This Row],[In Stock Date]]&lt;&gt;""),Main[[#This Row],[In Stock Date]]-Main[[#This Row],[Revised Due Date]],""))</f>
        <v/>
      </c>
      <c r="I273" s="139" t="s">
        <v>69</v>
      </c>
      <c r="J273" s="139" t="s">
        <v>70</v>
      </c>
      <c r="K273" s="139" t="s">
        <v>1923</v>
      </c>
      <c r="L273" s="129"/>
      <c r="M273" s="114" t="str">
        <f>IF(Main[[#This Row],[Tech Start Date]]&lt;1/1/1990,"",IF(Main[[#This Row],[Class]]="C",WORKDAY(Main[[#This Row],[Tech Start Date]],9),IF(Main[[#This Row],[Class]]="B", WORKDAY(Main[[#This Row],[Tech Start Date]],6),IF(Main[[#This Row],[Class]]="A",WORKDAY(Main[[#This Row],[Tech Start Date]],2),""))))</f>
        <v/>
      </c>
      <c r="N273" s="114" t="str">
        <f>IF(Main[[#This Row],[Tech Start Date]]&lt;1/1/1990,"",IF(Main[[#This Row],[Class]]="C",WORKDAY(Main[[#This Row],[Tech Start Date]],19),IF(Main[[#This Row],[Class]]="B", WORKDAY(Main[[#This Row],[Tech Start Date]],12),IF(Main[[#This Row],[Class]]="A",WORKDAY(Main[[#This Row],[Tech Start Date]],4),""))))</f>
        <v/>
      </c>
      <c r="O273" s="114" t="str">
        <f>IF(Main[[#This Row],[Tech Start Date]]&lt;1/1/1990,"",IF(Main[[#This Row],[Class]]="C",WORKDAY(Main[[#This Row],[Tech Start Date]],23),IF(Main[[#This Row],[Class]]="B", WORKDAY(Main[[#This Row],[Tech Start Date]],15),IF(Main[[#This Row],[Class]]="A",WORKDAY(Main[[#This Row],[Tech Start Date]],5),""))))</f>
        <v/>
      </c>
      <c r="P273" s="114" t="str">
        <f>IF(Main[[#This Row],[Tech Start Date]]&lt;1/1/1990,"",IF(Main[[#This Row],[Class]]="C",WORKDAY(Main[[#This Row],[Tech Start Date]],28),IF(Main[[#This Row],[Class]]="B", WORKDAY(Main[[#This Row],[Tech Start Date]],19),IF(Main[[#This Row],[Class]]="A",WORKDAY(Main[[#This Row],[Tech Start Date]],9),""))))</f>
        <v/>
      </c>
      <c r="Q273" s="129">
        <v>40914</v>
      </c>
      <c r="R273" s="129"/>
      <c r="S273" s="139" t="s">
        <v>6</v>
      </c>
      <c r="T273" s="115" t="s">
        <v>4</v>
      </c>
      <c r="U273" s="139" t="s">
        <v>29</v>
      </c>
      <c r="V273" s="139" t="s">
        <v>1917</v>
      </c>
      <c r="W273" s="139" t="s">
        <v>1918</v>
      </c>
      <c r="X273" s="139" t="s">
        <v>2851</v>
      </c>
      <c r="Y273" s="112" t="s">
        <v>2986</v>
      </c>
      <c r="Z273" s="112" t="s">
        <v>30</v>
      </c>
      <c r="AA273" s="139" t="s">
        <v>2851</v>
      </c>
    </row>
    <row r="274" spans="1:27" ht="17.25" customHeight="1">
      <c r="A274" s="69" t="str">
        <f>IF(priority(Main[[#This Row],[Comments]])&lt;&gt;0, priority(Main[[#This Row],[Comments]]),"")</f>
        <v/>
      </c>
      <c r="B274" s="63" t="s">
        <v>2342</v>
      </c>
      <c r="C274" s="148" t="s">
        <v>4</v>
      </c>
      <c r="D274" s="113" t="s">
        <v>2343</v>
      </c>
      <c r="E274" s="129">
        <v>40876.410104166665</v>
      </c>
      <c r="F274" s="129"/>
      <c r="G274" s="69" t="str">
        <f>IF(stdProdLT(Main[[#This Row],[Comments]])=0.1,"N/A",IF(stdProdLT(Main[[#This Row],[Comments]])=0,"",stdProdLT(Main[[#This Row],[Comments]])))</f>
        <v/>
      </c>
      <c r="H274" s="138" t="str">
        <f>IF(Main[[#This Row],[In Stock Date]]="N/A", "N/A",IF(AND(Main[[#This Row],[In Stock Date]]&lt;&gt;"",Main[[#This Row],[Revised Due Date]]&lt;&gt;"",Main[[#This Row],[In Stock Date]]&lt;&gt;""),Main[[#This Row],[In Stock Date]]-Main[[#This Row],[Revised Due Date]],""))</f>
        <v/>
      </c>
      <c r="I274" s="139" t="s">
        <v>4</v>
      </c>
      <c r="J274" s="139" t="s">
        <v>4</v>
      </c>
      <c r="K274" s="139" t="s">
        <v>4</v>
      </c>
      <c r="L274" s="129"/>
      <c r="M274" s="114" t="str">
        <f>IF(Main[[#This Row],[Tech Start Date]]&lt;1/1/1990,"",IF(Main[[#This Row],[Class]]="C",WORKDAY(Main[[#This Row],[Tech Start Date]],9),IF(Main[[#This Row],[Class]]="B", WORKDAY(Main[[#This Row],[Tech Start Date]],6),IF(Main[[#This Row],[Class]]="A",WORKDAY(Main[[#This Row],[Tech Start Date]],2),""))))</f>
        <v/>
      </c>
      <c r="N274" s="114" t="str">
        <f>IF(Main[[#This Row],[Tech Start Date]]&lt;1/1/1990,"",IF(Main[[#This Row],[Class]]="C",WORKDAY(Main[[#This Row],[Tech Start Date]],19),IF(Main[[#This Row],[Class]]="B", WORKDAY(Main[[#This Row],[Tech Start Date]],12),IF(Main[[#This Row],[Class]]="A",WORKDAY(Main[[#This Row],[Tech Start Date]],4),""))))</f>
        <v/>
      </c>
      <c r="O274" s="114" t="str">
        <f>IF(Main[[#This Row],[Tech Start Date]]&lt;1/1/1990,"",IF(Main[[#This Row],[Class]]="C",WORKDAY(Main[[#This Row],[Tech Start Date]],23),IF(Main[[#This Row],[Class]]="B", WORKDAY(Main[[#This Row],[Tech Start Date]],15),IF(Main[[#This Row],[Class]]="A",WORKDAY(Main[[#This Row],[Tech Start Date]],5),""))))</f>
        <v/>
      </c>
      <c r="P274" s="114" t="str">
        <f>IF(Main[[#This Row],[Tech Start Date]]&lt;1/1/1990,"",IF(Main[[#This Row],[Class]]="C",WORKDAY(Main[[#This Row],[Tech Start Date]],28),IF(Main[[#This Row],[Class]]="B", WORKDAY(Main[[#This Row],[Tech Start Date]],19),IF(Main[[#This Row],[Class]]="A",WORKDAY(Main[[#This Row],[Tech Start Date]],9),""))))</f>
        <v/>
      </c>
      <c r="Q274" s="129">
        <v>40879</v>
      </c>
      <c r="R274" s="129"/>
      <c r="S274" s="139" t="s">
        <v>6</v>
      </c>
      <c r="T274" s="115" t="s">
        <v>4</v>
      </c>
      <c r="U274" s="139" t="s">
        <v>29</v>
      </c>
      <c r="V274" s="139" t="s">
        <v>1915</v>
      </c>
      <c r="W274" s="139" t="s">
        <v>1918</v>
      </c>
      <c r="X274" s="139" t="s">
        <v>941</v>
      </c>
      <c r="Y274" s="112" t="s">
        <v>2995</v>
      </c>
      <c r="Z274" s="112" t="s">
        <v>4</v>
      </c>
      <c r="AA274" s="139" t="s">
        <v>941</v>
      </c>
    </row>
    <row r="275" spans="1:27" ht="17.25" customHeight="1">
      <c r="A275" s="69" t="str">
        <f>IF(priority(Main[[#This Row],[Comments]])&lt;&gt;0, priority(Main[[#This Row],[Comments]]),"")</f>
        <v/>
      </c>
      <c r="B275" s="63" t="s">
        <v>2461</v>
      </c>
      <c r="C275" s="148" t="s">
        <v>4</v>
      </c>
      <c r="D275" s="113" t="s">
        <v>2462</v>
      </c>
      <c r="E275" s="129">
        <v>40876.411770833336</v>
      </c>
      <c r="F275" s="129"/>
      <c r="G275" s="69" t="str">
        <f>IF(stdProdLT(Main[[#This Row],[Comments]])=0.1,"N/A",IF(stdProdLT(Main[[#This Row],[Comments]])=0,"",stdProdLT(Main[[#This Row],[Comments]])))</f>
        <v/>
      </c>
      <c r="H275" s="138" t="str">
        <f>IF(Main[[#This Row],[In Stock Date]]="N/A", "N/A",IF(AND(Main[[#This Row],[In Stock Date]]&lt;&gt;"",Main[[#This Row],[Revised Due Date]]&lt;&gt;"",Main[[#This Row],[In Stock Date]]&lt;&gt;""),Main[[#This Row],[In Stock Date]]-Main[[#This Row],[Revised Due Date]],""))</f>
        <v/>
      </c>
      <c r="I275" s="139" t="s">
        <v>4</v>
      </c>
      <c r="J275" s="139" t="s">
        <v>4</v>
      </c>
      <c r="K275" s="139" t="s">
        <v>4</v>
      </c>
      <c r="L275" s="129"/>
      <c r="M275" s="114" t="str">
        <f>IF(Main[[#This Row],[Tech Start Date]]&lt;1/1/1990,"",IF(Main[[#This Row],[Class]]="C",WORKDAY(Main[[#This Row],[Tech Start Date]],9),IF(Main[[#This Row],[Class]]="B", WORKDAY(Main[[#This Row],[Tech Start Date]],6),IF(Main[[#This Row],[Class]]="A",WORKDAY(Main[[#This Row],[Tech Start Date]],2),""))))</f>
        <v/>
      </c>
      <c r="N275" s="114" t="str">
        <f>IF(Main[[#This Row],[Tech Start Date]]&lt;1/1/1990,"",IF(Main[[#This Row],[Class]]="C",WORKDAY(Main[[#This Row],[Tech Start Date]],19),IF(Main[[#This Row],[Class]]="B", WORKDAY(Main[[#This Row],[Tech Start Date]],12),IF(Main[[#This Row],[Class]]="A",WORKDAY(Main[[#This Row],[Tech Start Date]],4),""))))</f>
        <v/>
      </c>
      <c r="O275" s="114" t="str">
        <f>IF(Main[[#This Row],[Tech Start Date]]&lt;1/1/1990,"",IF(Main[[#This Row],[Class]]="C",WORKDAY(Main[[#This Row],[Tech Start Date]],23),IF(Main[[#This Row],[Class]]="B", WORKDAY(Main[[#This Row],[Tech Start Date]],15),IF(Main[[#This Row],[Class]]="A",WORKDAY(Main[[#This Row],[Tech Start Date]],5),""))))</f>
        <v/>
      </c>
      <c r="P275" s="114" t="str">
        <f>IF(Main[[#This Row],[Tech Start Date]]&lt;1/1/1990,"",IF(Main[[#This Row],[Class]]="C",WORKDAY(Main[[#This Row],[Tech Start Date]],28),IF(Main[[#This Row],[Class]]="B", WORKDAY(Main[[#This Row],[Tech Start Date]],19),IF(Main[[#This Row],[Class]]="A",WORKDAY(Main[[#This Row],[Tech Start Date]],9),""))))</f>
        <v/>
      </c>
      <c r="Q275" s="129"/>
      <c r="R275" s="129"/>
      <c r="S275" s="139" t="s">
        <v>6</v>
      </c>
      <c r="T275" s="115" t="s">
        <v>4</v>
      </c>
      <c r="U275" s="139" t="s">
        <v>7</v>
      </c>
      <c r="V275" s="139" t="s">
        <v>1914</v>
      </c>
      <c r="W275" s="139" t="s">
        <v>1922</v>
      </c>
      <c r="X275" s="139" t="s">
        <v>306</v>
      </c>
      <c r="Y275" s="112" t="s">
        <v>4</v>
      </c>
      <c r="Z275" s="112" t="s">
        <v>4</v>
      </c>
      <c r="AA275" s="139" t="s">
        <v>3393</v>
      </c>
    </row>
    <row r="276" spans="1:27" ht="17.25" customHeight="1">
      <c r="A276" s="69" t="str">
        <f>IF(priority(Main[[#This Row],[Comments]])&lt;&gt;0, priority(Main[[#This Row],[Comments]]),"")</f>
        <v/>
      </c>
      <c r="B276" s="63" t="s">
        <v>1980</v>
      </c>
      <c r="C276" s="148" t="s">
        <v>1975</v>
      </c>
      <c r="D276" s="113" t="s">
        <v>1981</v>
      </c>
      <c r="E276" s="129"/>
      <c r="F276" s="129"/>
      <c r="G276" s="69" t="str">
        <f>IF(stdProdLT(Main[[#This Row],[Comments]])=0.1,"N/A",IF(stdProdLT(Main[[#This Row],[Comments]])=0,"",stdProdLT(Main[[#This Row],[Comments]])))</f>
        <v/>
      </c>
      <c r="H276" s="138" t="str">
        <f>IF(Main[[#This Row],[In Stock Date]]="N/A", "N/A",IF(AND(Main[[#This Row],[In Stock Date]]&lt;&gt;"",Main[[#This Row],[Revised Due Date]]&lt;&gt;"",Main[[#This Row],[In Stock Date]]&lt;&gt;""),Main[[#This Row],[In Stock Date]]-Main[[#This Row],[Revised Due Date]],""))</f>
        <v/>
      </c>
      <c r="I276" s="139" t="s">
        <v>4</v>
      </c>
      <c r="J276" s="139" t="s">
        <v>4</v>
      </c>
      <c r="K276" s="139" t="s">
        <v>4</v>
      </c>
      <c r="L276" s="129"/>
      <c r="M276" s="114" t="str">
        <f>IF(Main[[#This Row],[Tech Start Date]]&lt;1/1/1990,"",IF(Main[[#This Row],[Class]]="C",WORKDAY(Main[[#This Row],[Tech Start Date]],9),IF(Main[[#This Row],[Class]]="B", WORKDAY(Main[[#This Row],[Tech Start Date]],6),IF(Main[[#This Row],[Class]]="A",WORKDAY(Main[[#This Row],[Tech Start Date]],2),""))))</f>
        <v/>
      </c>
      <c r="N276" s="114" t="str">
        <f>IF(Main[[#This Row],[Tech Start Date]]&lt;1/1/1990,"",IF(Main[[#This Row],[Class]]="C",WORKDAY(Main[[#This Row],[Tech Start Date]],19),IF(Main[[#This Row],[Class]]="B", WORKDAY(Main[[#This Row],[Tech Start Date]],12),IF(Main[[#This Row],[Class]]="A",WORKDAY(Main[[#This Row],[Tech Start Date]],4),""))))</f>
        <v/>
      </c>
      <c r="O276" s="114" t="str">
        <f>IF(Main[[#This Row],[Tech Start Date]]&lt;1/1/1990,"",IF(Main[[#This Row],[Class]]="C",WORKDAY(Main[[#This Row],[Tech Start Date]],23),IF(Main[[#This Row],[Class]]="B", WORKDAY(Main[[#This Row],[Tech Start Date]],15),IF(Main[[#This Row],[Class]]="A",WORKDAY(Main[[#This Row],[Tech Start Date]],5),""))))</f>
        <v/>
      </c>
      <c r="P276" s="114" t="str">
        <f>IF(Main[[#This Row],[Tech Start Date]]&lt;1/1/1990,"",IF(Main[[#This Row],[Class]]="C",WORKDAY(Main[[#This Row],[Tech Start Date]],28),IF(Main[[#This Row],[Class]]="B", WORKDAY(Main[[#This Row],[Tech Start Date]],19),IF(Main[[#This Row],[Class]]="A",WORKDAY(Main[[#This Row],[Tech Start Date]],9),""))))</f>
        <v/>
      </c>
      <c r="Q276" s="129">
        <v>40745</v>
      </c>
      <c r="R276" s="129"/>
      <c r="S276" s="139" t="s">
        <v>11</v>
      </c>
      <c r="T276" s="115" t="s">
        <v>4</v>
      </c>
      <c r="U276" s="139" t="s">
        <v>14</v>
      </c>
      <c r="V276" s="139" t="s">
        <v>1915</v>
      </c>
      <c r="W276" s="139" t="s">
        <v>1916</v>
      </c>
      <c r="X276" s="139" t="s">
        <v>2816</v>
      </c>
      <c r="Y276" s="112" t="s">
        <v>4</v>
      </c>
      <c r="Z276" s="112" t="s">
        <v>4</v>
      </c>
      <c r="AA276" s="139" t="s">
        <v>2816</v>
      </c>
    </row>
    <row r="277" spans="1:27" ht="17.25" customHeight="1">
      <c r="A277" s="69" t="str">
        <f>IF(priority(Main[[#This Row],[Comments]])&lt;&gt;0, priority(Main[[#This Row],[Comments]]),"")</f>
        <v/>
      </c>
      <c r="B277" s="63" t="s">
        <v>1115</v>
      </c>
      <c r="C277" s="148" t="s">
        <v>4</v>
      </c>
      <c r="D277" s="113" t="s">
        <v>164</v>
      </c>
      <c r="E277" s="129">
        <v>40315.288738425923</v>
      </c>
      <c r="F277" s="129"/>
      <c r="G277" s="69" t="str">
        <f>IF(stdProdLT(Main[[#This Row],[Comments]])=0.1,"N/A",IF(stdProdLT(Main[[#This Row],[Comments]])=0,"",stdProdLT(Main[[#This Row],[Comments]])))</f>
        <v/>
      </c>
      <c r="H277" s="138" t="str">
        <f>IF(Main[[#This Row],[In Stock Date]]="N/A", "N/A",IF(AND(Main[[#This Row],[In Stock Date]]&lt;&gt;"",Main[[#This Row],[Revised Due Date]]&lt;&gt;"",Main[[#This Row],[In Stock Date]]&lt;&gt;""),Main[[#This Row],[In Stock Date]]-Main[[#This Row],[Revised Due Date]],""))</f>
        <v/>
      </c>
      <c r="I277" s="139" t="s">
        <v>129</v>
      </c>
      <c r="J277" s="139" t="s">
        <v>4</v>
      </c>
      <c r="K277" s="139" t="s">
        <v>4</v>
      </c>
      <c r="L277" s="129"/>
      <c r="M277" s="114" t="str">
        <f>IF(Main[[#This Row],[Tech Start Date]]&lt;1/1/1990,"",IF(Main[[#This Row],[Class]]="C",WORKDAY(Main[[#This Row],[Tech Start Date]],9),IF(Main[[#This Row],[Class]]="B", WORKDAY(Main[[#This Row],[Tech Start Date]],6),IF(Main[[#This Row],[Class]]="A",WORKDAY(Main[[#This Row],[Tech Start Date]],2),""))))</f>
        <v/>
      </c>
      <c r="N277" s="114" t="str">
        <f>IF(Main[[#This Row],[Tech Start Date]]&lt;1/1/1990,"",IF(Main[[#This Row],[Class]]="C",WORKDAY(Main[[#This Row],[Tech Start Date]],19),IF(Main[[#This Row],[Class]]="B", WORKDAY(Main[[#This Row],[Tech Start Date]],12),IF(Main[[#This Row],[Class]]="A",WORKDAY(Main[[#This Row],[Tech Start Date]],4),""))))</f>
        <v/>
      </c>
      <c r="O277" s="114" t="str">
        <f>IF(Main[[#This Row],[Tech Start Date]]&lt;1/1/1990,"",IF(Main[[#This Row],[Class]]="C",WORKDAY(Main[[#This Row],[Tech Start Date]],23),IF(Main[[#This Row],[Class]]="B", WORKDAY(Main[[#This Row],[Tech Start Date]],15),IF(Main[[#This Row],[Class]]="A",WORKDAY(Main[[#This Row],[Tech Start Date]],5),""))))</f>
        <v/>
      </c>
      <c r="P277" s="114" t="str">
        <f>IF(Main[[#This Row],[Tech Start Date]]&lt;1/1/1990,"",IF(Main[[#This Row],[Class]]="C",WORKDAY(Main[[#This Row],[Tech Start Date]],28),IF(Main[[#This Row],[Class]]="B", WORKDAY(Main[[#This Row],[Tech Start Date]],19),IF(Main[[#This Row],[Class]]="A",WORKDAY(Main[[#This Row],[Tech Start Date]],9),""))))</f>
        <v/>
      </c>
      <c r="Q277" s="129">
        <v>40359</v>
      </c>
      <c r="R277" s="129"/>
      <c r="S277" s="139" t="s">
        <v>6</v>
      </c>
      <c r="T277" s="115" t="s">
        <v>4</v>
      </c>
      <c r="U277" s="139" t="s">
        <v>7</v>
      </c>
      <c r="V277" s="139" t="s">
        <v>1914</v>
      </c>
      <c r="W277" s="139" t="s">
        <v>4</v>
      </c>
      <c r="X277" s="139" t="s">
        <v>2822</v>
      </c>
      <c r="Y277" s="112" t="s">
        <v>2938</v>
      </c>
      <c r="Z277" s="112" t="s">
        <v>4</v>
      </c>
      <c r="AA277" s="139" t="s">
        <v>2822</v>
      </c>
    </row>
    <row r="278" spans="1:27" ht="17.25" customHeight="1">
      <c r="A278" s="69" t="str">
        <f>IF(priority(Main[[#This Row],[Comments]])&lt;&gt;0, priority(Main[[#This Row],[Comments]]),"")</f>
        <v/>
      </c>
      <c r="B278" s="63" t="s">
        <v>1116</v>
      </c>
      <c r="C278" s="148" t="s">
        <v>31</v>
      </c>
      <c r="D278" s="113" t="s">
        <v>165</v>
      </c>
      <c r="E278" s="129">
        <v>40490.313692129632</v>
      </c>
      <c r="F278" s="129">
        <v>40546</v>
      </c>
      <c r="G278" s="69" t="str">
        <f>IF(stdProdLT(Main[[#This Row],[Comments]])=0.1,"N/A",IF(stdProdLT(Main[[#This Row],[Comments]])=0,"",stdProdLT(Main[[#This Row],[Comments]])))</f>
        <v/>
      </c>
      <c r="H278" s="138" t="str">
        <f>IF(Main[[#This Row],[In Stock Date]]="N/A", "N/A",IF(AND(Main[[#This Row],[In Stock Date]]&lt;&gt;"",Main[[#This Row],[Revised Due Date]]&lt;&gt;"",Main[[#This Row],[In Stock Date]]&lt;&gt;""),Main[[#This Row],[In Stock Date]]-Main[[#This Row],[Revised Due Date]],""))</f>
        <v/>
      </c>
      <c r="I278" s="139" t="s">
        <v>4</v>
      </c>
      <c r="J278" s="139" t="s">
        <v>4</v>
      </c>
      <c r="K278" s="139" t="s">
        <v>4</v>
      </c>
      <c r="L278" s="129"/>
      <c r="M278" s="114" t="str">
        <f>IF(Main[[#This Row],[Tech Start Date]]&lt;1/1/1990,"",IF(Main[[#This Row],[Class]]="C",WORKDAY(Main[[#This Row],[Tech Start Date]],9),IF(Main[[#This Row],[Class]]="B", WORKDAY(Main[[#This Row],[Tech Start Date]],6),IF(Main[[#This Row],[Class]]="A",WORKDAY(Main[[#This Row],[Tech Start Date]],2),""))))</f>
        <v/>
      </c>
      <c r="N278" s="114" t="str">
        <f>IF(Main[[#This Row],[Tech Start Date]]&lt;1/1/1990,"",IF(Main[[#This Row],[Class]]="C",WORKDAY(Main[[#This Row],[Tech Start Date]],19),IF(Main[[#This Row],[Class]]="B", WORKDAY(Main[[#This Row],[Tech Start Date]],12),IF(Main[[#This Row],[Class]]="A",WORKDAY(Main[[#This Row],[Tech Start Date]],4),""))))</f>
        <v/>
      </c>
      <c r="O278" s="114" t="str">
        <f>IF(Main[[#This Row],[Tech Start Date]]&lt;1/1/1990,"",IF(Main[[#This Row],[Class]]="C",WORKDAY(Main[[#This Row],[Tech Start Date]],23),IF(Main[[#This Row],[Class]]="B", WORKDAY(Main[[#This Row],[Tech Start Date]],15),IF(Main[[#This Row],[Class]]="A",WORKDAY(Main[[#This Row],[Tech Start Date]],5),""))))</f>
        <v/>
      </c>
      <c r="P278" s="114" t="str">
        <f>IF(Main[[#This Row],[Tech Start Date]]&lt;1/1/1990,"",IF(Main[[#This Row],[Class]]="C",WORKDAY(Main[[#This Row],[Tech Start Date]],28),IF(Main[[#This Row],[Class]]="B", WORKDAY(Main[[#This Row],[Tech Start Date]],19),IF(Main[[#This Row],[Class]]="A",WORKDAY(Main[[#This Row],[Tech Start Date]],9),""))))</f>
        <v/>
      </c>
      <c r="Q278" s="129">
        <v>40543</v>
      </c>
      <c r="R278" s="129"/>
      <c r="S278" s="139" t="s">
        <v>17</v>
      </c>
      <c r="T278" s="115" t="s">
        <v>4</v>
      </c>
      <c r="U278" s="139" t="s">
        <v>7</v>
      </c>
      <c r="V278" s="139" t="s">
        <v>1917</v>
      </c>
      <c r="W278" s="139" t="s">
        <v>4</v>
      </c>
      <c r="X278" s="139" t="s">
        <v>2856</v>
      </c>
      <c r="Y278" s="112" t="s">
        <v>2997</v>
      </c>
      <c r="Z278" s="112" t="s">
        <v>4</v>
      </c>
      <c r="AA278" s="139" t="s">
        <v>2856</v>
      </c>
    </row>
    <row r="279" spans="1:27" ht="17.25" customHeight="1">
      <c r="A279" s="69" t="str">
        <f>IF(priority(Main[[#This Row],[Comments]])&lt;&gt;0, priority(Main[[#This Row],[Comments]]),"")</f>
        <v/>
      </c>
      <c r="B279" s="63" t="s">
        <v>1117</v>
      </c>
      <c r="C279" s="148" t="s">
        <v>4</v>
      </c>
      <c r="D279" s="113" t="s">
        <v>166</v>
      </c>
      <c r="E279" s="129">
        <v>40455.90861111111</v>
      </c>
      <c r="F279" s="129"/>
      <c r="G279" s="69" t="str">
        <f>IF(stdProdLT(Main[[#This Row],[Comments]])=0.1,"N/A",IF(stdProdLT(Main[[#This Row],[Comments]])=0,"",stdProdLT(Main[[#This Row],[Comments]])))</f>
        <v/>
      </c>
      <c r="H279" s="138" t="str">
        <f>IF(Main[[#This Row],[In Stock Date]]="N/A", "N/A",IF(AND(Main[[#This Row],[In Stock Date]]&lt;&gt;"",Main[[#This Row],[Revised Due Date]]&lt;&gt;"",Main[[#This Row],[In Stock Date]]&lt;&gt;""),Main[[#This Row],[In Stock Date]]-Main[[#This Row],[Revised Due Date]],""))</f>
        <v/>
      </c>
      <c r="I279" s="139" t="s">
        <v>4</v>
      </c>
      <c r="J279" s="139" t="s">
        <v>28</v>
      </c>
      <c r="K279" s="140" t="s">
        <v>1926</v>
      </c>
      <c r="L279" s="129"/>
      <c r="M279" s="114" t="str">
        <f>IF(Main[[#This Row],[Tech Start Date]]&lt;1/1/1990,"",IF(Main[[#This Row],[Class]]="C",WORKDAY(Main[[#This Row],[Tech Start Date]],9),IF(Main[[#This Row],[Class]]="B", WORKDAY(Main[[#This Row],[Tech Start Date]],6),IF(Main[[#This Row],[Class]]="A",WORKDAY(Main[[#This Row],[Tech Start Date]],2),""))))</f>
        <v/>
      </c>
      <c r="N279" s="114" t="str">
        <f>IF(Main[[#This Row],[Tech Start Date]]&lt;1/1/1990,"",IF(Main[[#This Row],[Class]]="C",WORKDAY(Main[[#This Row],[Tech Start Date]],19),IF(Main[[#This Row],[Class]]="B", WORKDAY(Main[[#This Row],[Tech Start Date]],12),IF(Main[[#This Row],[Class]]="A",WORKDAY(Main[[#This Row],[Tech Start Date]],4),""))))</f>
        <v/>
      </c>
      <c r="O279" s="114" t="str">
        <f>IF(Main[[#This Row],[Tech Start Date]]&lt;1/1/1990,"",IF(Main[[#This Row],[Class]]="C",WORKDAY(Main[[#This Row],[Tech Start Date]],23),IF(Main[[#This Row],[Class]]="B", WORKDAY(Main[[#This Row],[Tech Start Date]],15),IF(Main[[#This Row],[Class]]="A",WORKDAY(Main[[#This Row],[Tech Start Date]],5),""))))</f>
        <v/>
      </c>
      <c r="P279" s="114" t="str">
        <f>IF(Main[[#This Row],[Tech Start Date]]&lt;1/1/1990,"",IF(Main[[#This Row],[Class]]="C",WORKDAY(Main[[#This Row],[Tech Start Date]],28),IF(Main[[#This Row],[Class]]="B", WORKDAY(Main[[#This Row],[Tech Start Date]],19),IF(Main[[#This Row],[Class]]="A",WORKDAY(Main[[#This Row],[Tech Start Date]],9),""))))</f>
        <v/>
      </c>
      <c r="Q279" s="129">
        <v>40512</v>
      </c>
      <c r="R279" s="129"/>
      <c r="S279" s="139" t="s">
        <v>17</v>
      </c>
      <c r="T279" s="115" t="s">
        <v>4</v>
      </c>
      <c r="U279" s="139" t="s">
        <v>7</v>
      </c>
      <c r="V279" s="139" t="s">
        <v>1914</v>
      </c>
      <c r="W279" s="139" t="s">
        <v>1919</v>
      </c>
      <c r="X279" s="139" t="s">
        <v>129</v>
      </c>
      <c r="Y279" s="112" t="s">
        <v>2933</v>
      </c>
      <c r="Z279" s="112" t="s">
        <v>129</v>
      </c>
      <c r="AA279" s="139" t="s">
        <v>129</v>
      </c>
    </row>
    <row r="280" spans="1:27" ht="17.25" customHeight="1">
      <c r="A280" s="69" t="str">
        <f>IF(priority(Main[[#This Row],[Comments]])&lt;&gt;0, priority(Main[[#This Row],[Comments]]),"")</f>
        <v/>
      </c>
      <c r="B280" s="63" t="s">
        <v>1118</v>
      </c>
      <c r="C280" s="148" t="s">
        <v>4</v>
      </c>
      <c r="D280" s="113" t="s">
        <v>167</v>
      </c>
      <c r="E280" s="129"/>
      <c r="F280" s="129"/>
      <c r="G280" s="69" t="str">
        <f>IF(stdProdLT(Main[[#This Row],[Comments]])=0.1,"N/A",IF(stdProdLT(Main[[#This Row],[Comments]])=0,"",stdProdLT(Main[[#This Row],[Comments]])))</f>
        <v/>
      </c>
      <c r="H280" s="138" t="str">
        <f>IF(Main[[#This Row],[In Stock Date]]="N/A", "N/A",IF(AND(Main[[#This Row],[In Stock Date]]&lt;&gt;"",Main[[#This Row],[Revised Due Date]]&lt;&gt;"",Main[[#This Row],[In Stock Date]]&lt;&gt;""),Main[[#This Row],[In Stock Date]]-Main[[#This Row],[Revised Due Date]],""))</f>
        <v/>
      </c>
      <c r="I280" s="139" t="s">
        <v>4</v>
      </c>
      <c r="J280" s="139" t="s">
        <v>28</v>
      </c>
      <c r="K280" s="139" t="s">
        <v>1926</v>
      </c>
      <c r="L280" s="129"/>
      <c r="M280" s="114" t="str">
        <f>IF(Main[[#This Row],[Tech Start Date]]&lt;1/1/1990,"",IF(Main[[#This Row],[Class]]="C",WORKDAY(Main[[#This Row],[Tech Start Date]],9),IF(Main[[#This Row],[Class]]="B", WORKDAY(Main[[#This Row],[Tech Start Date]],6),IF(Main[[#This Row],[Class]]="A",WORKDAY(Main[[#This Row],[Tech Start Date]],2),""))))</f>
        <v/>
      </c>
      <c r="N280" s="114" t="str">
        <f>IF(Main[[#This Row],[Tech Start Date]]&lt;1/1/1990,"",IF(Main[[#This Row],[Class]]="C",WORKDAY(Main[[#This Row],[Tech Start Date]],19),IF(Main[[#This Row],[Class]]="B", WORKDAY(Main[[#This Row],[Tech Start Date]],12),IF(Main[[#This Row],[Class]]="A",WORKDAY(Main[[#This Row],[Tech Start Date]],4),""))))</f>
        <v/>
      </c>
      <c r="O280" s="114" t="str">
        <f>IF(Main[[#This Row],[Tech Start Date]]&lt;1/1/1990,"",IF(Main[[#This Row],[Class]]="C",WORKDAY(Main[[#This Row],[Tech Start Date]],23),IF(Main[[#This Row],[Class]]="B", WORKDAY(Main[[#This Row],[Tech Start Date]],15),IF(Main[[#This Row],[Class]]="A",WORKDAY(Main[[#This Row],[Tech Start Date]],5),""))))</f>
        <v/>
      </c>
      <c r="P280" s="114" t="str">
        <f>IF(Main[[#This Row],[Tech Start Date]]&lt;1/1/1990,"",IF(Main[[#This Row],[Class]]="C",WORKDAY(Main[[#This Row],[Tech Start Date]],28),IF(Main[[#This Row],[Class]]="B", WORKDAY(Main[[#This Row],[Tech Start Date]],19),IF(Main[[#This Row],[Class]]="A",WORKDAY(Main[[#This Row],[Tech Start Date]],9),""))))</f>
        <v/>
      </c>
      <c r="Q280" s="129"/>
      <c r="R280" s="129"/>
      <c r="S280" s="139" t="s">
        <v>17</v>
      </c>
      <c r="T280" s="115" t="s">
        <v>4</v>
      </c>
      <c r="U280" s="139" t="s">
        <v>14</v>
      </c>
      <c r="V280" s="139" t="s">
        <v>1917</v>
      </c>
      <c r="W280" s="139" t="s">
        <v>1919</v>
      </c>
      <c r="X280" s="139" t="s">
        <v>553</v>
      </c>
      <c r="Y280" s="112" t="s">
        <v>2952</v>
      </c>
      <c r="Z280" s="112" t="s">
        <v>968</v>
      </c>
      <c r="AA280" s="139" t="s">
        <v>553</v>
      </c>
    </row>
    <row r="281" spans="1:27" ht="17.25" customHeight="1">
      <c r="A281" s="69" t="str">
        <f>IF(priority(Main[[#This Row],[Comments]])&lt;&gt;0, priority(Main[[#This Row],[Comments]]),"")</f>
        <v/>
      </c>
      <c r="B281" s="63" t="s">
        <v>2670</v>
      </c>
      <c r="C281" s="148" t="s">
        <v>4</v>
      </c>
      <c r="D281" s="113" t="s">
        <v>2703</v>
      </c>
      <c r="E281" s="129">
        <v>40879.610138888886</v>
      </c>
      <c r="F281" s="129"/>
      <c r="G281" s="69" t="str">
        <f>IF(stdProdLT(Main[[#This Row],[Comments]])=0.1,"N/A",IF(stdProdLT(Main[[#This Row],[Comments]])=0,"",stdProdLT(Main[[#This Row],[Comments]])))</f>
        <v/>
      </c>
      <c r="H281" s="138" t="str">
        <f>IF(Main[[#This Row],[In Stock Date]]="N/A", "N/A",IF(AND(Main[[#This Row],[In Stock Date]]&lt;&gt;"",Main[[#This Row],[Revised Due Date]]&lt;&gt;"",Main[[#This Row],[In Stock Date]]&lt;&gt;""),Main[[#This Row],[In Stock Date]]-Main[[#This Row],[Revised Due Date]],""))</f>
        <v/>
      </c>
      <c r="I281" s="139" t="s">
        <v>69</v>
      </c>
      <c r="J281" s="139" t="s">
        <v>21</v>
      </c>
      <c r="K281" s="139" t="s">
        <v>1923</v>
      </c>
      <c r="L281" s="129"/>
      <c r="M281" s="114" t="str">
        <f>IF(Main[[#This Row],[Tech Start Date]]&lt;1/1/1990,"",IF(Main[[#This Row],[Class]]="C",WORKDAY(Main[[#This Row],[Tech Start Date]],9),IF(Main[[#This Row],[Class]]="B", WORKDAY(Main[[#This Row],[Tech Start Date]],6),IF(Main[[#This Row],[Class]]="A",WORKDAY(Main[[#This Row],[Tech Start Date]],2),""))))</f>
        <v/>
      </c>
      <c r="N281" s="114" t="str">
        <f>IF(Main[[#This Row],[Tech Start Date]]&lt;1/1/1990,"",IF(Main[[#This Row],[Class]]="C",WORKDAY(Main[[#This Row],[Tech Start Date]],19),IF(Main[[#This Row],[Class]]="B", WORKDAY(Main[[#This Row],[Tech Start Date]],12),IF(Main[[#This Row],[Class]]="A",WORKDAY(Main[[#This Row],[Tech Start Date]],4),""))))</f>
        <v/>
      </c>
      <c r="O281" s="114" t="str">
        <f>IF(Main[[#This Row],[Tech Start Date]]&lt;1/1/1990,"",IF(Main[[#This Row],[Class]]="C",WORKDAY(Main[[#This Row],[Tech Start Date]],23),IF(Main[[#This Row],[Class]]="B", WORKDAY(Main[[#This Row],[Tech Start Date]],15),IF(Main[[#This Row],[Class]]="A",WORKDAY(Main[[#This Row],[Tech Start Date]],5),""))))</f>
        <v/>
      </c>
      <c r="P281" s="114" t="str">
        <f>IF(Main[[#This Row],[Tech Start Date]]&lt;1/1/1990,"",IF(Main[[#This Row],[Class]]="C",WORKDAY(Main[[#This Row],[Tech Start Date]],28),IF(Main[[#This Row],[Class]]="B", WORKDAY(Main[[#This Row],[Tech Start Date]],19),IF(Main[[#This Row],[Class]]="A",WORKDAY(Main[[#This Row],[Tech Start Date]],9),""))))</f>
        <v/>
      </c>
      <c r="Q281" s="129">
        <v>40921</v>
      </c>
      <c r="R281" s="129"/>
      <c r="S281" s="139" t="s">
        <v>6</v>
      </c>
      <c r="T281" s="115" t="s">
        <v>4</v>
      </c>
      <c r="U281" s="139" t="s">
        <v>29</v>
      </c>
      <c r="V281" s="139" t="s">
        <v>1924</v>
      </c>
      <c r="W281" s="139" t="s">
        <v>1918</v>
      </c>
      <c r="X281" s="139" t="s">
        <v>2818</v>
      </c>
      <c r="Y281" s="112" t="s">
        <v>2929</v>
      </c>
      <c r="Z281" s="112" t="s">
        <v>30</v>
      </c>
      <c r="AA281" s="139" t="s">
        <v>2818</v>
      </c>
    </row>
    <row r="282" spans="1:27" ht="17.25" customHeight="1">
      <c r="A282" s="69" t="str">
        <f>IF(priority(Main[[#This Row],[Comments]])&lt;&gt;0, priority(Main[[#This Row],[Comments]]),"")</f>
        <v/>
      </c>
      <c r="B282" s="63" t="s">
        <v>3587</v>
      </c>
      <c r="C282" s="148" t="s">
        <v>4</v>
      </c>
      <c r="D282" s="113" t="s">
        <v>3588</v>
      </c>
      <c r="E282" s="129"/>
      <c r="F282" s="129">
        <v>40982</v>
      </c>
      <c r="G282" s="69" t="str">
        <f>IF(stdProdLT(Main[[#This Row],[Comments]])=0.1,"N/A",IF(stdProdLT(Main[[#This Row],[Comments]])=0,"",stdProdLT(Main[[#This Row],[Comments]])))</f>
        <v/>
      </c>
      <c r="H282" s="138" t="str">
        <f>IF(Main[[#This Row],[In Stock Date]]="N/A", "N/A",IF(AND(Main[[#This Row],[In Stock Date]]&lt;&gt;"",Main[[#This Row],[Revised Due Date]]&lt;&gt;"",Main[[#This Row],[In Stock Date]]&lt;&gt;""),Main[[#This Row],[In Stock Date]]-Main[[#This Row],[Revised Due Date]],""))</f>
        <v/>
      </c>
      <c r="I282" s="139" t="s">
        <v>4</v>
      </c>
      <c r="J282" s="139" t="s">
        <v>4</v>
      </c>
      <c r="K282" s="139" t="s">
        <v>4</v>
      </c>
      <c r="L282" s="129"/>
      <c r="M282" s="114" t="str">
        <f>IF(Main[[#This Row],[Tech Start Date]]&lt;1/1/1990,"",IF(Main[[#This Row],[Class]]="C",WORKDAY(Main[[#This Row],[Tech Start Date]],9),IF(Main[[#This Row],[Class]]="B", WORKDAY(Main[[#This Row],[Tech Start Date]],6),IF(Main[[#This Row],[Class]]="A",WORKDAY(Main[[#This Row],[Tech Start Date]],2),""))))</f>
        <v/>
      </c>
      <c r="N282" s="114" t="str">
        <f>IF(Main[[#This Row],[Tech Start Date]]&lt;1/1/1990,"",IF(Main[[#This Row],[Class]]="C",WORKDAY(Main[[#This Row],[Tech Start Date]],19),IF(Main[[#This Row],[Class]]="B", WORKDAY(Main[[#This Row],[Tech Start Date]],12),IF(Main[[#This Row],[Class]]="A",WORKDAY(Main[[#This Row],[Tech Start Date]],4),""))))</f>
        <v/>
      </c>
      <c r="O282" s="114" t="str">
        <f>IF(Main[[#This Row],[Tech Start Date]]&lt;1/1/1990,"",IF(Main[[#This Row],[Class]]="C",WORKDAY(Main[[#This Row],[Tech Start Date]],23),IF(Main[[#This Row],[Class]]="B", WORKDAY(Main[[#This Row],[Tech Start Date]],15),IF(Main[[#This Row],[Class]]="A",WORKDAY(Main[[#This Row],[Tech Start Date]],5),""))))</f>
        <v/>
      </c>
      <c r="P282" s="114" t="str">
        <f>IF(Main[[#This Row],[Tech Start Date]]&lt;1/1/1990,"",IF(Main[[#This Row],[Class]]="C",WORKDAY(Main[[#This Row],[Tech Start Date]],28),IF(Main[[#This Row],[Class]]="B", WORKDAY(Main[[#This Row],[Tech Start Date]],19),IF(Main[[#This Row],[Class]]="A",WORKDAY(Main[[#This Row],[Tech Start Date]],9),""))))</f>
        <v/>
      </c>
      <c r="Q282" s="129"/>
      <c r="R282" s="129"/>
      <c r="S282" s="139" t="s">
        <v>11</v>
      </c>
      <c r="T282" s="115" t="s">
        <v>4</v>
      </c>
      <c r="U282" s="139" t="s">
        <v>12</v>
      </c>
      <c r="V282" s="139" t="s">
        <v>1917</v>
      </c>
      <c r="W282" s="139" t="s">
        <v>1919</v>
      </c>
      <c r="X282" s="139" t="s">
        <v>2834</v>
      </c>
      <c r="Y282" s="112" t="s">
        <v>3589</v>
      </c>
      <c r="Z282" s="112" t="s">
        <v>4</v>
      </c>
      <c r="AA282" s="139" t="s">
        <v>2834</v>
      </c>
    </row>
    <row r="283" spans="1:27" ht="17.25" customHeight="1">
      <c r="A283" s="69" t="str">
        <f>IF(priority(Main[[#This Row],[Comments]])&lt;&gt;0, priority(Main[[#This Row],[Comments]]),"")</f>
        <v/>
      </c>
      <c r="B283" s="63" t="s">
        <v>3590</v>
      </c>
      <c r="C283" s="148" t="s">
        <v>4</v>
      </c>
      <c r="D283" s="113" t="s">
        <v>3591</v>
      </c>
      <c r="E283" s="129">
        <v>40954.397581018522</v>
      </c>
      <c r="F283" s="129"/>
      <c r="G283" s="69" t="str">
        <f>IF(stdProdLT(Main[[#This Row],[Comments]])=0.1,"N/A",IF(stdProdLT(Main[[#This Row],[Comments]])=0,"",stdProdLT(Main[[#This Row],[Comments]])))</f>
        <v/>
      </c>
      <c r="H283" s="138" t="str">
        <f>IF(Main[[#This Row],[In Stock Date]]="N/A", "N/A",IF(AND(Main[[#This Row],[In Stock Date]]&lt;&gt;"",Main[[#This Row],[Revised Due Date]]&lt;&gt;"",Main[[#This Row],[In Stock Date]]&lt;&gt;""),Main[[#This Row],[In Stock Date]]-Main[[#This Row],[Revised Due Date]],""))</f>
        <v/>
      </c>
      <c r="I283" s="139" t="s">
        <v>2044</v>
      </c>
      <c r="J283" s="139" t="s">
        <v>28</v>
      </c>
      <c r="K283" s="139" t="s">
        <v>4</v>
      </c>
      <c r="L283" s="129"/>
      <c r="M283" s="114" t="str">
        <f>IF(Main[[#This Row],[Tech Start Date]]&lt;1/1/1990,"",IF(Main[[#This Row],[Class]]="C",WORKDAY(Main[[#This Row],[Tech Start Date]],9),IF(Main[[#This Row],[Class]]="B", WORKDAY(Main[[#This Row],[Tech Start Date]],6),IF(Main[[#This Row],[Class]]="A",WORKDAY(Main[[#This Row],[Tech Start Date]],2),""))))</f>
        <v/>
      </c>
      <c r="N283" s="114" t="str">
        <f>IF(Main[[#This Row],[Tech Start Date]]&lt;1/1/1990,"",IF(Main[[#This Row],[Class]]="C",WORKDAY(Main[[#This Row],[Tech Start Date]],19),IF(Main[[#This Row],[Class]]="B", WORKDAY(Main[[#This Row],[Tech Start Date]],12),IF(Main[[#This Row],[Class]]="A",WORKDAY(Main[[#This Row],[Tech Start Date]],4),""))))</f>
        <v/>
      </c>
      <c r="O283" s="114" t="str">
        <f>IF(Main[[#This Row],[Tech Start Date]]&lt;1/1/1990,"",IF(Main[[#This Row],[Class]]="C",WORKDAY(Main[[#This Row],[Tech Start Date]],23),IF(Main[[#This Row],[Class]]="B", WORKDAY(Main[[#This Row],[Tech Start Date]],15),IF(Main[[#This Row],[Class]]="A",WORKDAY(Main[[#This Row],[Tech Start Date]],5),""))))</f>
        <v/>
      </c>
      <c r="P283" s="114" t="str">
        <f>IF(Main[[#This Row],[Tech Start Date]]&lt;1/1/1990,"",IF(Main[[#This Row],[Class]]="C",WORKDAY(Main[[#This Row],[Tech Start Date]],28),IF(Main[[#This Row],[Class]]="B", WORKDAY(Main[[#This Row],[Tech Start Date]],19),IF(Main[[#This Row],[Class]]="A",WORKDAY(Main[[#This Row],[Tech Start Date]],9),""))))</f>
        <v/>
      </c>
      <c r="Q283" s="129"/>
      <c r="R283" s="129"/>
      <c r="S283" s="139" t="s">
        <v>6</v>
      </c>
      <c r="T283" s="115" t="s">
        <v>4</v>
      </c>
      <c r="U283" s="139" t="s">
        <v>29</v>
      </c>
      <c r="V283" s="139" t="s">
        <v>1924</v>
      </c>
      <c r="W283" s="139" t="s">
        <v>1918</v>
      </c>
      <c r="X283" s="139" t="s">
        <v>2044</v>
      </c>
      <c r="Y283" s="112" t="s">
        <v>3156</v>
      </c>
      <c r="Z283" s="112" t="s">
        <v>530</v>
      </c>
      <c r="AA283" s="139" t="s">
        <v>2044</v>
      </c>
    </row>
    <row r="284" spans="1:27" ht="17.25" customHeight="1">
      <c r="A284" s="69" t="str">
        <f>IF(priority(Main[[#This Row],[Comments]])&lt;&gt;0, priority(Main[[#This Row],[Comments]]),"")</f>
        <v/>
      </c>
      <c r="B284" s="63" t="s">
        <v>1125</v>
      </c>
      <c r="C284" s="148" t="s">
        <v>4</v>
      </c>
      <c r="D284" s="113" t="s">
        <v>176</v>
      </c>
      <c r="E284" s="129">
        <v>40655.521435185183</v>
      </c>
      <c r="F284" s="129"/>
      <c r="G284" s="69" t="str">
        <f>IF(stdProdLT(Main[[#This Row],[Comments]])=0.1,"N/A",IF(stdProdLT(Main[[#This Row],[Comments]])=0,"",stdProdLT(Main[[#This Row],[Comments]])))</f>
        <v/>
      </c>
      <c r="H284" s="138" t="str">
        <f>IF(Main[[#This Row],[In Stock Date]]="N/A", "N/A",IF(AND(Main[[#This Row],[In Stock Date]]&lt;&gt;"",Main[[#This Row],[Revised Due Date]]&lt;&gt;"",Main[[#This Row],[In Stock Date]]&lt;&gt;""),Main[[#This Row],[In Stock Date]]-Main[[#This Row],[Revised Due Date]],""))</f>
        <v/>
      </c>
      <c r="I284" s="139" t="s">
        <v>4</v>
      </c>
      <c r="J284" s="139" t="s">
        <v>4</v>
      </c>
      <c r="K284" s="139" t="s">
        <v>4</v>
      </c>
      <c r="L284" s="129"/>
      <c r="M284" s="114" t="str">
        <f>IF(Main[[#This Row],[Tech Start Date]]&lt;1/1/1990,"",IF(Main[[#This Row],[Class]]="C",WORKDAY(Main[[#This Row],[Tech Start Date]],9),IF(Main[[#This Row],[Class]]="B", WORKDAY(Main[[#This Row],[Tech Start Date]],6),IF(Main[[#This Row],[Class]]="A",WORKDAY(Main[[#This Row],[Tech Start Date]],2),""))))</f>
        <v/>
      </c>
      <c r="N284" s="114" t="str">
        <f>IF(Main[[#This Row],[Tech Start Date]]&lt;1/1/1990,"",IF(Main[[#This Row],[Class]]="C",WORKDAY(Main[[#This Row],[Tech Start Date]],19),IF(Main[[#This Row],[Class]]="B", WORKDAY(Main[[#This Row],[Tech Start Date]],12),IF(Main[[#This Row],[Class]]="A",WORKDAY(Main[[#This Row],[Tech Start Date]],4),""))))</f>
        <v/>
      </c>
      <c r="O284" s="114" t="str">
        <f>IF(Main[[#This Row],[Tech Start Date]]&lt;1/1/1990,"",IF(Main[[#This Row],[Class]]="C",WORKDAY(Main[[#This Row],[Tech Start Date]],23),IF(Main[[#This Row],[Class]]="B", WORKDAY(Main[[#This Row],[Tech Start Date]],15),IF(Main[[#This Row],[Class]]="A",WORKDAY(Main[[#This Row],[Tech Start Date]],5),""))))</f>
        <v/>
      </c>
      <c r="P284" s="114" t="str">
        <f>IF(Main[[#This Row],[Tech Start Date]]&lt;1/1/1990,"",IF(Main[[#This Row],[Class]]="C",WORKDAY(Main[[#This Row],[Tech Start Date]],28),IF(Main[[#This Row],[Class]]="B", WORKDAY(Main[[#This Row],[Tech Start Date]],19),IF(Main[[#This Row],[Class]]="A",WORKDAY(Main[[#This Row],[Tech Start Date]],9),""))))</f>
        <v/>
      </c>
      <c r="Q284" s="129">
        <v>40655</v>
      </c>
      <c r="R284" s="129"/>
      <c r="S284" s="139" t="s">
        <v>6</v>
      </c>
      <c r="T284" s="115" t="s">
        <v>4</v>
      </c>
      <c r="U284" s="139" t="s">
        <v>7</v>
      </c>
      <c r="V284" s="139" t="s">
        <v>1914</v>
      </c>
      <c r="W284" s="139" t="s">
        <v>1916</v>
      </c>
      <c r="X284" s="139" t="s">
        <v>126</v>
      </c>
      <c r="Y284" s="112" t="s">
        <v>3033</v>
      </c>
      <c r="Z284" s="112" t="s">
        <v>4</v>
      </c>
      <c r="AA284" s="139" t="s">
        <v>126</v>
      </c>
    </row>
    <row r="285" spans="1:27" ht="17.25" customHeight="1">
      <c r="A285" s="69" t="str">
        <f>IF(priority(Main[[#This Row],[Comments]])&lt;&gt;0, priority(Main[[#This Row],[Comments]]),"")</f>
        <v/>
      </c>
      <c r="B285" s="63" t="s">
        <v>1126</v>
      </c>
      <c r="C285" s="148" t="s">
        <v>4</v>
      </c>
      <c r="D285" s="113" t="s">
        <v>177</v>
      </c>
      <c r="E285" s="129"/>
      <c r="F285" s="129">
        <v>40598</v>
      </c>
      <c r="G285" s="69" t="str">
        <f>IF(stdProdLT(Main[[#This Row],[Comments]])=0.1,"N/A",IF(stdProdLT(Main[[#This Row],[Comments]])=0,"",stdProdLT(Main[[#This Row],[Comments]])))</f>
        <v/>
      </c>
      <c r="H285" s="138" t="str">
        <f>IF(Main[[#This Row],[In Stock Date]]="N/A", "N/A",IF(AND(Main[[#This Row],[In Stock Date]]&lt;&gt;"",Main[[#This Row],[Revised Due Date]]&lt;&gt;"",Main[[#This Row],[In Stock Date]]&lt;&gt;""),Main[[#This Row],[In Stock Date]]-Main[[#This Row],[Revised Due Date]],""))</f>
        <v/>
      </c>
      <c r="I285" s="139" t="s">
        <v>4</v>
      </c>
      <c r="J285" s="139" t="s">
        <v>4</v>
      </c>
      <c r="K285" s="139" t="s">
        <v>4</v>
      </c>
      <c r="L285" s="129"/>
      <c r="M285" s="114" t="str">
        <f>IF(Main[[#This Row],[Tech Start Date]]&lt;1/1/1990,"",IF(Main[[#This Row],[Class]]="C",WORKDAY(Main[[#This Row],[Tech Start Date]],9),IF(Main[[#This Row],[Class]]="B", WORKDAY(Main[[#This Row],[Tech Start Date]],6),IF(Main[[#This Row],[Class]]="A",WORKDAY(Main[[#This Row],[Tech Start Date]],2),""))))</f>
        <v/>
      </c>
      <c r="N285" s="114" t="str">
        <f>IF(Main[[#This Row],[Tech Start Date]]&lt;1/1/1990,"",IF(Main[[#This Row],[Class]]="C",WORKDAY(Main[[#This Row],[Tech Start Date]],19),IF(Main[[#This Row],[Class]]="B", WORKDAY(Main[[#This Row],[Tech Start Date]],12),IF(Main[[#This Row],[Class]]="A",WORKDAY(Main[[#This Row],[Tech Start Date]],4),""))))</f>
        <v/>
      </c>
      <c r="O285" s="114" t="str">
        <f>IF(Main[[#This Row],[Tech Start Date]]&lt;1/1/1990,"",IF(Main[[#This Row],[Class]]="C",WORKDAY(Main[[#This Row],[Tech Start Date]],23),IF(Main[[#This Row],[Class]]="B", WORKDAY(Main[[#This Row],[Tech Start Date]],15),IF(Main[[#This Row],[Class]]="A",WORKDAY(Main[[#This Row],[Tech Start Date]],5),""))))</f>
        <v/>
      </c>
      <c r="P285" s="114" t="str">
        <f>IF(Main[[#This Row],[Tech Start Date]]&lt;1/1/1990,"",IF(Main[[#This Row],[Class]]="C",WORKDAY(Main[[#This Row],[Tech Start Date]],28),IF(Main[[#This Row],[Class]]="B", WORKDAY(Main[[#This Row],[Tech Start Date]],19),IF(Main[[#This Row],[Class]]="A",WORKDAY(Main[[#This Row],[Tech Start Date]],9),""))))</f>
        <v/>
      </c>
      <c r="Q285" s="129">
        <v>40598</v>
      </c>
      <c r="R285" s="129"/>
      <c r="S285" s="139" t="s">
        <v>11</v>
      </c>
      <c r="T285" s="115" t="s">
        <v>4</v>
      </c>
      <c r="U285" s="139" t="s">
        <v>14</v>
      </c>
      <c r="V285" s="139" t="s">
        <v>1924</v>
      </c>
      <c r="W285" s="139" t="s">
        <v>1920</v>
      </c>
      <c r="X285" s="139" t="s">
        <v>2848</v>
      </c>
      <c r="Y285" s="112" t="s">
        <v>2979</v>
      </c>
      <c r="Z285" s="112" t="s">
        <v>4</v>
      </c>
      <c r="AA285" s="139" t="s">
        <v>2848</v>
      </c>
    </row>
    <row r="286" spans="1:27" ht="17.25" customHeight="1">
      <c r="A286" s="69" t="str">
        <f>IF(priority(Main[[#This Row],[Comments]])&lt;&gt;0, priority(Main[[#This Row],[Comments]]),"")</f>
        <v/>
      </c>
      <c r="B286" s="63" t="s">
        <v>2704</v>
      </c>
      <c r="C286" s="148" t="s">
        <v>4</v>
      </c>
      <c r="D286" s="113" t="s">
        <v>2705</v>
      </c>
      <c r="E286" s="129">
        <v>40896.649571759262</v>
      </c>
      <c r="F286" s="129"/>
      <c r="G286" s="69" t="str">
        <f>IF(stdProdLT(Main[[#This Row],[Comments]])=0.1,"N/A",IF(stdProdLT(Main[[#This Row],[Comments]])=0,"",stdProdLT(Main[[#This Row],[Comments]])))</f>
        <v/>
      </c>
      <c r="H286" s="138" t="str">
        <f>IF(Main[[#This Row],[In Stock Date]]="N/A", "N/A",IF(AND(Main[[#This Row],[In Stock Date]]&lt;&gt;"",Main[[#This Row],[Revised Due Date]]&lt;&gt;"",Main[[#This Row],[In Stock Date]]&lt;&gt;""),Main[[#This Row],[In Stock Date]]-Main[[#This Row],[Revised Due Date]],""))</f>
        <v/>
      </c>
      <c r="I286" s="139" t="s">
        <v>530</v>
      </c>
      <c r="J286" s="139" t="s">
        <v>28</v>
      </c>
      <c r="K286" s="139" t="s">
        <v>1923</v>
      </c>
      <c r="L286" s="129"/>
      <c r="M286" s="114" t="str">
        <f>IF(Main[[#This Row],[Tech Start Date]]&lt;1/1/1990,"",IF(Main[[#This Row],[Class]]="C",WORKDAY(Main[[#This Row],[Tech Start Date]],9),IF(Main[[#This Row],[Class]]="B", WORKDAY(Main[[#This Row],[Tech Start Date]],6),IF(Main[[#This Row],[Class]]="A",WORKDAY(Main[[#This Row],[Tech Start Date]],2),""))))</f>
        <v/>
      </c>
      <c r="N286" s="114" t="str">
        <f>IF(Main[[#This Row],[Tech Start Date]]&lt;1/1/1990,"",IF(Main[[#This Row],[Class]]="C",WORKDAY(Main[[#This Row],[Tech Start Date]],19),IF(Main[[#This Row],[Class]]="B", WORKDAY(Main[[#This Row],[Tech Start Date]],12),IF(Main[[#This Row],[Class]]="A",WORKDAY(Main[[#This Row],[Tech Start Date]],4),""))))</f>
        <v/>
      </c>
      <c r="O286" s="114" t="str">
        <f>IF(Main[[#This Row],[Tech Start Date]]&lt;1/1/1990,"",IF(Main[[#This Row],[Class]]="C",WORKDAY(Main[[#This Row],[Tech Start Date]],23),IF(Main[[#This Row],[Class]]="B", WORKDAY(Main[[#This Row],[Tech Start Date]],15),IF(Main[[#This Row],[Class]]="A",WORKDAY(Main[[#This Row],[Tech Start Date]],5),""))))</f>
        <v/>
      </c>
      <c r="P286" s="114" t="str">
        <f>IF(Main[[#This Row],[Tech Start Date]]&lt;1/1/1990,"",IF(Main[[#This Row],[Class]]="C",WORKDAY(Main[[#This Row],[Tech Start Date]],28),IF(Main[[#This Row],[Class]]="B", WORKDAY(Main[[#This Row],[Tech Start Date]],19),IF(Main[[#This Row],[Class]]="A",WORKDAY(Main[[#This Row],[Tech Start Date]],9),""))))</f>
        <v/>
      </c>
      <c r="Q286" s="129">
        <v>40939</v>
      </c>
      <c r="R286" s="129"/>
      <c r="S286" s="139" t="s">
        <v>6</v>
      </c>
      <c r="T286" s="115" t="s">
        <v>4</v>
      </c>
      <c r="U286" s="139" t="s">
        <v>29</v>
      </c>
      <c r="V286" s="139" t="s">
        <v>1917</v>
      </c>
      <c r="W286" s="139" t="s">
        <v>1922</v>
      </c>
      <c r="X286" s="139" t="s">
        <v>883</v>
      </c>
      <c r="Y286" s="112" t="s">
        <v>2963</v>
      </c>
      <c r="Z286" s="112" t="s">
        <v>30</v>
      </c>
      <c r="AA286" s="139" t="s">
        <v>883</v>
      </c>
    </row>
    <row r="287" spans="1:27" ht="17.25" customHeight="1">
      <c r="A287" s="69" t="str">
        <f>IF(priority(Main[[#This Row],[Comments]])&lt;&gt;0, priority(Main[[#This Row],[Comments]]),"")</f>
        <v/>
      </c>
      <c r="B287" s="63" t="s">
        <v>2344</v>
      </c>
      <c r="C287" s="148" t="s">
        <v>2345</v>
      </c>
      <c r="D287" s="113" t="s">
        <v>2346</v>
      </c>
      <c r="E287" s="129"/>
      <c r="F287" s="129"/>
      <c r="G287" s="69" t="str">
        <f>IF(stdProdLT(Main[[#This Row],[Comments]])=0.1,"N/A",IF(stdProdLT(Main[[#This Row],[Comments]])=0,"",stdProdLT(Main[[#This Row],[Comments]])))</f>
        <v/>
      </c>
      <c r="H287" s="138" t="str">
        <f>IF(Main[[#This Row],[In Stock Date]]="N/A", "N/A",IF(AND(Main[[#This Row],[In Stock Date]]&lt;&gt;"",Main[[#This Row],[Revised Due Date]]&lt;&gt;"",Main[[#This Row],[In Stock Date]]&lt;&gt;""),Main[[#This Row],[In Stock Date]]-Main[[#This Row],[Revised Due Date]],""))</f>
        <v/>
      </c>
      <c r="I287" s="139" t="s">
        <v>4</v>
      </c>
      <c r="J287" s="139" t="s">
        <v>4</v>
      </c>
      <c r="K287" s="139" t="s">
        <v>4</v>
      </c>
      <c r="L287" s="129"/>
      <c r="M287" s="114" t="str">
        <f>IF(Main[[#This Row],[Tech Start Date]]&lt;1/1/1990,"",IF(Main[[#This Row],[Class]]="C",WORKDAY(Main[[#This Row],[Tech Start Date]],9),IF(Main[[#This Row],[Class]]="B", WORKDAY(Main[[#This Row],[Tech Start Date]],6),IF(Main[[#This Row],[Class]]="A",WORKDAY(Main[[#This Row],[Tech Start Date]],2),""))))</f>
        <v/>
      </c>
      <c r="N287" s="114" t="str">
        <f>IF(Main[[#This Row],[Tech Start Date]]&lt;1/1/1990,"",IF(Main[[#This Row],[Class]]="C",WORKDAY(Main[[#This Row],[Tech Start Date]],19),IF(Main[[#This Row],[Class]]="B", WORKDAY(Main[[#This Row],[Tech Start Date]],12),IF(Main[[#This Row],[Class]]="A",WORKDAY(Main[[#This Row],[Tech Start Date]],4),""))))</f>
        <v/>
      </c>
      <c r="O287" s="114" t="str">
        <f>IF(Main[[#This Row],[Tech Start Date]]&lt;1/1/1990,"",IF(Main[[#This Row],[Class]]="C",WORKDAY(Main[[#This Row],[Tech Start Date]],23),IF(Main[[#This Row],[Class]]="B", WORKDAY(Main[[#This Row],[Tech Start Date]],15),IF(Main[[#This Row],[Class]]="A",WORKDAY(Main[[#This Row],[Tech Start Date]],5),""))))</f>
        <v/>
      </c>
      <c r="P287" s="114" t="str">
        <f>IF(Main[[#This Row],[Tech Start Date]]&lt;1/1/1990,"",IF(Main[[#This Row],[Class]]="C",WORKDAY(Main[[#This Row],[Tech Start Date]],28),IF(Main[[#This Row],[Class]]="B", WORKDAY(Main[[#This Row],[Tech Start Date]],19),IF(Main[[#This Row],[Class]]="A",WORKDAY(Main[[#This Row],[Tech Start Date]],9),""))))</f>
        <v/>
      </c>
      <c r="Q287" s="129">
        <v>40840</v>
      </c>
      <c r="R287" s="129"/>
      <c r="S287" s="139" t="s">
        <v>11</v>
      </c>
      <c r="T287" s="115" t="s">
        <v>4</v>
      </c>
      <c r="U287" s="139" t="s">
        <v>12</v>
      </c>
      <c r="V287" s="139" t="s">
        <v>1914</v>
      </c>
      <c r="W287" s="139" t="s">
        <v>1916</v>
      </c>
      <c r="X287" s="139" t="s">
        <v>2855</v>
      </c>
      <c r="Y287" s="112" t="s">
        <v>4</v>
      </c>
      <c r="Z287" s="112" t="s">
        <v>4</v>
      </c>
      <c r="AA287" s="139" t="s">
        <v>2855</v>
      </c>
    </row>
    <row r="288" spans="1:27" ht="17.25" customHeight="1">
      <c r="A288" s="69" t="str">
        <f>IF(priority(Main[[#This Row],[Comments]])&lt;&gt;0, priority(Main[[#This Row],[Comments]]),"")</f>
        <v/>
      </c>
      <c r="B288" s="63" t="s">
        <v>1127</v>
      </c>
      <c r="C288" s="148" t="s">
        <v>4</v>
      </c>
      <c r="D288" s="113" t="s">
        <v>178</v>
      </c>
      <c r="E288" s="129">
        <v>40688.403611111113</v>
      </c>
      <c r="F288" s="129"/>
      <c r="G288" s="69" t="str">
        <f>IF(stdProdLT(Main[[#This Row],[Comments]])=0.1,"N/A",IF(stdProdLT(Main[[#This Row],[Comments]])=0,"",stdProdLT(Main[[#This Row],[Comments]])))</f>
        <v/>
      </c>
      <c r="H288" s="138" t="str">
        <f>IF(Main[[#This Row],[In Stock Date]]="N/A", "N/A",IF(AND(Main[[#This Row],[In Stock Date]]&lt;&gt;"",Main[[#This Row],[Revised Due Date]]&lt;&gt;"",Main[[#This Row],[In Stock Date]]&lt;&gt;""),Main[[#This Row],[In Stock Date]]-Main[[#This Row],[Revised Due Date]],""))</f>
        <v/>
      </c>
      <c r="I288" s="139" t="s">
        <v>4</v>
      </c>
      <c r="J288" s="139" t="s">
        <v>4</v>
      </c>
      <c r="K288" s="139" t="s">
        <v>4</v>
      </c>
      <c r="L288" s="129"/>
      <c r="M288" s="114" t="str">
        <f>IF(Main[[#This Row],[Tech Start Date]]&lt;1/1/1990,"",IF(Main[[#This Row],[Class]]="C",WORKDAY(Main[[#This Row],[Tech Start Date]],9),IF(Main[[#This Row],[Class]]="B", WORKDAY(Main[[#This Row],[Tech Start Date]],6),IF(Main[[#This Row],[Class]]="A",WORKDAY(Main[[#This Row],[Tech Start Date]],2),""))))</f>
        <v/>
      </c>
      <c r="N288" s="114" t="str">
        <f>IF(Main[[#This Row],[Tech Start Date]]&lt;1/1/1990,"",IF(Main[[#This Row],[Class]]="C",WORKDAY(Main[[#This Row],[Tech Start Date]],19),IF(Main[[#This Row],[Class]]="B", WORKDAY(Main[[#This Row],[Tech Start Date]],12),IF(Main[[#This Row],[Class]]="A",WORKDAY(Main[[#This Row],[Tech Start Date]],4),""))))</f>
        <v/>
      </c>
      <c r="O288" s="114" t="str">
        <f>IF(Main[[#This Row],[Tech Start Date]]&lt;1/1/1990,"",IF(Main[[#This Row],[Class]]="C",WORKDAY(Main[[#This Row],[Tech Start Date]],23),IF(Main[[#This Row],[Class]]="B", WORKDAY(Main[[#This Row],[Tech Start Date]],15),IF(Main[[#This Row],[Class]]="A",WORKDAY(Main[[#This Row],[Tech Start Date]],5),""))))</f>
        <v/>
      </c>
      <c r="P288" s="114" t="str">
        <f>IF(Main[[#This Row],[Tech Start Date]]&lt;1/1/1990,"",IF(Main[[#This Row],[Class]]="C",WORKDAY(Main[[#This Row],[Tech Start Date]],28),IF(Main[[#This Row],[Class]]="B", WORKDAY(Main[[#This Row],[Tech Start Date]],19),IF(Main[[#This Row],[Class]]="A",WORKDAY(Main[[#This Row],[Tech Start Date]],9),""))))</f>
        <v/>
      </c>
      <c r="Q288" s="129">
        <v>40725</v>
      </c>
      <c r="R288" s="129"/>
      <c r="S288" s="139" t="s">
        <v>6</v>
      </c>
      <c r="T288" s="115" t="s">
        <v>4</v>
      </c>
      <c r="U288" s="139" t="s">
        <v>7</v>
      </c>
      <c r="V288" s="139" t="s">
        <v>1914</v>
      </c>
      <c r="W288" s="139" t="s">
        <v>4</v>
      </c>
      <c r="X288" s="139" t="s">
        <v>2818</v>
      </c>
      <c r="Y288" s="112" t="s">
        <v>2929</v>
      </c>
      <c r="Z288" s="112" t="s">
        <v>4</v>
      </c>
      <c r="AA288" s="139" t="s">
        <v>2818</v>
      </c>
    </row>
    <row r="289" spans="1:27" ht="17.25" customHeight="1">
      <c r="A289" s="69" t="str">
        <f>IF(priority(Main[[#This Row],[Comments]])&lt;&gt;0, priority(Main[[#This Row],[Comments]]),"")</f>
        <v/>
      </c>
      <c r="B289" s="63" t="s">
        <v>1128</v>
      </c>
      <c r="C289" s="148" t="s">
        <v>4</v>
      </c>
      <c r="D289" s="113" t="s">
        <v>179</v>
      </c>
      <c r="E289" s="129">
        <v>40644.277719907404</v>
      </c>
      <c r="F289" s="129"/>
      <c r="G289" s="69" t="str">
        <f>IF(stdProdLT(Main[[#This Row],[Comments]])=0.1,"N/A",IF(stdProdLT(Main[[#This Row],[Comments]])=0,"",stdProdLT(Main[[#This Row],[Comments]])))</f>
        <v/>
      </c>
      <c r="H289" s="138" t="str">
        <f>IF(Main[[#This Row],[In Stock Date]]="N/A", "N/A",IF(AND(Main[[#This Row],[In Stock Date]]&lt;&gt;"",Main[[#This Row],[Revised Due Date]]&lt;&gt;"",Main[[#This Row],[In Stock Date]]&lt;&gt;""),Main[[#This Row],[In Stock Date]]-Main[[#This Row],[Revised Due Date]],""))</f>
        <v/>
      </c>
      <c r="I289" s="139" t="s">
        <v>4</v>
      </c>
      <c r="J289" s="139" t="s">
        <v>4</v>
      </c>
      <c r="K289" s="139" t="s">
        <v>4</v>
      </c>
      <c r="L289" s="129"/>
      <c r="M289" s="114" t="str">
        <f>IF(Main[[#This Row],[Tech Start Date]]&lt;1/1/1990,"",IF(Main[[#This Row],[Class]]="C",WORKDAY(Main[[#This Row],[Tech Start Date]],9),IF(Main[[#This Row],[Class]]="B", WORKDAY(Main[[#This Row],[Tech Start Date]],6),IF(Main[[#This Row],[Class]]="A",WORKDAY(Main[[#This Row],[Tech Start Date]],2),""))))</f>
        <v/>
      </c>
      <c r="N289" s="114" t="str">
        <f>IF(Main[[#This Row],[Tech Start Date]]&lt;1/1/1990,"",IF(Main[[#This Row],[Class]]="C",WORKDAY(Main[[#This Row],[Tech Start Date]],19),IF(Main[[#This Row],[Class]]="B", WORKDAY(Main[[#This Row],[Tech Start Date]],12),IF(Main[[#This Row],[Class]]="A",WORKDAY(Main[[#This Row],[Tech Start Date]],4),""))))</f>
        <v/>
      </c>
      <c r="O289" s="114" t="str">
        <f>IF(Main[[#This Row],[Tech Start Date]]&lt;1/1/1990,"",IF(Main[[#This Row],[Class]]="C",WORKDAY(Main[[#This Row],[Tech Start Date]],23),IF(Main[[#This Row],[Class]]="B", WORKDAY(Main[[#This Row],[Tech Start Date]],15),IF(Main[[#This Row],[Class]]="A",WORKDAY(Main[[#This Row],[Tech Start Date]],5),""))))</f>
        <v/>
      </c>
      <c r="P289" s="114" t="str">
        <f>IF(Main[[#This Row],[Tech Start Date]]&lt;1/1/1990,"",IF(Main[[#This Row],[Class]]="C",WORKDAY(Main[[#This Row],[Tech Start Date]],28),IF(Main[[#This Row],[Class]]="B", WORKDAY(Main[[#This Row],[Tech Start Date]],19),IF(Main[[#This Row],[Class]]="A",WORKDAY(Main[[#This Row],[Tech Start Date]],9),""))))</f>
        <v/>
      </c>
      <c r="Q289" s="129">
        <v>40673</v>
      </c>
      <c r="R289" s="129"/>
      <c r="S289" s="139" t="s">
        <v>6</v>
      </c>
      <c r="T289" s="115" t="s">
        <v>4</v>
      </c>
      <c r="U289" s="139" t="s">
        <v>7</v>
      </c>
      <c r="V289" s="139" t="s">
        <v>1914</v>
      </c>
      <c r="W289" s="139" t="s">
        <v>1922</v>
      </c>
      <c r="X289" s="139" t="s">
        <v>2821</v>
      </c>
      <c r="Y289" s="112" t="s">
        <v>2936</v>
      </c>
      <c r="Z289" s="112" t="s">
        <v>4</v>
      </c>
      <c r="AA289" s="139" t="s">
        <v>2821</v>
      </c>
    </row>
    <row r="290" spans="1:27" ht="17.25" customHeight="1">
      <c r="A290" s="69" t="str">
        <f>IF(priority(Main[[#This Row],[Comments]])&lt;&gt;0, priority(Main[[#This Row],[Comments]]),"")</f>
        <v/>
      </c>
      <c r="B290" s="63" t="s">
        <v>1130</v>
      </c>
      <c r="C290" s="148" t="s">
        <v>180</v>
      </c>
      <c r="D290" s="113" t="s">
        <v>181</v>
      </c>
      <c r="E290" s="129"/>
      <c r="F290" s="129">
        <v>40536</v>
      </c>
      <c r="G290" s="69" t="str">
        <f>IF(stdProdLT(Main[[#This Row],[Comments]])=0.1,"N/A",IF(stdProdLT(Main[[#This Row],[Comments]])=0,"",stdProdLT(Main[[#This Row],[Comments]])))</f>
        <v/>
      </c>
      <c r="H290" s="138" t="str">
        <f>IF(Main[[#This Row],[In Stock Date]]="N/A", "N/A",IF(AND(Main[[#This Row],[In Stock Date]]&lt;&gt;"",Main[[#This Row],[Revised Due Date]]&lt;&gt;"",Main[[#This Row],[In Stock Date]]&lt;&gt;""),Main[[#This Row],[In Stock Date]]-Main[[#This Row],[Revised Due Date]],""))</f>
        <v/>
      </c>
      <c r="I290" s="139" t="s">
        <v>4</v>
      </c>
      <c r="J290" s="139" t="s">
        <v>28</v>
      </c>
      <c r="K290" s="140" t="s">
        <v>1923</v>
      </c>
      <c r="L290" s="129"/>
      <c r="M290" s="114" t="str">
        <f>IF(Main[[#This Row],[Tech Start Date]]&lt;1/1/1990,"",IF(Main[[#This Row],[Class]]="C",WORKDAY(Main[[#This Row],[Tech Start Date]],9),IF(Main[[#This Row],[Class]]="B", WORKDAY(Main[[#This Row],[Tech Start Date]],6),IF(Main[[#This Row],[Class]]="A",WORKDAY(Main[[#This Row],[Tech Start Date]],2),""))))</f>
        <v/>
      </c>
      <c r="N290" s="114" t="str">
        <f>IF(Main[[#This Row],[Tech Start Date]]&lt;1/1/1990,"",IF(Main[[#This Row],[Class]]="C",WORKDAY(Main[[#This Row],[Tech Start Date]],19),IF(Main[[#This Row],[Class]]="B", WORKDAY(Main[[#This Row],[Tech Start Date]],12),IF(Main[[#This Row],[Class]]="A",WORKDAY(Main[[#This Row],[Tech Start Date]],4),""))))</f>
        <v/>
      </c>
      <c r="O290" s="114" t="str">
        <f>IF(Main[[#This Row],[Tech Start Date]]&lt;1/1/1990,"",IF(Main[[#This Row],[Class]]="C",WORKDAY(Main[[#This Row],[Tech Start Date]],23),IF(Main[[#This Row],[Class]]="B", WORKDAY(Main[[#This Row],[Tech Start Date]],15),IF(Main[[#This Row],[Class]]="A",WORKDAY(Main[[#This Row],[Tech Start Date]],5),""))))</f>
        <v/>
      </c>
      <c r="P290" s="114" t="str">
        <f>IF(Main[[#This Row],[Tech Start Date]]&lt;1/1/1990,"",IF(Main[[#This Row],[Class]]="C",WORKDAY(Main[[#This Row],[Tech Start Date]],28),IF(Main[[#This Row],[Class]]="B", WORKDAY(Main[[#This Row],[Tech Start Date]],19),IF(Main[[#This Row],[Class]]="A",WORKDAY(Main[[#This Row],[Tech Start Date]],9),""))))</f>
        <v/>
      </c>
      <c r="Q290" s="129">
        <v>40466</v>
      </c>
      <c r="R290" s="129"/>
      <c r="S290" s="139" t="s">
        <v>11</v>
      </c>
      <c r="T290" s="115" t="s">
        <v>4</v>
      </c>
      <c r="U290" s="139" t="s">
        <v>14</v>
      </c>
      <c r="V290" s="139" t="s">
        <v>1917</v>
      </c>
      <c r="W290" s="139" t="s">
        <v>1920</v>
      </c>
      <c r="X290" s="139" t="s">
        <v>2824</v>
      </c>
      <c r="Y290" s="112" t="s">
        <v>2943</v>
      </c>
      <c r="Z290" s="112" t="s">
        <v>530</v>
      </c>
      <c r="AA290" s="139" t="s">
        <v>2824</v>
      </c>
    </row>
    <row r="291" spans="1:27" ht="17.25" customHeight="1">
      <c r="A291" s="69" t="str">
        <f>IF(priority(Main[[#This Row],[Comments]])&lt;&gt;0, priority(Main[[#This Row],[Comments]]),"")</f>
        <v/>
      </c>
      <c r="B291" s="63" t="s">
        <v>1131</v>
      </c>
      <c r="C291" s="148" t="s">
        <v>182</v>
      </c>
      <c r="D291" s="113" t="s">
        <v>183</v>
      </c>
      <c r="E291" s="129"/>
      <c r="F291" s="129">
        <v>40571</v>
      </c>
      <c r="G291" s="69" t="str">
        <f>IF(stdProdLT(Main[[#This Row],[Comments]])=0.1,"N/A",IF(stdProdLT(Main[[#This Row],[Comments]])=0,"",stdProdLT(Main[[#This Row],[Comments]])))</f>
        <v/>
      </c>
      <c r="H291" s="138" t="str">
        <f>IF(Main[[#This Row],[In Stock Date]]="N/A", "N/A",IF(AND(Main[[#This Row],[In Stock Date]]&lt;&gt;"",Main[[#This Row],[Revised Due Date]]&lt;&gt;"",Main[[#This Row],[In Stock Date]]&lt;&gt;""),Main[[#This Row],[In Stock Date]]-Main[[#This Row],[Revised Due Date]],""))</f>
        <v/>
      </c>
      <c r="I291" s="139" t="s">
        <v>4</v>
      </c>
      <c r="J291" s="139" t="s">
        <v>28</v>
      </c>
      <c r="K291" s="139" t="s">
        <v>4</v>
      </c>
      <c r="L291" s="129"/>
      <c r="M291" s="114" t="str">
        <f>IF(Main[[#This Row],[Tech Start Date]]&lt;1/1/1990,"",IF(Main[[#This Row],[Class]]="C",WORKDAY(Main[[#This Row],[Tech Start Date]],9),IF(Main[[#This Row],[Class]]="B", WORKDAY(Main[[#This Row],[Tech Start Date]],6),IF(Main[[#This Row],[Class]]="A",WORKDAY(Main[[#This Row],[Tech Start Date]],2),""))))</f>
        <v/>
      </c>
      <c r="N291" s="114" t="str">
        <f>IF(Main[[#This Row],[Tech Start Date]]&lt;1/1/1990,"",IF(Main[[#This Row],[Class]]="C",WORKDAY(Main[[#This Row],[Tech Start Date]],19),IF(Main[[#This Row],[Class]]="B", WORKDAY(Main[[#This Row],[Tech Start Date]],12),IF(Main[[#This Row],[Class]]="A",WORKDAY(Main[[#This Row],[Tech Start Date]],4),""))))</f>
        <v/>
      </c>
      <c r="O291" s="114" t="str">
        <f>IF(Main[[#This Row],[Tech Start Date]]&lt;1/1/1990,"",IF(Main[[#This Row],[Class]]="C",WORKDAY(Main[[#This Row],[Tech Start Date]],23),IF(Main[[#This Row],[Class]]="B", WORKDAY(Main[[#This Row],[Tech Start Date]],15),IF(Main[[#This Row],[Class]]="A",WORKDAY(Main[[#This Row],[Tech Start Date]],5),""))))</f>
        <v/>
      </c>
      <c r="P291" s="114" t="str">
        <f>IF(Main[[#This Row],[Tech Start Date]]&lt;1/1/1990,"",IF(Main[[#This Row],[Class]]="C",WORKDAY(Main[[#This Row],[Tech Start Date]],28),IF(Main[[#This Row],[Class]]="B", WORKDAY(Main[[#This Row],[Tech Start Date]],19),IF(Main[[#This Row],[Class]]="A",WORKDAY(Main[[#This Row],[Tech Start Date]],9),""))))</f>
        <v/>
      </c>
      <c r="Q291" s="129"/>
      <c r="R291" s="129"/>
      <c r="S291" s="139" t="s">
        <v>11</v>
      </c>
      <c r="T291" s="115" t="s">
        <v>4</v>
      </c>
      <c r="U291" s="139" t="s">
        <v>14</v>
      </c>
      <c r="V291" s="139" t="s">
        <v>1914</v>
      </c>
      <c r="W291" s="139" t="s">
        <v>1920</v>
      </c>
      <c r="X291" s="139" t="s">
        <v>50</v>
      </c>
      <c r="Y291" s="112" t="s">
        <v>2999</v>
      </c>
      <c r="Z291" s="112" t="s">
        <v>129</v>
      </c>
      <c r="AA291" s="139" t="s">
        <v>3395</v>
      </c>
    </row>
    <row r="292" spans="1:27" ht="17.25" customHeight="1">
      <c r="A292" s="69" t="str">
        <f>IF(priority(Main[[#This Row],[Comments]])&lt;&gt;0, priority(Main[[#This Row],[Comments]]),"")</f>
        <v/>
      </c>
      <c r="B292" s="63" t="s">
        <v>1132</v>
      </c>
      <c r="C292" s="148" t="s">
        <v>184</v>
      </c>
      <c r="D292" s="113" t="s">
        <v>185</v>
      </c>
      <c r="E292" s="129"/>
      <c r="F292" s="129"/>
      <c r="G292" s="69" t="str">
        <f>IF(stdProdLT(Main[[#This Row],[Comments]])=0.1,"N/A",IF(stdProdLT(Main[[#This Row],[Comments]])=0,"",stdProdLT(Main[[#This Row],[Comments]])))</f>
        <v/>
      </c>
      <c r="H292" s="138" t="str">
        <f>IF(Main[[#This Row],[In Stock Date]]="N/A", "N/A",IF(AND(Main[[#This Row],[In Stock Date]]&lt;&gt;"",Main[[#This Row],[Revised Due Date]]&lt;&gt;"",Main[[#This Row],[In Stock Date]]&lt;&gt;""),Main[[#This Row],[In Stock Date]]-Main[[#This Row],[Revised Due Date]],""))</f>
        <v/>
      </c>
      <c r="I292" s="139" t="s">
        <v>4</v>
      </c>
      <c r="J292" s="139" t="s">
        <v>4</v>
      </c>
      <c r="K292" s="139" t="s">
        <v>4</v>
      </c>
      <c r="L292" s="129"/>
      <c r="M292" s="114" t="str">
        <f>IF(Main[[#This Row],[Tech Start Date]]&lt;1/1/1990,"",IF(Main[[#This Row],[Class]]="C",WORKDAY(Main[[#This Row],[Tech Start Date]],9),IF(Main[[#This Row],[Class]]="B", WORKDAY(Main[[#This Row],[Tech Start Date]],6),IF(Main[[#This Row],[Class]]="A",WORKDAY(Main[[#This Row],[Tech Start Date]],2),""))))</f>
        <v/>
      </c>
      <c r="N292" s="114" t="str">
        <f>IF(Main[[#This Row],[Tech Start Date]]&lt;1/1/1990,"",IF(Main[[#This Row],[Class]]="C",WORKDAY(Main[[#This Row],[Tech Start Date]],19),IF(Main[[#This Row],[Class]]="B", WORKDAY(Main[[#This Row],[Tech Start Date]],12),IF(Main[[#This Row],[Class]]="A",WORKDAY(Main[[#This Row],[Tech Start Date]],4),""))))</f>
        <v/>
      </c>
      <c r="O292" s="114" t="str">
        <f>IF(Main[[#This Row],[Tech Start Date]]&lt;1/1/1990,"",IF(Main[[#This Row],[Class]]="C",WORKDAY(Main[[#This Row],[Tech Start Date]],23),IF(Main[[#This Row],[Class]]="B", WORKDAY(Main[[#This Row],[Tech Start Date]],15),IF(Main[[#This Row],[Class]]="A",WORKDAY(Main[[#This Row],[Tech Start Date]],5),""))))</f>
        <v/>
      </c>
      <c r="P292" s="114" t="str">
        <f>IF(Main[[#This Row],[Tech Start Date]]&lt;1/1/1990,"",IF(Main[[#This Row],[Class]]="C",WORKDAY(Main[[#This Row],[Tech Start Date]],28),IF(Main[[#This Row],[Class]]="B", WORKDAY(Main[[#This Row],[Tech Start Date]],19),IF(Main[[#This Row],[Class]]="A",WORKDAY(Main[[#This Row],[Tech Start Date]],9),""))))</f>
        <v/>
      </c>
      <c r="Q292" s="129">
        <v>40116</v>
      </c>
      <c r="R292" s="129"/>
      <c r="S292" s="139" t="s">
        <v>11</v>
      </c>
      <c r="T292" s="115" t="s">
        <v>4</v>
      </c>
      <c r="U292" s="139" t="s">
        <v>14</v>
      </c>
      <c r="V292" s="139" t="s">
        <v>1917</v>
      </c>
      <c r="W292" s="139" t="s">
        <v>1916</v>
      </c>
      <c r="X292" s="139" t="s">
        <v>2863</v>
      </c>
      <c r="Y292" s="112" t="s">
        <v>4</v>
      </c>
      <c r="Z292" s="112" t="s">
        <v>4</v>
      </c>
      <c r="AA292" s="139" t="s">
        <v>2863</v>
      </c>
    </row>
    <row r="293" spans="1:27" ht="17.25" customHeight="1">
      <c r="A293" s="69" t="str">
        <f>IF(priority(Main[[#This Row],[Comments]])&lt;&gt;0, priority(Main[[#This Row],[Comments]]),"")</f>
        <v/>
      </c>
      <c r="B293" s="63" t="s">
        <v>1134</v>
      </c>
      <c r="C293" s="148" t="s">
        <v>187</v>
      </c>
      <c r="D293" s="113" t="s">
        <v>188</v>
      </c>
      <c r="E293" s="129"/>
      <c r="F293" s="129">
        <v>40263</v>
      </c>
      <c r="G293" s="69" t="str">
        <f>IF(stdProdLT(Main[[#This Row],[Comments]])=0.1,"N/A",IF(stdProdLT(Main[[#This Row],[Comments]])=0,"",stdProdLT(Main[[#This Row],[Comments]])))</f>
        <v/>
      </c>
      <c r="H293" s="138" t="str">
        <f>IF(Main[[#This Row],[In Stock Date]]="N/A", "N/A",IF(AND(Main[[#This Row],[In Stock Date]]&lt;&gt;"",Main[[#This Row],[Revised Due Date]]&lt;&gt;"",Main[[#This Row],[In Stock Date]]&lt;&gt;""),Main[[#This Row],[In Stock Date]]-Main[[#This Row],[Revised Due Date]],""))</f>
        <v/>
      </c>
      <c r="I293" s="139" t="s">
        <v>4</v>
      </c>
      <c r="J293" s="139" t="s">
        <v>4</v>
      </c>
      <c r="K293" s="139" t="s">
        <v>4</v>
      </c>
      <c r="L293" s="129"/>
      <c r="M293" s="114" t="str">
        <f>IF(Main[[#This Row],[Tech Start Date]]&lt;1/1/1990,"",IF(Main[[#This Row],[Class]]="C",WORKDAY(Main[[#This Row],[Tech Start Date]],9),IF(Main[[#This Row],[Class]]="B", WORKDAY(Main[[#This Row],[Tech Start Date]],6),IF(Main[[#This Row],[Class]]="A",WORKDAY(Main[[#This Row],[Tech Start Date]],2),""))))</f>
        <v/>
      </c>
      <c r="N293" s="114" t="str">
        <f>IF(Main[[#This Row],[Tech Start Date]]&lt;1/1/1990,"",IF(Main[[#This Row],[Class]]="C",WORKDAY(Main[[#This Row],[Tech Start Date]],19),IF(Main[[#This Row],[Class]]="B", WORKDAY(Main[[#This Row],[Tech Start Date]],12),IF(Main[[#This Row],[Class]]="A",WORKDAY(Main[[#This Row],[Tech Start Date]],4),""))))</f>
        <v/>
      </c>
      <c r="O293" s="114" t="str">
        <f>IF(Main[[#This Row],[Tech Start Date]]&lt;1/1/1990,"",IF(Main[[#This Row],[Class]]="C",WORKDAY(Main[[#This Row],[Tech Start Date]],23),IF(Main[[#This Row],[Class]]="B", WORKDAY(Main[[#This Row],[Tech Start Date]],15),IF(Main[[#This Row],[Class]]="A",WORKDAY(Main[[#This Row],[Tech Start Date]],5),""))))</f>
        <v/>
      </c>
      <c r="P293" s="114" t="str">
        <f>IF(Main[[#This Row],[Tech Start Date]]&lt;1/1/1990,"",IF(Main[[#This Row],[Class]]="C",WORKDAY(Main[[#This Row],[Tech Start Date]],28),IF(Main[[#This Row],[Class]]="B", WORKDAY(Main[[#This Row],[Tech Start Date]],19),IF(Main[[#This Row],[Class]]="A",WORKDAY(Main[[#This Row],[Tech Start Date]],9),""))))</f>
        <v/>
      </c>
      <c r="Q293" s="129">
        <v>40295</v>
      </c>
      <c r="R293" s="129"/>
      <c r="S293" s="139" t="s">
        <v>11</v>
      </c>
      <c r="T293" s="115" t="s">
        <v>4</v>
      </c>
      <c r="U293" s="139" t="s">
        <v>14</v>
      </c>
      <c r="V293" s="139" t="s">
        <v>1917</v>
      </c>
      <c r="W293" s="139" t="s">
        <v>1920</v>
      </c>
      <c r="X293" s="139" t="s">
        <v>306</v>
      </c>
      <c r="Y293" s="112" t="s">
        <v>4</v>
      </c>
      <c r="Z293" s="112" t="s">
        <v>4</v>
      </c>
      <c r="AA293" s="139" t="s">
        <v>306</v>
      </c>
    </row>
    <row r="294" spans="1:27" ht="17.25" customHeight="1">
      <c r="A294" s="69" t="str">
        <f>IF(priority(Main[[#This Row],[Comments]])&lt;&gt;0, priority(Main[[#This Row],[Comments]]),"")</f>
        <v/>
      </c>
      <c r="B294" s="63" t="s">
        <v>1135</v>
      </c>
      <c r="C294" s="148" t="s">
        <v>4</v>
      </c>
      <c r="D294" s="113" t="s">
        <v>189</v>
      </c>
      <c r="E294" s="129"/>
      <c r="F294" s="129"/>
      <c r="G294" s="69" t="str">
        <f>IF(stdProdLT(Main[[#This Row],[Comments]])=0.1,"N/A",IF(stdProdLT(Main[[#This Row],[Comments]])=0,"",stdProdLT(Main[[#This Row],[Comments]])))</f>
        <v/>
      </c>
      <c r="H294" s="138" t="str">
        <f>IF(Main[[#This Row],[In Stock Date]]="N/A", "N/A",IF(AND(Main[[#This Row],[In Stock Date]]&lt;&gt;"",Main[[#This Row],[Revised Due Date]]&lt;&gt;"",Main[[#This Row],[In Stock Date]]&lt;&gt;""),Main[[#This Row],[In Stock Date]]-Main[[#This Row],[Revised Due Date]],""))</f>
        <v/>
      </c>
      <c r="I294" s="139" t="s">
        <v>4</v>
      </c>
      <c r="J294" s="139" t="s">
        <v>4</v>
      </c>
      <c r="K294" s="140" t="s">
        <v>4</v>
      </c>
      <c r="L294" s="129"/>
      <c r="M294" s="114" t="str">
        <f>IF(Main[[#This Row],[Tech Start Date]]&lt;1/1/1990,"",IF(Main[[#This Row],[Class]]="C",WORKDAY(Main[[#This Row],[Tech Start Date]],9),IF(Main[[#This Row],[Class]]="B", WORKDAY(Main[[#This Row],[Tech Start Date]],6),IF(Main[[#This Row],[Class]]="A",WORKDAY(Main[[#This Row],[Tech Start Date]],2),""))))</f>
        <v/>
      </c>
      <c r="N294" s="114" t="str">
        <f>IF(Main[[#This Row],[Tech Start Date]]&lt;1/1/1990,"",IF(Main[[#This Row],[Class]]="C",WORKDAY(Main[[#This Row],[Tech Start Date]],19),IF(Main[[#This Row],[Class]]="B", WORKDAY(Main[[#This Row],[Tech Start Date]],12),IF(Main[[#This Row],[Class]]="A",WORKDAY(Main[[#This Row],[Tech Start Date]],4),""))))</f>
        <v/>
      </c>
      <c r="O294" s="114" t="str">
        <f>IF(Main[[#This Row],[Tech Start Date]]&lt;1/1/1990,"",IF(Main[[#This Row],[Class]]="C",WORKDAY(Main[[#This Row],[Tech Start Date]],23),IF(Main[[#This Row],[Class]]="B", WORKDAY(Main[[#This Row],[Tech Start Date]],15),IF(Main[[#This Row],[Class]]="A",WORKDAY(Main[[#This Row],[Tech Start Date]],5),""))))</f>
        <v/>
      </c>
      <c r="P294" s="114" t="str">
        <f>IF(Main[[#This Row],[Tech Start Date]]&lt;1/1/1990,"",IF(Main[[#This Row],[Class]]="C",WORKDAY(Main[[#This Row],[Tech Start Date]],28),IF(Main[[#This Row],[Class]]="B", WORKDAY(Main[[#This Row],[Tech Start Date]],19),IF(Main[[#This Row],[Class]]="A",WORKDAY(Main[[#This Row],[Tech Start Date]],9),""))))</f>
        <v/>
      </c>
      <c r="Q294" s="129"/>
      <c r="R294" s="129"/>
      <c r="S294" s="139" t="s">
        <v>4</v>
      </c>
      <c r="T294" s="115" t="s">
        <v>4</v>
      </c>
      <c r="U294" s="139" t="s">
        <v>14</v>
      </c>
      <c r="V294" s="139" t="s">
        <v>1917</v>
      </c>
      <c r="W294" s="139" t="s">
        <v>4</v>
      </c>
      <c r="X294" s="139" t="s">
        <v>968</v>
      </c>
      <c r="Y294" s="112" t="s">
        <v>4</v>
      </c>
      <c r="Z294" s="112" t="s">
        <v>4</v>
      </c>
      <c r="AA294" s="139" t="s">
        <v>4</v>
      </c>
    </row>
    <row r="295" spans="1:27" ht="17.25" customHeight="1">
      <c r="A295" s="69" t="str">
        <f>IF(priority(Main[[#This Row],[Comments]])&lt;&gt;0, priority(Main[[#This Row],[Comments]]),"")</f>
        <v/>
      </c>
      <c r="B295" s="63" t="s">
        <v>1136</v>
      </c>
      <c r="C295" s="148" t="s">
        <v>93</v>
      </c>
      <c r="D295" s="113" t="s">
        <v>190</v>
      </c>
      <c r="E295" s="129"/>
      <c r="F295" s="129">
        <v>40132</v>
      </c>
      <c r="G295" s="69" t="str">
        <f>IF(stdProdLT(Main[[#This Row],[Comments]])=0.1,"N/A",IF(stdProdLT(Main[[#This Row],[Comments]])=0,"",stdProdLT(Main[[#This Row],[Comments]])))</f>
        <v/>
      </c>
      <c r="H295" s="138" t="str">
        <f>IF(Main[[#This Row],[In Stock Date]]="N/A", "N/A",IF(AND(Main[[#This Row],[In Stock Date]]&lt;&gt;"",Main[[#This Row],[Revised Due Date]]&lt;&gt;"",Main[[#This Row],[In Stock Date]]&lt;&gt;""),Main[[#This Row],[In Stock Date]]-Main[[#This Row],[Revised Due Date]],""))</f>
        <v/>
      </c>
      <c r="I295" s="139" t="s">
        <v>4</v>
      </c>
      <c r="J295" s="139" t="s">
        <v>4</v>
      </c>
      <c r="K295" s="139" t="s">
        <v>4</v>
      </c>
      <c r="L295" s="129"/>
      <c r="M295" s="114" t="str">
        <f>IF(Main[[#This Row],[Tech Start Date]]&lt;1/1/1990,"",IF(Main[[#This Row],[Class]]="C",WORKDAY(Main[[#This Row],[Tech Start Date]],9),IF(Main[[#This Row],[Class]]="B", WORKDAY(Main[[#This Row],[Tech Start Date]],6),IF(Main[[#This Row],[Class]]="A",WORKDAY(Main[[#This Row],[Tech Start Date]],2),""))))</f>
        <v/>
      </c>
      <c r="N295" s="114" t="str">
        <f>IF(Main[[#This Row],[Tech Start Date]]&lt;1/1/1990,"",IF(Main[[#This Row],[Class]]="C",WORKDAY(Main[[#This Row],[Tech Start Date]],19),IF(Main[[#This Row],[Class]]="B", WORKDAY(Main[[#This Row],[Tech Start Date]],12),IF(Main[[#This Row],[Class]]="A",WORKDAY(Main[[#This Row],[Tech Start Date]],4),""))))</f>
        <v/>
      </c>
      <c r="O295" s="114" t="str">
        <f>IF(Main[[#This Row],[Tech Start Date]]&lt;1/1/1990,"",IF(Main[[#This Row],[Class]]="C",WORKDAY(Main[[#This Row],[Tech Start Date]],23),IF(Main[[#This Row],[Class]]="B", WORKDAY(Main[[#This Row],[Tech Start Date]],15),IF(Main[[#This Row],[Class]]="A",WORKDAY(Main[[#This Row],[Tech Start Date]],5),""))))</f>
        <v/>
      </c>
      <c r="P295" s="114" t="str">
        <f>IF(Main[[#This Row],[Tech Start Date]]&lt;1/1/1990,"",IF(Main[[#This Row],[Class]]="C",WORKDAY(Main[[#This Row],[Tech Start Date]],28),IF(Main[[#This Row],[Class]]="B", WORKDAY(Main[[#This Row],[Tech Start Date]],19),IF(Main[[#This Row],[Class]]="A",WORKDAY(Main[[#This Row],[Tech Start Date]],9),""))))</f>
        <v/>
      </c>
      <c r="Q295" s="129">
        <v>40132</v>
      </c>
      <c r="R295" s="129"/>
      <c r="S295" s="139" t="s">
        <v>11</v>
      </c>
      <c r="T295" s="115" t="s">
        <v>4</v>
      </c>
      <c r="U295" s="139" t="s">
        <v>14</v>
      </c>
      <c r="V295" s="139" t="s">
        <v>1917</v>
      </c>
      <c r="W295" s="139" t="s">
        <v>1925</v>
      </c>
      <c r="X295" s="139" t="s">
        <v>2856</v>
      </c>
      <c r="Y295" s="112" t="s">
        <v>4</v>
      </c>
      <c r="Z295" s="112" t="s">
        <v>4</v>
      </c>
      <c r="AA295" s="139" t="s">
        <v>2856</v>
      </c>
    </row>
    <row r="296" spans="1:27" ht="17.25" customHeight="1">
      <c r="A296" s="69" t="str">
        <f>IF(priority(Main[[#This Row],[Comments]])&lt;&gt;0, priority(Main[[#This Row],[Comments]]),"")</f>
        <v/>
      </c>
      <c r="B296" s="63" t="s">
        <v>1137</v>
      </c>
      <c r="C296" s="148" t="s">
        <v>93</v>
      </c>
      <c r="D296" s="113" t="s">
        <v>191</v>
      </c>
      <c r="E296" s="129"/>
      <c r="F296" s="129">
        <v>40132</v>
      </c>
      <c r="G296" s="69" t="str">
        <f>IF(stdProdLT(Main[[#This Row],[Comments]])=0.1,"N/A",IF(stdProdLT(Main[[#This Row],[Comments]])=0,"",stdProdLT(Main[[#This Row],[Comments]])))</f>
        <v/>
      </c>
      <c r="H296" s="138" t="str">
        <f>IF(Main[[#This Row],[In Stock Date]]="N/A", "N/A",IF(AND(Main[[#This Row],[In Stock Date]]&lt;&gt;"",Main[[#This Row],[Revised Due Date]]&lt;&gt;"",Main[[#This Row],[In Stock Date]]&lt;&gt;""),Main[[#This Row],[In Stock Date]]-Main[[#This Row],[Revised Due Date]],""))</f>
        <v/>
      </c>
      <c r="I296" s="139" t="s">
        <v>4</v>
      </c>
      <c r="J296" s="139" t="s">
        <v>4</v>
      </c>
      <c r="K296" s="139" t="s">
        <v>4</v>
      </c>
      <c r="L296" s="129"/>
      <c r="M296" s="114" t="str">
        <f>IF(Main[[#This Row],[Tech Start Date]]&lt;1/1/1990,"",IF(Main[[#This Row],[Class]]="C",WORKDAY(Main[[#This Row],[Tech Start Date]],9),IF(Main[[#This Row],[Class]]="B", WORKDAY(Main[[#This Row],[Tech Start Date]],6),IF(Main[[#This Row],[Class]]="A",WORKDAY(Main[[#This Row],[Tech Start Date]],2),""))))</f>
        <v/>
      </c>
      <c r="N296" s="114" t="str">
        <f>IF(Main[[#This Row],[Tech Start Date]]&lt;1/1/1990,"",IF(Main[[#This Row],[Class]]="C",WORKDAY(Main[[#This Row],[Tech Start Date]],19),IF(Main[[#This Row],[Class]]="B", WORKDAY(Main[[#This Row],[Tech Start Date]],12),IF(Main[[#This Row],[Class]]="A",WORKDAY(Main[[#This Row],[Tech Start Date]],4),""))))</f>
        <v/>
      </c>
      <c r="O296" s="114" t="str">
        <f>IF(Main[[#This Row],[Tech Start Date]]&lt;1/1/1990,"",IF(Main[[#This Row],[Class]]="C",WORKDAY(Main[[#This Row],[Tech Start Date]],23),IF(Main[[#This Row],[Class]]="B", WORKDAY(Main[[#This Row],[Tech Start Date]],15),IF(Main[[#This Row],[Class]]="A",WORKDAY(Main[[#This Row],[Tech Start Date]],5),""))))</f>
        <v/>
      </c>
      <c r="P296" s="114" t="str">
        <f>IF(Main[[#This Row],[Tech Start Date]]&lt;1/1/1990,"",IF(Main[[#This Row],[Class]]="C",WORKDAY(Main[[#This Row],[Tech Start Date]],28),IF(Main[[#This Row],[Class]]="B", WORKDAY(Main[[#This Row],[Tech Start Date]],19),IF(Main[[#This Row],[Class]]="A",WORKDAY(Main[[#This Row],[Tech Start Date]],9),""))))</f>
        <v/>
      </c>
      <c r="Q296" s="129">
        <v>40132</v>
      </c>
      <c r="R296" s="129"/>
      <c r="S296" s="139" t="s">
        <v>11</v>
      </c>
      <c r="T296" s="115" t="s">
        <v>4</v>
      </c>
      <c r="U296" s="139" t="s">
        <v>14</v>
      </c>
      <c r="V296" s="139" t="s">
        <v>1917</v>
      </c>
      <c r="W296" s="139" t="s">
        <v>1925</v>
      </c>
      <c r="X296" s="139" t="s">
        <v>2856</v>
      </c>
      <c r="Y296" s="112" t="s">
        <v>4</v>
      </c>
      <c r="Z296" s="112" t="s">
        <v>4</v>
      </c>
      <c r="AA296" s="139" t="s">
        <v>2856</v>
      </c>
    </row>
    <row r="297" spans="1:27" ht="17.25" customHeight="1">
      <c r="A297" s="69" t="str">
        <f>IF(priority(Main[[#This Row],[Comments]])&lt;&gt;0, priority(Main[[#This Row],[Comments]]),"")</f>
        <v/>
      </c>
      <c r="B297" s="63" t="s">
        <v>1138</v>
      </c>
      <c r="C297" s="148" t="s">
        <v>4</v>
      </c>
      <c r="D297" s="113" t="s">
        <v>192</v>
      </c>
      <c r="E297" s="129">
        <v>40371.395115740743</v>
      </c>
      <c r="F297" s="129"/>
      <c r="G297" s="69" t="str">
        <f>IF(stdProdLT(Main[[#This Row],[Comments]])=0.1,"N/A",IF(stdProdLT(Main[[#This Row],[Comments]])=0,"",stdProdLT(Main[[#This Row],[Comments]])))</f>
        <v/>
      </c>
      <c r="H297" s="138" t="str">
        <f>IF(Main[[#This Row],[In Stock Date]]="N/A", "N/A",IF(AND(Main[[#This Row],[In Stock Date]]&lt;&gt;"",Main[[#This Row],[Revised Due Date]]&lt;&gt;"",Main[[#This Row],[In Stock Date]]&lt;&gt;""),Main[[#This Row],[In Stock Date]]-Main[[#This Row],[Revised Due Date]],""))</f>
        <v/>
      </c>
      <c r="I297" s="139" t="s">
        <v>4</v>
      </c>
      <c r="J297" s="139" t="s">
        <v>4</v>
      </c>
      <c r="K297" s="139" t="s">
        <v>4</v>
      </c>
      <c r="L297" s="129"/>
      <c r="M297" s="114" t="str">
        <f>IF(Main[[#This Row],[Tech Start Date]]&lt;1/1/1990,"",IF(Main[[#This Row],[Class]]="C",WORKDAY(Main[[#This Row],[Tech Start Date]],9),IF(Main[[#This Row],[Class]]="B", WORKDAY(Main[[#This Row],[Tech Start Date]],6),IF(Main[[#This Row],[Class]]="A",WORKDAY(Main[[#This Row],[Tech Start Date]],2),""))))</f>
        <v/>
      </c>
      <c r="N297" s="114" t="str">
        <f>IF(Main[[#This Row],[Tech Start Date]]&lt;1/1/1990,"",IF(Main[[#This Row],[Class]]="C",WORKDAY(Main[[#This Row],[Tech Start Date]],19),IF(Main[[#This Row],[Class]]="B", WORKDAY(Main[[#This Row],[Tech Start Date]],12),IF(Main[[#This Row],[Class]]="A",WORKDAY(Main[[#This Row],[Tech Start Date]],4),""))))</f>
        <v/>
      </c>
      <c r="O297" s="114" t="str">
        <f>IF(Main[[#This Row],[Tech Start Date]]&lt;1/1/1990,"",IF(Main[[#This Row],[Class]]="C",WORKDAY(Main[[#This Row],[Tech Start Date]],23),IF(Main[[#This Row],[Class]]="B", WORKDAY(Main[[#This Row],[Tech Start Date]],15),IF(Main[[#This Row],[Class]]="A",WORKDAY(Main[[#This Row],[Tech Start Date]],5),""))))</f>
        <v/>
      </c>
      <c r="P297" s="114" t="str">
        <f>IF(Main[[#This Row],[Tech Start Date]]&lt;1/1/1990,"",IF(Main[[#This Row],[Class]]="C",WORKDAY(Main[[#This Row],[Tech Start Date]],28),IF(Main[[#This Row],[Class]]="B", WORKDAY(Main[[#This Row],[Tech Start Date]],19),IF(Main[[#This Row],[Class]]="A",WORKDAY(Main[[#This Row],[Tech Start Date]],9),""))))</f>
        <v/>
      </c>
      <c r="Q297" s="129">
        <v>40385</v>
      </c>
      <c r="R297" s="129"/>
      <c r="S297" s="139" t="s">
        <v>6</v>
      </c>
      <c r="T297" s="115" t="s">
        <v>4</v>
      </c>
      <c r="U297" s="139" t="s">
        <v>7</v>
      </c>
      <c r="V297" s="139" t="s">
        <v>1914</v>
      </c>
      <c r="W297" s="139" t="s">
        <v>1916</v>
      </c>
      <c r="X297" s="139" t="s">
        <v>102</v>
      </c>
      <c r="Y297" s="112" t="s">
        <v>3001</v>
      </c>
      <c r="Z297" s="112" t="s">
        <v>4</v>
      </c>
      <c r="AA297" s="139" t="s">
        <v>3396</v>
      </c>
    </row>
    <row r="298" spans="1:27" ht="17.25" customHeight="1">
      <c r="A298" s="69" t="str">
        <f>IF(priority(Main[[#This Row],[Comments]])&lt;&gt;0, priority(Main[[#This Row],[Comments]]),"")</f>
        <v/>
      </c>
      <c r="B298" s="63" t="s">
        <v>1139</v>
      </c>
      <c r="C298" s="148" t="s">
        <v>53</v>
      </c>
      <c r="D298" s="113" t="s">
        <v>193</v>
      </c>
      <c r="E298" s="129"/>
      <c r="F298" s="129"/>
      <c r="G298" s="69" t="str">
        <f>IF(stdProdLT(Main[[#This Row],[Comments]])=0.1,"N/A",IF(stdProdLT(Main[[#This Row],[Comments]])=0,"",stdProdLT(Main[[#This Row],[Comments]])))</f>
        <v/>
      </c>
      <c r="H298" s="138" t="str">
        <f>IF(Main[[#This Row],[In Stock Date]]="N/A", "N/A",IF(AND(Main[[#This Row],[In Stock Date]]&lt;&gt;"",Main[[#This Row],[Revised Due Date]]&lt;&gt;"",Main[[#This Row],[In Stock Date]]&lt;&gt;""),Main[[#This Row],[In Stock Date]]-Main[[#This Row],[Revised Due Date]],""))</f>
        <v/>
      </c>
      <c r="I298" s="139" t="s">
        <v>4</v>
      </c>
      <c r="J298" s="139" t="s">
        <v>28</v>
      </c>
      <c r="K298" s="139" t="s">
        <v>1921</v>
      </c>
      <c r="L298" s="129"/>
      <c r="M298" s="114" t="str">
        <f>IF(Main[[#This Row],[Tech Start Date]]&lt;1/1/1990,"",IF(Main[[#This Row],[Class]]="C",WORKDAY(Main[[#This Row],[Tech Start Date]],9),IF(Main[[#This Row],[Class]]="B", WORKDAY(Main[[#This Row],[Tech Start Date]],6),IF(Main[[#This Row],[Class]]="A",WORKDAY(Main[[#This Row],[Tech Start Date]],2),""))))</f>
        <v/>
      </c>
      <c r="N298" s="114" t="str">
        <f>IF(Main[[#This Row],[Tech Start Date]]&lt;1/1/1990,"",IF(Main[[#This Row],[Class]]="C",WORKDAY(Main[[#This Row],[Tech Start Date]],19),IF(Main[[#This Row],[Class]]="B", WORKDAY(Main[[#This Row],[Tech Start Date]],12),IF(Main[[#This Row],[Class]]="A",WORKDAY(Main[[#This Row],[Tech Start Date]],4),""))))</f>
        <v/>
      </c>
      <c r="O298" s="114" t="str">
        <f>IF(Main[[#This Row],[Tech Start Date]]&lt;1/1/1990,"",IF(Main[[#This Row],[Class]]="C",WORKDAY(Main[[#This Row],[Tech Start Date]],23),IF(Main[[#This Row],[Class]]="B", WORKDAY(Main[[#This Row],[Tech Start Date]],15),IF(Main[[#This Row],[Class]]="A",WORKDAY(Main[[#This Row],[Tech Start Date]],5),""))))</f>
        <v/>
      </c>
      <c r="P298" s="114" t="str">
        <f>IF(Main[[#This Row],[Tech Start Date]]&lt;1/1/1990,"",IF(Main[[#This Row],[Class]]="C",WORKDAY(Main[[#This Row],[Tech Start Date]],28),IF(Main[[#This Row],[Class]]="B", WORKDAY(Main[[#This Row],[Tech Start Date]],19),IF(Main[[#This Row],[Class]]="A",WORKDAY(Main[[#This Row],[Tech Start Date]],9),""))))</f>
        <v/>
      </c>
      <c r="Q298" s="129">
        <v>40581</v>
      </c>
      <c r="R298" s="129"/>
      <c r="S298" s="139" t="s">
        <v>11</v>
      </c>
      <c r="T298" s="115" t="s">
        <v>4</v>
      </c>
      <c r="U298" s="139" t="s">
        <v>14</v>
      </c>
      <c r="V298" s="139" t="s">
        <v>1915</v>
      </c>
      <c r="W298" s="139" t="s">
        <v>1916</v>
      </c>
      <c r="X298" s="139" t="s">
        <v>2816</v>
      </c>
      <c r="Y298" s="112" t="s">
        <v>2928</v>
      </c>
      <c r="Z298" s="112" t="s">
        <v>3159</v>
      </c>
      <c r="AA298" s="139" t="s">
        <v>2816</v>
      </c>
    </row>
    <row r="299" spans="1:27" ht="17.25" customHeight="1">
      <c r="A299" s="69" t="str">
        <f>IF(priority(Main[[#This Row],[Comments]])&lt;&gt;0, priority(Main[[#This Row],[Comments]]),"")</f>
        <v/>
      </c>
      <c r="B299" s="63" t="s">
        <v>1842</v>
      </c>
      <c r="C299" s="148" t="s">
        <v>4</v>
      </c>
      <c r="D299" s="113" t="s">
        <v>899</v>
      </c>
      <c r="E299" s="129"/>
      <c r="F299" s="129"/>
      <c r="G299" s="69" t="str">
        <f>IF(stdProdLT(Main[[#This Row],[Comments]])=0.1,"N/A",IF(stdProdLT(Main[[#This Row],[Comments]])=0,"",stdProdLT(Main[[#This Row],[Comments]])))</f>
        <v/>
      </c>
      <c r="H299" s="138" t="str">
        <f>IF(Main[[#This Row],[In Stock Date]]="N/A", "N/A",IF(AND(Main[[#This Row],[In Stock Date]]&lt;&gt;"",Main[[#This Row],[Revised Due Date]]&lt;&gt;"",Main[[#This Row],[In Stock Date]]&lt;&gt;""),Main[[#This Row],[In Stock Date]]-Main[[#This Row],[Revised Due Date]],""))</f>
        <v/>
      </c>
      <c r="I299" s="139" t="s">
        <v>102</v>
      </c>
      <c r="J299" s="139" t="s">
        <v>52</v>
      </c>
      <c r="K299" s="139" t="s">
        <v>1923</v>
      </c>
      <c r="L299" s="129"/>
      <c r="M299" s="114" t="str">
        <f>IF(Main[[#This Row],[Tech Start Date]]&lt;1/1/1990,"",IF(Main[[#This Row],[Class]]="C",WORKDAY(Main[[#This Row],[Tech Start Date]],9),IF(Main[[#This Row],[Class]]="B", WORKDAY(Main[[#This Row],[Tech Start Date]],6),IF(Main[[#This Row],[Class]]="A",WORKDAY(Main[[#This Row],[Tech Start Date]],2),""))))</f>
        <v/>
      </c>
      <c r="N299" s="114" t="str">
        <f>IF(Main[[#This Row],[Tech Start Date]]&lt;1/1/1990,"",IF(Main[[#This Row],[Class]]="C",WORKDAY(Main[[#This Row],[Tech Start Date]],19),IF(Main[[#This Row],[Class]]="B", WORKDAY(Main[[#This Row],[Tech Start Date]],12),IF(Main[[#This Row],[Class]]="A",WORKDAY(Main[[#This Row],[Tech Start Date]],4),""))))</f>
        <v/>
      </c>
      <c r="O299" s="114" t="str">
        <f>IF(Main[[#This Row],[Tech Start Date]]&lt;1/1/1990,"",IF(Main[[#This Row],[Class]]="C",WORKDAY(Main[[#This Row],[Tech Start Date]],23),IF(Main[[#This Row],[Class]]="B", WORKDAY(Main[[#This Row],[Tech Start Date]],15),IF(Main[[#This Row],[Class]]="A",WORKDAY(Main[[#This Row],[Tech Start Date]],5),""))))</f>
        <v/>
      </c>
      <c r="P299" s="114" t="str">
        <f>IF(Main[[#This Row],[Tech Start Date]]&lt;1/1/1990,"",IF(Main[[#This Row],[Class]]="C",WORKDAY(Main[[#This Row],[Tech Start Date]],28),IF(Main[[#This Row],[Class]]="B", WORKDAY(Main[[#This Row],[Tech Start Date]],19),IF(Main[[#This Row],[Class]]="A",WORKDAY(Main[[#This Row],[Tech Start Date]],9),""))))</f>
        <v/>
      </c>
      <c r="Q299" s="129"/>
      <c r="R299" s="129">
        <v>40494</v>
      </c>
      <c r="S299" s="139" t="s">
        <v>6</v>
      </c>
      <c r="T299" s="115" t="s">
        <v>4</v>
      </c>
      <c r="U299" s="139" t="s">
        <v>14</v>
      </c>
      <c r="V299" s="139" t="s">
        <v>1914</v>
      </c>
      <c r="W299" s="139" t="s">
        <v>1928</v>
      </c>
      <c r="X299" s="139" t="s">
        <v>2052</v>
      </c>
      <c r="Y299" s="112" t="s">
        <v>3002</v>
      </c>
      <c r="Z299" s="112" t="s">
        <v>3160</v>
      </c>
      <c r="AA299" s="139" t="s">
        <v>2052</v>
      </c>
    </row>
    <row r="300" spans="1:27" ht="17.25" customHeight="1">
      <c r="A300" s="69" t="str">
        <f>IF(priority(Main[[#This Row],[Comments]])&lt;&gt;0, priority(Main[[#This Row],[Comments]]),"")</f>
        <v/>
      </c>
      <c r="B300" s="63" t="s">
        <v>1158</v>
      </c>
      <c r="C300" s="148" t="s">
        <v>4</v>
      </c>
      <c r="D300" s="113" t="s">
        <v>2347</v>
      </c>
      <c r="E300" s="129">
        <v>40436.507916666669</v>
      </c>
      <c r="F300" s="129"/>
      <c r="G300" s="69" t="str">
        <f>IF(stdProdLT(Main[[#This Row],[Comments]])=0.1,"N/A",IF(stdProdLT(Main[[#This Row],[Comments]])=0,"",stdProdLT(Main[[#This Row],[Comments]])))</f>
        <v/>
      </c>
      <c r="H300" s="138" t="str">
        <f>IF(Main[[#This Row],[In Stock Date]]="N/A", "N/A",IF(AND(Main[[#This Row],[In Stock Date]]&lt;&gt;"",Main[[#This Row],[Revised Due Date]]&lt;&gt;"",Main[[#This Row],[In Stock Date]]&lt;&gt;""),Main[[#This Row],[In Stock Date]]-Main[[#This Row],[Revised Due Date]],""))</f>
        <v/>
      </c>
      <c r="I300" s="139" t="s">
        <v>912</v>
      </c>
      <c r="J300" s="139" t="s">
        <v>52</v>
      </c>
      <c r="K300" s="139" t="s">
        <v>4</v>
      </c>
      <c r="L300" s="129"/>
      <c r="M300" s="114" t="str">
        <f>IF(Main[[#This Row],[Tech Start Date]]&lt;1/1/1990,"",IF(Main[[#This Row],[Class]]="C",WORKDAY(Main[[#This Row],[Tech Start Date]],9),IF(Main[[#This Row],[Class]]="B", WORKDAY(Main[[#This Row],[Tech Start Date]],6),IF(Main[[#This Row],[Class]]="A",WORKDAY(Main[[#This Row],[Tech Start Date]],2),""))))</f>
        <v/>
      </c>
      <c r="N300" s="114" t="str">
        <f>IF(Main[[#This Row],[Tech Start Date]]&lt;1/1/1990,"",IF(Main[[#This Row],[Class]]="C",WORKDAY(Main[[#This Row],[Tech Start Date]],19),IF(Main[[#This Row],[Class]]="B", WORKDAY(Main[[#This Row],[Tech Start Date]],12),IF(Main[[#This Row],[Class]]="A",WORKDAY(Main[[#This Row],[Tech Start Date]],4),""))))</f>
        <v/>
      </c>
      <c r="O300" s="114" t="str">
        <f>IF(Main[[#This Row],[Tech Start Date]]&lt;1/1/1990,"",IF(Main[[#This Row],[Class]]="C",WORKDAY(Main[[#This Row],[Tech Start Date]],23),IF(Main[[#This Row],[Class]]="B", WORKDAY(Main[[#This Row],[Tech Start Date]],15),IF(Main[[#This Row],[Class]]="A",WORKDAY(Main[[#This Row],[Tech Start Date]],5),""))))</f>
        <v/>
      </c>
      <c r="P300" s="114" t="str">
        <f>IF(Main[[#This Row],[Tech Start Date]]&lt;1/1/1990,"",IF(Main[[#This Row],[Class]]="C",WORKDAY(Main[[#This Row],[Tech Start Date]],28),IF(Main[[#This Row],[Class]]="B", WORKDAY(Main[[#This Row],[Tech Start Date]],19),IF(Main[[#This Row],[Class]]="A",WORKDAY(Main[[#This Row],[Tech Start Date]],9),""))))</f>
        <v/>
      </c>
      <c r="Q300" s="129">
        <v>40451</v>
      </c>
      <c r="R300" s="129"/>
      <c r="S300" s="139" t="s">
        <v>6</v>
      </c>
      <c r="T300" s="115" t="s">
        <v>4</v>
      </c>
      <c r="U300" s="139" t="s">
        <v>29</v>
      </c>
      <c r="V300" s="139" t="s">
        <v>1914</v>
      </c>
      <c r="W300" s="139" t="s">
        <v>1916</v>
      </c>
      <c r="X300" s="139" t="s">
        <v>2867</v>
      </c>
      <c r="Y300" s="112" t="s">
        <v>3003</v>
      </c>
      <c r="Z300" s="112" t="s">
        <v>530</v>
      </c>
      <c r="AA300" s="139" t="s">
        <v>2867</v>
      </c>
    </row>
    <row r="301" spans="1:27" ht="17.25" customHeight="1">
      <c r="A301" s="69" t="str">
        <f>IF(priority(Main[[#This Row],[Comments]])&lt;&gt;0, priority(Main[[#This Row],[Comments]]),"")</f>
        <v/>
      </c>
      <c r="B301" s="63" t="s">
        <v>1305</v>
      </c>
      <c r="C301" s="148" t="s">
        <v>47</v>
      </c>
      <c r="D301" s="113" t="s">
        <v>2012</v>
      </c>
      <c r="E301" s="129">
        <v>39952.315729166665</v>
      </c>
      <c r="F301" s="129"/>
      <c r="G301" s="69" t="str">
        <f>IF(stdProdLT(Main[[#This Row],[Comments]])=0.1,"N/A",IF(stdProdLT(Main[[#This Row],[Comments]])=0,"",stdProdLT(Main[[#This Row],[Comments]])))</f>
        <v/>
      </c>
      <c r="H301" s="138" t="str">
        <f>IF(Main[[#This Row],[In Stock Date]]="N/A", "N/A",IF(AND(Main[[#This Row],[In Stock Date]]&lt;&gt;"",Main[[#This Row],[Revised Due Date]]&lt;&gt;"",Main[[#This Row],[In Stock Date]]&lt;&gt;""),Main[[#This Row],[In Stock Date]]-Main[[#This Row],[Revised Due Date]],""))</f>
        <v/>
      </c>
      <c r="I301" s="139" t="s">
        <v>2013</v>
      </c>
      <c r="J301" s="139" t="s">
        <v>28</v>
      </c>
      <c r="K301" s="139" t="s">
        <v>4</v>
      </c>
      <c r="L301" s="129"/>
      <c r="M301" s="114" t="str">
        <f>IF(Main[[#This Row],[Tech Start Date]]&lt;1/1/1990,"",IF(Main[[#This Row],[Class]]="C",WORKDAY(Main[[#This Row],[Tech Start Date]],9),IF(Main[[#This Row],[Class]]="B", WORKDAY(Main[[#This Row],[Tech Start Date]],6),IF(Main[[#This Row],[Class]]="A",WORKDAY(Main[[#This Row],[Tech Start Date]],2),""))))</f>
        <v/>
      </c>
      <c r="N301" s="114" t="str">
        <f>IF(Main[[#This Row],[Tech Start Date]]&lt;1/1/1990,"",IF(Main[[#This Row],[Class]]="C",WORKDAY(Main[[#This Row],[Tech Start Date]],19),IF(Main[[#This Row],[Class]]="B", WORKDAY(Main[[#This Row],[Tech Start Date]],12),IF(Main[[#This Row],[Class]]="A",WORKDAY(Main[[#This Row],[Tech Start Date]],4),""))))</f>
        <v/>
      </c>
      <c r="O301" s="114" t="str">
        <f>IF(Main[[#This Row],[Tech Start Date]]&lt;1/1/1990,"",IF(Main[[#This Row],[Class]]="C",WORKDAY(Main[[#This Row],[Tech Start Date]],23),IF(Main[[#This Row],[Class]]="B", WORKDAY(Main[[#This Row],[Tech Start Date]],15),IF(Main[[#This Row],[Class]]="A",WORKDAY(Main[[#This Row],[Tech Start Date]],5),""))))</f>
        <v/>
      </c>
      <c r="P301" s="114" t="str">
        <f>IF(Main[[#This Row],[Tech Start Date]]&lt;1/1/1990,"",IF(Main[[#This Row],[Class]]="C",WORKDAY(Main[[#This Row],[Tech Start Date]],28),IF(Main[[#This Row],[Class]]="B", WORKDAY(Main[[#This Row],[Tech Start Date]],19),IF(Main[[#This Row],[Class]]="A",WORKDAY(Main[[#This Row],[Tech Start Date]],9),""))))</f>
        <v/>
      </c>
      <c r="Q301" s="129"/>
      <c r="R301" s="129"/>
      <c r="S301" s="139" t="s">
        <v>17</v>
      </c>
      <c r="T301" s="115" t="s">
        <v>4</v>
      </c>
      <c r="U301" s="139" t="s">
        <v>7</v>
      </c>
      <c r="V301" s="139" t="s">
        <v>1929</v>
      </c>
      <c r="W301" s="139" t="s">
        <v>1919</v>
      </c>
      <c r="X301" s="139" t="s">
        <v>2859</v>
      </c>
      <c r="Y301" s="112" t="s">
        <v>2948</v>
      </c>
      <c r="Z301" s="112" t="s">
        <v>2211</v>
      </c>
      <c r="AA301" s="139" t="s">
        <v>2859</v>
      </c>
    </row>
    <row r="302" spans="1:27" ht="17.25" customHeight="1">
      <c r="A302" s="69" t="str">
        <f>IF(priority(Main[[#This Row],[Comments]])&lt;&gt;0, priority(Main[[#This Row],[Comments]]),"")</f>
        <v/>
      </c>
      <c r="B302" s="63" t="s">
        <v>1153</v>
      </c>
      <c r="C302" s="148" t="s">
        <v>4</v>
      </c>
      <c r="D302" s="113" t="s">
        <v>209</v>
      </c>
      <c r="E302" s="129"/>
      <c r="F302" s="129"/>
      <c r="G302" s="69" t="str">
        <f>IF(stdProdLT(Main[[#This Row],[Comments]])=0.1,"N/A",IF(stdProdLT(Main[[#This Row],[Comments]])=0,"",stdProdLT(Main[[#This Row],[Comments]])))</f>
        <v/>
      </c>
      <c r="H302" s="138" t="str">
        <f>IF(Main[[#This Row],[In Stock Date]]="N/A", "N/A",IF(AND(Main[[#This Row],[In Stock Date]]&lt;&gt;"",Main[[#This Row],[Revised Due Date]]&lt;&gt;"",Main[[#This Row],[In Stock Date]]&lt;&gt;""),Main[[#This Row],[In Stock Date]]-Main[[#This Row],[Revised Due Date]],""))</f>
        <v/>
      </c>
      <c r="I302" s="139" t="s">
        <v>4</v>
      </c>
      <c r="J302" s="139" t="s">
        <v>4</v>
      </c>
      <c r="K302" s="139" t="s">
        <v>4</v>
      </c>
      <c r="L302" s="129"/>
      <c r="M302" s="114" t="str">
        <f>IF(Main[[#This Row],[Tech Start Date]]&lt;1/1/1990,"",IF(Main[[#This Row],[Class]]="C",WORKDAY(Main[[#This Row],[Tech Start Date]],9),IF(Main[[#This Row],[Class]]="B", WORKDAY(Main[[#This Row],[Tech Start Date]],6),IF(Main[[#This Row],[Class]]="A",WORKDAY(Main[[#This Row],[Tech Start Date]],2),""))))</f>
        <v/>
      </c>
      <c r="N302" s="114" t="str">
        <f>IF(Main[[#This Row],[Tech Start Date]]&lt;1/1/1990,"",IF(Main[[#This Row],[Class]]="C",WORKDAY(Main[[#This Row],[Tech Start Date]],19),IF(Main[[#This Row],[Class]]="B", WORKDAY(Main[[#This Row],[Tech Start Date]],12),IF(Main[[#This Row],[Class]]="A",WORKDAY(Main[[#This Row],[Tech Start Date]],4),""))))</f>
        <v/>
      </c>
      <c r="O302" s="114" t="str">
        <f>IF(Main[[#This Row],[Tech Start Date]]&lt;1/1/1990,"",IF(Main[[#This Row],[Class]]="C",WORKDAY(Main[[#This Row],[Tech Start Date]],23),IF(Main[[#This Row],[Class]]="B", WORKDAY(Main[[#This Row],[Tech Start Date]],15),IF(Main[[#This Row],[Class]]="A",WORKDAY(Main[[#This Row],[Tech Start Date]],5),""))))</f>
        <v/>
      </c>
      <c r="P302" s="114" t="str">
        <f>IF(Main[[#This Row],[Tech Start Date]]&lt;1/1/1990,"",IF(Main[[#This Row],[Class]]="C",WORKDAY(Main[[#This Row],[Tech Start Date]],28),IF(Main[[#This Row],[Class]]="B", WORKDAY(Main[[#This Row],[Tech Start Date]],19),IF(Main[[#This Row],[Class]]="A",WORKDAY(Main[[#This Row],[Tech Start Date]],9),""))))</f>
        <v/>
      </c>
      <c r="Q302" s="129"/>
      <c r="R302" s="129"/>
      <c r="S302" s="139" t="s">
        <v>23</v>
      </c>
      <c r="T302" s="115" t="s">
        <v>4</v>
      </c>
      <c r="U302" s="139" t="s">
        <v>14</v>
      </c>
      <c r="V302" s="139" t="s">
        <v>1917</v>
      </c>
      <c r="W302" s="139" t="s">
        <v>1918</v>
      </c>
      <c r="X302" s="139" t="s">
        <v>306</v>
      </c>
      <c r="Y302" s="112" t="s">
        <v>4</v>
      </c>
      <c r="Z302" s="112" t="s">
        <v>4</v>
      </c>
      <c r="AA302" s="139" t="s">
        <v>3383</v>
      </c>
    </row>
    <row r="303" spans="1:27" ht="17.25" customHeight="1">
      <c r="A303" s="69" t="str">
        <f>IF(priority(Main[[#This Row],[Comments]])&lt;&gt;0, priority(Main[[#This Row],[Comments]]),"")</f>
        <v/>
      </c>
      <c r="B303" s="63" t="s">
        <v>1154</v>
      </c>
      <c r="C303" s="148" t="s">
        <v>4</v>
      </c>
      <c r="D303" s="113" t="s">
        <v>210</v>
      </c>
      <c r="E303" s="129"/>
      <c r="F303" s="129"/>
      <c r="G303" s="69" t="str">
        <f>IF(stdProdLT(Main[[#This Row],[Comments]])=0.1,"N/A",IF(stdProdLT(Main[[#This Row],[Comments]])=0,"",stdProdLT(Main[[#This Row],[Comments]])))</f>
        <v/>
      </c>
      <c r="H303" s="138" t="str">
        <f>IF(Main[[#This Row],[In Stock Date]]="N/A", "N/A",IF(AND(Main[[#This Row],[In Stock Date]]&lt;&gt;"",Main[[#This Row],[Revised Due Date]]&lt;&gt;"",Main[[#This Row],[In Stock Date]]&lt;&gt;""),Main[[#This Row],[In Stock Date]]-Main[[#This Row],[Revised Due Date]],""))</f>
        <v/>
      </c>
      <c r="I303" s="139" t="s">
        <v>4</v>
      </c>
      <c r="J303" s="139" t="s">
        <v>4</v>
      </c>
      <c r="K303" s="140" t="s">
        <v>4</v>
      </c>
      <c r="L303" s="129"/>
      <c r="M303" s="114" t="str">
        <f>IF(Main[[#This Row],[Tech Start Date]]&lt;1/1/1990,"",IF(Main[[#This Row],[Class]]="C",WORKDAY(Main[[#This Row],[Tech Start Date]],9),IF(Main[[#This Row],[Class]]="B", WORKDAY(Main[[#This Row],[Tech Start Date]],6),IF(Main[[#This Row],[Class]]="A",WORKDAY(Main[[#This Row],[Tech Start Date]],2),""))))</f>
        <v/>
      </c>
      <c r="N303" s="114" t="str">
        <f>IF(Main[[#This Row],[Tech Start Date]]&lt;1/1/1990,"",IF(Main[[#This Row],[Class]]="C",WORKDAY(Main[[#This Row],[Tech Start Date]],19),IF(Main[[#This Row],[Class]]="B", WORKDAY(Main[[#This Row],[Tech Start Date]],12),IF(Main[[#This Row],[Class]]="A",WORKDAY(Main[[#This Row],[Tech Start Date]],4),""))))</f>
        <v/>
      </c>
      <c r="O303" s="114" t="str">
        <f>IF(Main[[#This Row],[Tech Start Date]]&lt;1/1/1990,"",IF(Main[[#This Row],[Class]]="C",WORKDAY(Main[[#This Row],[Tech Start Date]],23),IF(Main[[#This Row],[Class]]="B", WORKDAY(Main[[#This Row],[Tech Start Date]],15),IF(Main[[#This Row],[Class]]="A",WORKDAY(Main[[#This Row],[Tech Start Date]],5),""))))</f>
        <v/>
      </c>
      <c r="P303" s="114" t="str">
        <f>IF(Main[[#This Row],[Tech Start Date]]&lt;1/1/1990,"",IF(Main[[#This Row],[Class]]="C",WORKDAY(Main[[#This Row],[Tech Start Date]],28),IF(Main[[#This Row],[Class]]="B", WORKDAY(Main[[#This Row],[Tech Start Date]],19),IF(Main[[#This Row],[Class]]="A",WORKDAY(Main[[#This Row],[Tech Start Date]],9),""))))</f>
        <v/>
      </c>
      <c r="Q303" s="129"/>
      <c r="R303" s="129"/>
      <c r="S303" s="139" t="s">
        <v>23</v>
      </c>
      <c r="T303" s="115" t="s">
        <v>4</v>
      </c>
      <c r="U303" s="139" t="s">
        <v>14</v>
      </c>
      <c r="V303" s="139" t="s">
        <v>1917</v>
      </c>
      <c r="W303" s="139" t="s">
        <v>1918</v>
      </c>
      <c r="X303" s="139" t="s">
        <v>399</v>
      </c>
      <c r="Y303" s="112" t="s">
        <v>4</v>
      </c>
      <c r="Z303" s="112" t="s">
        <v>4</v>
      </c>
      <c r="AA303" s="139" t="s">
        <v>3397</v>
      </c>
    </row>
    <row r="304" spans="1:27" ht="17.25" customHeight="1">
      <c r="A304" s="69" t="str">
        <f>IF(priority(Main[[#This Row],[Comments]])&lt;&gt;0, priority(Main[[#This Row],[Comments]]),"")</f>
        <v/>
      </c>
      <c r="B304" s="63" t="s">
        <v>1218</v>
      </c>
      <c r="C304" s="148" t="s">
        <v>277</v>
      </c>
      <c r="D304" s="113" t="s">
        <v>278</v>
      </c>
      <c r="E304" s="129"/>
      <c r="F304" s="129">
        <v>40680</v>
      </c>
      <c r="G304" s="69" t="str">
        <f>IF(stdProdLT(Main[[#This Row],[Comments]])=0.1,"N/A",IF(stdProdLT(Main[[#This Row],[Comments]])=0,"",stdProdLT(Main[[#This Row],[Comments]])))</f>
        <v/>
      </c>
      <c r="H304" s="138" t="str">
        <f>IF(Main[[#This Row],[In Stock Date]]="N/A", "N/A",IF(AND(Main[[#This Row],[In Stock Date]]&lt;&gt;"",Main[[#This Row],[Revised Due Date]]&lt;&gt;"",Main[[#This Row],[In Stock Date]]&lt;&gt;""),Main[[#This Row],[In Stock Date]]-Main[[#This Row],[Revised Due Date]],""))</f>
        <v/>
      </c>
      <c r="I304" s="139" t="s">
        <v>4</v>
      </c>
      <c r="J304" s="139" t="s">
        <v>28</v>
      </c>
      <c r="K304" s="139" t="s">
        <v>4</v>
      </c>
      <c r="L304" s="129"/>
      <c r="M304" s="114" t="str">
        <f>IF(Main[[#This Row],[Tech Start Date]]&lt;1/1/1990,"",IF(Main[[#This Row],[Class]]="C",WORKDAY(Main[[#This Row],[Tech Start Date]],9),IF(Main[[#This Row],[Class]]="B", WORKDAY(Main[[#This Row],[Tech Start Date]],6),IF(Main[[#This Row],[Class]]="A",WORKDAY(Main[[#This Row],[Tech Start Date]],2),""))))</f>
        <v/>
      </c>
      <c r="N304" s="114" t="str">
        <f>IF(Main[[#This Row],[Tech Start Date]]&lt;1/1/1990,"",IF(Main[[#This Row],[Class]]="C",WORKDAY(Main[[#This Row],[Tech Start Date]],19),IF(Main[[#This Row],[Class]]="B", WORKDAY(Main[[#This Row],[Tech Start Date]],12),IF(Main[[#This Row],[Class]]="A",WORKDAY(Main[[#This Row],[Tech Start Date]],4),""))))</f>
        <v/>
      </c>
      <c r="O304" s="114" t="str">
        <f>IF(Main[[#This Row],[Tech Start Date]]&lt;1/1/1990,"",IF(Main[[#This Row],[Class]]="C",WORKDAY(Main[[#This Row],[Tech Start Date]],23),IF(Main[[#This Row],[Class]]="B", WORKDAY(Main[[#This Row],[Tech Start Date]],15),IF(Main[[#This Row],[Class]]="A",WORKDAY(Main[[#This Row],[Tech Start Date]],5),""))))</f>
        <v/>
      </c>
      <c r="P304" s="114" t="str">
        <f>IF(Main[[#This Row],[Tech Start Date]]&lt;1/1/1990,"",IF(Main[[#This Row],[Class]]="C",WORKDAY(Main[[#This Row],[Tech Start Date]],28),IF(Main[[#This Row],[Class]]="B", WORKDAY(Main[[#This Row],[Tech Start Date]],19),IF(Main[[#This Row],[Class]]="A",WORKDAY(Main[[#This Row],[Tech Start Date]],9),""))))</f>
        <v/>
      </c>
      <c r="Q304" s="129">
        <v>40540</v>
      </c>
      <c r="R304" s="129"/>
      <c r="S304" s="139" t="s">
        <v>11</v>
      </c>
      <c r="T304" s="115" t="s">
        <v>4</v>
      </c>
      <c r="U304" s="139" t="s">
        <v>14</v>
      </c>
      <c r="V304" s="139" t="s">
        <v>1915</v>
      </c>
      <c r="W304" s="139" t="s">
        <v>1919</v>
      </c>
      <c r="X304" s="139" t="s">
        <v>2860</v>
      </c>
      <c r="Y304" s="112" t="s">
        <v>3004</v>
      </c>
      <c r="Z304" s="112" t="s">
        <v>4</v>
      </c>
      <c r="AA304" s="139" t="s">
        <v>2860</v>
      </c>
    </row>
    <row r="305" spans="1:27" ht="17.25" customHeight="1">
      <c r="A305" s="69" t="str">
        <f>IF(priority(Main[[#This Row],[Comments]])&lt;&gt;0, priority(Main[[#This Row],[Comments]]),"")</f>
        <v/>
      </c>
      <c r="B305" s="63" t="s">
        <v>2180</v>
      </c>
      <c r="C305" s="148" t="s">
        <v>4</v>
      </c>
      <c r="D305" s="113" t="s">
        <v>2181</v>
      </c>
      <c r="E305" s="129"/>
      <c r="F305" s="129"/>
      <c r="G305" s="69" t="str">
        <f>IF(stdProdLT(Main[[#This Row],[Comments]])=0.1,"N/A",IF(stdProdLT(Main[[#This Row],[Comments]])=0,"",stdProdLT(Main[[#This Row],[Comments]])))</f>
        <v/>
      </c>
      <c r="H305" s="138" t="str">
        <f>IF(Main[[#This Row],[In Stock Date]]="N/A", "N/A",IF(AND(Main[[#This Row],[In Stock Date]]&lt;&gt;"",Main[[#This Row],[Revised Due Date]]&lt;&gt;"",Main[[#This Row],[In Stock Date]]&lt;&gt;""),Main[[#This Row],[In Stock Date]]-Main[[#This Row],[Revised Due Date]],""))</f>
        <v/>
      </c>
      <c r="I305" s="139" t="s">
        <v>4</v>
      </c>
      <c r="J305" s="139" t="s">
        <v>4</v>
      </c>
      <c r="K305" s="140" t="s">
        <v>4</v>
      </c>
      <c r="L305" s="129"/>
      <c r="M305" s="114" t="str">
        <f>IF(Main[[#This Row],[Tech Start Date]]&lt;1/1/1990,"",IF(Main[[#This Row],[Class]]="C",WORKDAY(Main[[#This Row],[Tech Start Date]],9),IF(Main[[#This Row],[Class]]="B", WORKDAY(Main[[#This Row],[Tech Start Date]],6),IF(Main[[#This Row],[Class]]="A",WORKDAY(Main[[#This Row],[Tech Start Date]],2),""))))</f>
        <v/>
      </c>
      <c r="N305" s="114" t="str">
        <f>IF(Main[[#This Row],[Tech Start Date]]&lt;1/1/1990,"",IF(Main[[#This Row],[Class]]="C",WORKDAY(Main[[#This Row],[Tech Start Date]],19),IF(Main[[#This Row],[Class]]="B", WORKDAY(Main[[#This Row],[Tech Start Date]],12),IF(Main[[#This Row],[Class]]="A",WORKDAY(Main[[#This Row],[Tech Start Date]],4),""))))</f>
        <v/>
      </c>
      <c r="O305" s="114" t="str">
        <f>IF(Main[[#This Row],[Tech Start Date]]&lt;1/1/1990,"",IF(Main[[#This Row],[Class]]="C",WORKDAY(Main[[#This Row],[Tech Start Date]],23),IF(Main[[#This Row],[Class]]="B", WORKDAY(Main[[#This Row],[Tech Start Date]],15),IF(Main[[#This Row],[Class]]="A",WORKDAY(Main[[#This Row],[Tech Start Date]],5),""))))</f>
        <v/>
      </c>
      <c r="P305" s="114" t="str">
        <f>IF(Main[[#This Row],[Tech Start Date]]&lt;1/1/1990,"",IF(Main[[#This Row],[Class]]="C",WORKDAY(Main[[#This Row],[Tech Start Date]],28),IF(Main[[#This Row],[Class]]="B", WORKDAY(Main[[#This Row],[Tech Start Date]],19),IF(Main[[#This Row],[Class]]="A",WORKDAY(Main[[#This Row],[Tech Start Date]],9),""))))</f>
        <v/>
      </c>
      <c r="Q305" s="129"/>
      <c r="R305" s="129"/>
      <c r="S305" s="139" t="s">
        <v>6</v>
      </c>
      <c r="T305" s="115" t="s">
        <v>4</v>
      </c>
      <c r="U305" s="139" t="s">
        <v>14</v>
      </c>
      <c r="V305" s="139" t="s">
        <v>1914</v>
      </c>
      <c r="W305" s="139" t="s">
        <v>1916</v>
      </c>
      <c r="X305" s="139" t="s">
        <v>306</v>
      </c>
      <c r="Y305" s="112" t="s">
        <v>4</v>
      </c>
      <c r="Z305" s="112" t="s">
        <v>4</v>
      </c>
      <c r="AA305" s="139" t="s">
        <v>4</v>
      </c>
    </row>
    <row r="306" spans="1:27" ht="17.25" customHeight="1">
      <c r="A306" s="69" t="str">
        <f>IF(priority(Main[[#This Row],[Comments]])&lt;&gt;0, priority(Main[[#This Row],[Comments]]),"")</f>
        <v/>
      </c>
      <c r="B306" s="63" t="s">
        <v>1140</v>
      </c>
      <c r="C306" s="148" t="s">
        <v>93</v>
      </c>
      <c r="D306" s="113" t="s">
        <v>194</v>
      </c>
      <c r="E306" s="129"/>
      <c r="F306" s="129">
        <v>40203</v>
      </c>
      <c r="G306" s="69" t="str">
        <f>IF(stdProdLT(Main[[#This Row],[Comments]])=0.1,"N/A",IF(stdProdLT(Main[[#This Row],[Comments]])=0,"",stdProdLT(Main[[#This Row],[Comments]])))</f>
        <v/>
      </c>
      <c r="H306" s="138" t="str">
        <f>IF(Main[[#This Row],[In Stock Date]]="N/A", "N/A",IF(AND(Main[[#This Row],[In Stock Date]]&lt;&gt;"",Main[[#This Row],[Revised Due Date]]&lt;&gt;"",Main[[#This Row],[In Stock Date]]&lt;&gt;""),Main[[#This Row],[In Stock Date]]-Main[[#This Row],[Revised Due Date]],""))</f>
        <v/>
      </c>
      <c r="I306" s="139" t="s">
        <v>4</v>
      </c>
      <c r="J306" s="139" t="s">
        <v>4</v>
      </c>
      <c r="K306" s="140" t="s">
        <v>4</v>
      </c>
      <c r="L306" s="129"/>
      <c r="M306" s="114" t="str">
        <f>IF(Main[[#This Row],[Tech Start Date]]&lt;1/1/1990,"",IF(Main[[#This Row],[Class]]="C",WORKDAY(Main[[#This Row],[Tech Start Date]],9),IF(Main[[#This Row],[Class]]="B", WORKDAY(Main[[#This Row],[Tech Start Date]],6),IF(Main[[#This Row],[Class]]="A",WORKDAY(Main[[#This Row],[Tech Start Date]],2),""))))</f>
        <v/>
      </c>
      <c r="N306" s="114" t="str">
        <f>IF(Main[[#This Row],[Tech Start Date]]&lt;1/1/1990,"",IF(Main[[#This Row],[Class]]="C",WORKDAY(Main[[#This Row],[Tech Start Date]],19),IF(Main[[#This Row],[Class]]="B", WORKDAY(Main[[#This Row],[Tech Start Date]],12),IF(Main[[#This Row],[Class]]="A",WORKDAY(Main[[#This Row],[Tech Start Date]],4),""))))</f>
        <v/>
      </c>
      <c r="O306" s="114" t="str">
        <f>IF(Main[[#This Row],[Tech Start Date]]&lt;1/1/1990,"",IF(Main[[#This Row],[Class]]="C",WORKDAY(Main[[#This Row],[Tech Start Date]],23),IF(Main[[#This Row],[Class]]="B", WORKDAY(Main[[#This Row],[Tech Start Date]],15),IF(Main[[#This Row],[Class]]="A",WORKDAY(Main[[#This Row],[Tech Start Date]],5),""))))</f>
        <v/>
      </c>
      <c r="P306" s="114" t="str">
        <f>IF(Main[[#This Row],[Tech Start Date]]&lt;1/1/1990,"",IF(Main[[#This Row],[Class]]="C",WORKDAY(Main[[#This Row],[Tech Start Date]],28),IF(Main[[#This Row],[Class]]="B", WORKDAY(Main[[#This Row],[Tech Start Date]],19),IF(Main[[#This Row],[Class]]="A",WORKDAY(Main[[#This Row],[Tech Start Date]],9),""))))</f>
        <v/>
      </c>
      <c r="Q306" s="129">
        <v>40046</v>
      </c>
      <c r="R306" s="129"/>
      <c r="S306" s="139" t="s">
        <v>11</v>
      </c>
      <c r="T306" s="115" t="s">
        <v>4</v>
      </c>
      <c r="U306" s="139" t="s">
        <v>14</v>
      </c>
      <c r="V306" s="139" t="s">
        <v>1914</v>
      </c>
      <c r="W306" s="139" t="s">
        <v>1920</v>
      </c>
      <c r="X306" s="139" t="s">
        <v>2853</v>
      </c>
      <c r="Y306" s="112" t="s">
        <v>2991</v>
      </c>
      <c r="Z306" s="112" t="s">
        <v>4</v>
      </c>
      <c r="AA306" s="139" t="s">
        <v>2853</v>
      </c>
    </row>
    <row r="307" spans="1:27" ht="17.25" customHeight="1">
      <c r="A307" s="69" t="str">
        <f>IF(priority(Main[[#This Row],[Comments]])&lt;&gt;0, priority(Main[[#This Row],[Comments]]),"")</f>
        <v/>
      </c>
      <c r="B307" s="63" t="s">
        <v>1141</v>
      </c>
      <c r="C307" s="148" t="s">
        <v>4</v>
      </c>
      <c r="D307" s="113" t="s">
        <v>195</v>
      </c>
      <c r="E307" s="129"/>
      <c r="F307" s="129"/>
      <c r="G307" s="69" t="str">
        <f>IF(stdProdLT(Main[[#This Row],[Comments]])=0.1,"N/A",IF(stdProdLT(Main[[#This Row],[Comments]])=0,"",stdProdLT(Main[[#This Row],[Comments]])))</f>
        <v/>
      </c>
      <c r="H307" s="138" t="str">
        <f>IF(Main[[#This Row],[In Stock Date]]="N/A", "N/A",IF(AND(Main[[#This Row],[In Stock Date]]&lt;&gt;"",Main[[#This Row],[Revised Due Date]]&lt;&gt;"",Main[[#This Row],[In Stock Date]]&lt;&gt;""),Main[[#This Row],[In Stock Date]]-Main[[#This Row],[Revised Due Date]],""))</f>
        <v/>
      </c>
      <c r="I307" s="139" t="s">
        <v>4</v>
      </c>
      <c r="J307" s="139" t="s">
        <v>4</v>
      </c>
      <c r="K307" s="139" t="s">
        <v>4</v>
      </c>
      <c r="L307" s="129"/>
      <c r="M307" s="114" t="str">
        <f>IF(Main[[#This Row],[Tech Start Date]]&lt;1/1/1990,"",IF(Main[[#This Row],[Class]]="C",WORKDAY(Main[[#This Row],[Tech Start Date]],9),IF(Main[[#This Row],[Class]]="B", WORKDAY(Main[[#This Row],[Tech Start Date]],6),IF(Main[[#This Row],[Class]]="A",WORKDAY(Main[[#This Row],[Tech Start Date]],2),""))))</f>
        <v/>
      </c>
      <c r="N307" s="114" t="str">
        <f>IF(Main[[#This Row],[Tech Start Date]]&lt;1/1/1990,"",IF(Main[[#This Row],[Class]]="C",WORKDAY(Main[[#This Row],[Tech Start Date]],19),IF(Main[[#This Row],[Class]]="B", WORKDAY(Main[[#This Row],[Tech Start Date]],12),IF(Main[[#This Row],[Class]]="A",WORKDAY(Main[[#This Row],[Tech Start Date]],4),""))))</f>
        <v/>
      </c>
      <c r="O307" s="114" t="str">
        <f>IF(Main[[#This Row],[Tech Start Date]]&lt;1/1/1990,"",IF(Main[[#This Row],[Class]]="C",WORKDAY(Main[[#This Row],[Tech Start Date]],23),IF(Main[[#This Row],[Class]]="B", WORKDAY(Main[[#This Row],[Tech Start Date]],15),IF(Main[[#This Row],[Class]]="A",WORKDAY(Main[[#This Row],[Tech Start Date]],5),""))))</f>
        <v/>
      </c>
      <c r="P307" s="114" t="str">
        <f>IF(Main[[#This Row],[Tech Start Date]]&lt;1/1/1990,"",IF(Main[[#This Row],[Class]]="C",WORKDAY(Main[[#This Row],[Tech Start Date]],28),IF(Main[[#This Row],[Class]]="B", WORKDAY(Main[[#This Row],[Tech Start Date]],19),IF(Main[[#This Row],[Class]]="A",WORKDAY(Main[[#This Row],[Tech Start Date]],9),""))))</f>
        <v/>
      </c>
      <c r="Q307" s="129">
        <v>40543</v>
      </c>
      <c r="R307" s="129"/>
      <c r="S307" s="139" t="s">
        <v>11</v>
      </c>
      <c r="T307" s="115" t="s">
        <v>4</v>
      </c>
      <c r="U307" s="139" t="s">
        <v>14</v>
      </c>
      <c r="V307" s="139" t="s">
        <v>1914</v>
      </c>
      <c r="W307" s="139" t="s">
        <v>1925</v>
      </c>
      <c r="X307" s="139" t="s">
        <v>2861</v>
      </c>
      <c r="Y307" s="112" t="s">
        <v>3005</v>
      </c>
      <c r="Z307" s="112" t="s">
        <v>4</v>
      </c>
      <c r="AA307" s="139" t="s">
        <v>2861</v>
      </c>
    </row>
    <row r="308" spans="1:27" ht="17.25" customHeight="1">
      <c r="A308" s="69" t="str">
        <f>IF(priority(Main[[#This Row],[Comments]])&lt;&gt;0, priority(Main[[#This Row],[Comments]]),"")</f>
        <v/>
      </c>
      <c r="B308" s="63" t="s">
        <v>2568</v>
      </c>
      <c r="C308" s="148" t="s">
        <v>4</v>
      </c>
      <c r="D308" s="113" t="s">
        <v>2569</v>
      </c>
      <c r="E308" s="129">
        <v>40876.146770833337</v>
      </c>
      <c r="F308" s="129"/>
      <c r="G308" s="69" t="str">
        <f>IF(stdProdLT(Main[[#This Row],[Comments]])=0.1,"N/A",IF(stdProdLT(Main[[#This Row],[Comments]])=0,"",stdProdLT(Main[[#This Row],[Comments]])))</f>
        <v/>
      </c>
      <c r="H308" s="138" t="str">
        <f>IF(Main[[#This Row],[In Stock Date]]="N/A", "N/A",IF(AND(Main[[#This Row],[In Stock Date]]&lt;&gt;"",Main[[#This Row],[Revised Due Date]]&lt;&gt;"",Main[[#This Row],[In Stock Date]]&lt;&gt;""),Main[[#This Row],[In Stock Date]]-Main[[#This Row],[Revised Due Date]],""))</f>
        <v/>
      </c>
      <c r="I308" s="139" t="s">
        <v>4</v>
      </c>
      <c r="J308" s="139" t="s">
        <v>4</v>
      </c>
      <c r="K308" s="139" t="s">
        <v>4</v>
      </c>
      <c r="L308" s="129"/>
      <c r="M308" s="114" t="str">
        <f>IF(Main[[#This Row],[Tech Start Date]]&lt;1/1/1990,"",IF(Main[[#This Row],[Class]]="C",WORKDAY(Main[[#This Row],[Tech Start Date]],9),IF(Main[[#This Row],[Class]]="B", WORKDAY(Main[[#This Row],[Tech Start Date]],6),IF(Main[[#This Row],[Class]]="A",WORKDAY(Main[[#This Row],[Tech Start Date]],2),""))))</f>
        <v/>
      </c>
      <c r="N308" s="114" t="str">
        <f>IF(Main[[#This Row],[Tech Start Date]]&lt;1/1/1990,"",IF(Main[[#This Row],[Class]]="C",WORKDAY(Main[[#This Row],[Tech Start Date]],19),IF(Main[[#This Row],[Class]]="B", WORKDAY(Main[[#This Row],[Tech Start Date]],12),IF(Main[[#This Row],[Class]]="A",WORKDAY(Main[[#This Row],[Tech Start Date]],4),""))))</f>
        <v/>
      </c>
      <c r="O308" s="114" t="str">
        <f>IF(Main[[#This Row],[Tech Start Date]]&lt;1/1/1990,"",IF(Main[[#This Row],[Class]]="C",WORKDAY(Main[[#This Row],[Tech Start Date]],23),IF(Main[[#This Row],[Class]]="B", WORKDAY(Main[[#This Row],[Tech Start Date]],15),IF(Main[[#This Row],[Class]]="A",WORKDAY(Main[[#This Row],[Tech Start Date]],5),""))))</f>
        <v/>
      </c>
      <c r="P308" s="114" t="str">
        <f>IF(Main[[#This Row],[Tech Start Date]]&lt;1/1/1990,"",IF(Main[[#This Row],[Class]]="C",WORKDAY(Main[[#This Row],[Tech Start Date]],28),IF(Main[[#This Row],[Class]]="B", WORKDAY(Main[[#This Row],[Tech Start Date]],19),IF(Main[[#This Row],[Class]]="A",WORKDAY(Main[[#This Row],[Tech Start Date]],9),""))))</f>
        <v/>
      </c>
      <c r="Q308" s="129">
        <v>40882</v>
      </c>
      <c r="R308" s="129"/>
      <c r="S308" s="139" t="s">
        <v>6</v>
      </c>
      <c r="T308" s="115" t="s">
        <v>4</v>
      </c>
      <c r="U308" s="139" t="s">
        <v>7</v>
      </c>
      <c r="V308" s="139" t="s">
        <v>1914</v>
      </c>
      <c r="W308" s="139" t="s">
        <v>4</v>
      </c>
      <c r="X308" s="139" t="s">
        <v>2822</v>
      </c>
      <c r="Y308" s="112" t="s">
        <v>2938</v>
      </c>
      <c r="Z308" s="112" t="s">
        <v>4</v>
      </c>
      <c r="AA308" s="139" t="s">
        <v>2822</v>
      </c>
    </row>
    <row r="309" spans="1:27" ht="17.25" customHeight="1">
      <c r="A309" s="69" t="str">
        <f>IF(priority(Main[[#This Row],[Comments]])&lt;&gt;0, priority(Main[[#This Row],[Comments]]),"")</f>
        <v/>
      </c>
      <c r="B309" s="63" t="s">
        <v>1142</v>
      </c>
      <c r="C309" s="148" t="s">
        <v>4</v>
      </c>
      <c r="D309" s="113" t="s">
        <v>196</v>
      </c>
      <c r="E309" s="129"/>
      <c r="F309" s="129"/>
      <c r="G309" s="69" t="str">
        <f>IF(stdProdLT(Main[[#This Row],[Comments]])=0.1,"N/A",IF(stdProdLT(Main[[#This Row],[Comments]])=0,"",stdProdLT(Main[[#This Row],[Comments]])))</f>
        <v/>
      </c>
      <c r="H309" s="138" t="str">
        <f>IF(Main[[#This Row],[In Stock Date]]="N/A", "N/A",IF(AND(Main[[#This Row],[In Stock Date]]&lt;&gt;"",Main[[#This Row],[Revised Due Date]]&lt;&gt;"",Main[[#This Row],[In Stock Date]]&lt;&gt;""),Main[[#This Row],[In Stock Date]]-Main[[#This Row],[Revised Due Date]],""))</f>
        <v/>
      </c>
      <c r="I309" s="139" t="s">
        <v>4</v>
      </c>
      <c r="J309" s="139" t="s">
        <v>4</v>
      </c>
      <c r="K309" s="139" t="s">
        <v>4</v>
      </c>
      <c r="L309" s="129"/>
      <c r="M309" s="114" t="str">
        <f>IF(Main[[#This Row],[Tech Start Date]]&lt;1/1/1990,"",IF(Main[[#This Row],[Class]]="C",WORKDAY(Main[[#This Row],[Tech Start Date]],9),IF(Main[[#This Row],[Class]]="B", WORKDAY(Main[[#This Row],[Tech Start Date]],6),IF(Main[[#This Row],[Class]]="A",WORKDAY(Main[[#This Row],[Tech Start Date]],2),""))))</f>
        <v/>
      </c>
      <c r="N309" s="114" t="str">
        <f>IF(Main[[#This Row],[Tech Start Date]]&lt;1/1/1990,"",IF(Main[[#This Row],[Class]]="C",WORKDAY(Main[[#This Row],[Tech Start Date]],19),IF(Main[[#This Row],[Class]]="B", WORKDAY(Main[[#This Row],[Tech Start Date]],12),IF(Main[[#This Row],[Class]]="A",WORKDAY(Main[[#This Row],[Tech Start Date]],4),""))))</f>
        <v/>
      </c>
      <c r="O309" s="114" t="str">
        <f>IF(Main[[#This Row],[Tech Start Date]]&lt;1/1/1990,"",IF(Main[[#This Row],[Class]]="C",WORKDAY(Main[[#This Row],[Tech Start Date]],23),IF(Main[[#This Row],[Class]]="B", WORKDAY(Main[[#This Row],[Tech Start Date]],15),IF(Main[[#This Row],[Class]]="A",WORKDAY(Main[[#This Row],[Tech Start Date]],5),""))))</f>
        <v/>
      </c>
      <c r="P309" s="114" t="str">
        <f>IF(Main[[#This Row],[Tech Start Date]]&lt;1/1/1990,"",IF(Main[[#This Row],[Class]]="C",WORKDAY(Main[[#This Row],[Tech Start Date]],28),IF(Main[[#This Row],[Class]]="B", WORKDAY(Main[[#This Row],[Tech Start Date]],19),IF(Main[[#This Row],[Class]]="A",WORKDAY(Main[[#This Row],[Tech Start Date]],9),""))))</f>
        <v/>
      </c>
      <c r="Q309" s="129"/>
      <c r="R309" s="129"/>
      <c r="S309" s="139" t="s">
        <v>17</v>
      </c>
      <c r="T309" s="115" t="s">
        <v>4</v>
      </c>
      <c r="U309" s="139" t="s">
        <v>14</v>
      </c>
      <c r="V309" s="139" t="s">
        <v>1917</v>
      </c>
      <c r="W309" s="139" t="s">
        <v>1919</v>
      </c>
      <c r="X309" s="139" t="s">
        <v>553</v>
      </c>
      <c r="Y309" s="112" t="s">
        <v>2952</v>
      </c>
      <c r="Z309" s="112" t="s">
        <v>4</v>
      </c>
      <c r="AA309" s="139" t="s">
        <v>553</v>
      </c>
    </row>
    <row r="310" spans="1:27" ht="17.25" customHeight="1">
      <c r="A310" s="69" t="str">
        <f>IF(priority(Main[[#This Row],[Comments]])&lt;&gt;0, priority(Main[[#This Row],[Comments]]),"")</f>
        <v/>
      </c>
      <c r="B310" s="63" t="s">
        <v>1143</v>
      </c>
      <c r="C310" s="148" t="s">
        <v>197</v>
      </c>
      <c r="D310" s="113" t="s">
        <v>198</v>
      </c>
      <c r="E310" s="129"/>
      <c r="F310" s="129"/>
      <c r="G310" s="69" t="str">
        <f>IF(stdProdLT(Main[[#This Row],[Comments]])=0.1,"N/A",IF(stdProdLT(Main[[#This Row],[Comments]])=0,"",stdProdLT(Main[[#This Row],[Comments]])))</f>
        <v/>
      </c>
      <c r="H310" s="138" t="str">
        <f>IF(Main[[#This Row],[In Stock Date]]="N/A", "N/A",IF(AND(Main[[#This Row],[In Stock Date]]&lt;&gt;"",Main[[#This Row],[Revised Due Date]]&lt;&gt;"",Main[[#This Row],[In Stock Date]]&lt;&gt;""),Main[[#This Row],[In Stock Date]]-Main[[#This Row],[Revised Due Date]],""))</f>
        <v/>
      </c>
      <c r="I310" s="139" t="s">
        <v>4</v>
      </c>
      <c r="J310" s="139" t="s">
        <v>4</v>
      </c>
      <c r="K310" s="139" t="s">
        <v>4</v>
      </c>
      <c r="L310" s="129"/>
      <c r="M310" s="114" t="str">
        <f>IF(Main[[#This Row],[Tech Start Date]]&lt;1/1/1990,"",IF(Main[[#This Row],[Class]]="C",WORKDAY(Main[[#This Row],[Tech Start Date]],9),IF(Main[[#This Row],[Class]]="B", WORKDAY(Main[[#This Row],[Tech Start Date]],6),IF(Main[[#This Row],[Class]]="A",WORKDAY(Main[[#This Row],[Tech Start Date]],2),""))))</f>
        <v/>
      </c>
      <c r="N310" s="114" t="str">
        <f>IF(Main[[#This Row],[Tech Start Date]]&lt;1/1/1990,"",IF(Main[[#This Row],[Class]]="C",WORKDAY(Main[[#This Row],[Tech Start Date]],19),IF(Main[[#This Row],[Class]]="B", WORKDAY(Main[[#This Row],[Tech Start Date]],12),IF(Main[[#This Row],[Class]]="A",WORKDAY(Main[[#This Row],[Tech Start Date]],4),""))))</f>
        <v/>
      </c>
      <c r="O310" s="114" t="str">
        <f>IF(Main[[#This Row],[Tech Start Date]]&lt;1/1/1990,"",IF(Main[[#This Row],[Class]]="C",WORKDAY(Main[[#This Row],[Tech Start Date]],23),IF(Main[[#This Row],[Class]]="B", WORKDAY(Main[[#This Row],[Tech Start Date]],15),IF(Main[[#This Row],[Class]]="A",WORKDAY(Main[[#This Row],[Tech Start Date]],5),""))))</f>
        <v/>
      </c>
      <c r="P310" s="114" t="str">
        <f>IF(Main[[#This Row],[Tech Start Date]]&lt;1/1/1990,"",IF(Main[[#This Row],[Class]]="C",WORKDAY(Main[[#This Row],[Tech Start Date]],28),IF(Main[[#This Row],[Class]]="B", WORKDAY(Main[[#This Row],[Tech Start Date]],19),IF(Main[[#This Row],[Class]]="A",WORKDAY(Main[[#This Row],[Tech Start Date]],9),""))))</f>
        <v/>
      </c>
      <c r="Q310" s="129">
        <v>40165</v>
      </c>
      <c r="R310" s="129"/>
      <c r="S310" s="139" t="s">
        <v>11</v>
      </c>
      <c r="T310" s="115" t="s">
        <v>4</v>
      </c>
      <c r="U310" s="139" t="s">
        <v>14</v>
      </c>
      <c r="V310" s="139" t="s">
        <v>1924</v>
      </c>
      <c r="W310" s="139" t="s">
        <v>1920</v>
      </c>
      <c r="X310" s="139" t="s">
        <v>883</v>
      </c>
      <c r="Y310" s="112" t="s">
        <v>2963</v>
      </c>
      <c r="Z310" s="112" t="s">
        <v>4</v>
      </c>
      <c r="AA310" s="139" t="s">
        <v>883</v>
      </c>
    </row>
    <row r="311" spans="1:27" ht="17.25" customHeight="1">
      <c r="A311" s="69" t="str">
        <f>IF(priority(Main[[#This Row],[Comments]])&lt;&gt;0, priority(Main[[#This Row],[Comments]]),"")</f>
        <v/>
      </c>
      <c r="B311" s="63" t="s">
        <v>1718</v>
      </c>
      <c r="C311" s="148" t="s">
        <v>4</v>
      </c>
      <c r="D311" s="113" t="s">
        <v>772</v>
      </c>
      <c r="E311" s="129"/>
      <c r="F311" s="129"/>
      <c r="G311" s="69" t="str">
        <f>IF(stdProdLT(Main[[#This Row],[Comments]])=0.1,"N/A",IF(stdProdLT(Main[[#This Row],[Comments]])=0,"",stdProdLT(Main[[#This Row],[Comments]])))</f>
        <v/>
      </c>
      <c r="H311" s="138" t="str">
        <f>IF(Main[[#This Row],[In Stock Date]]="N/A", "N/A",IF(AND(Main[[#This Row],[In Stock Date]]&lt;&gt;"",Main[[#This Row],[Revised Due Date]]&lt;&gt;"",Main[[#This Row],[In Stock Date]]&lt;&gt;""),Main[[#This Row],[In Stock Date]]-Main[[#This Row],[Revised Due Date]],""))</f>
        <v/>
      </c>
      <c r="I311" s="139" t="s">
        <v>4</v>
      </c>
      <c r="J311" s="139" t="s">
        <v>28</v>
      </c>
      <c r="K311" s="139" t="s">
        <v>1926</v>
      </c>
      <c r="L311" s="129"/>
      <c r="M311" s="114" t="str">
        <f>IF(Main[[#This Row],[Tech Start Date]]&lt;1/1/1990,"",IF(Main[[#This Row],[Class]]="C",WORKDAY(Main[[#This Row],[Tech Start Date]],9),IF(Main[[#This Row],[Class]]="B", WORKDAY(Main[[#This Row],[Tech Start Date]],6),IF(Main[[#This Row],[Class]]="A",WORKDAY(Main[[#This Row],[Tech Start Date]],2),""))))</f>
        <v/>
      </c>
      <c r="N311" s="114" t="str">
        <f>IF(Main[[#This Row],[Tech Start Date]]&lt;1/1/1990,"",IF(Main[[#This Row],[Class]]="C",WORKDAY(Main[[#This Row],[Tech Start Date]],19),IF(Main[[#This Row],[Class]]="B", WORKDAY(Main[[#This Row],[Tech Start Date]],12),IF(Main[[#This Row],[Class]]="A",WORKDAY(Main[[#This Row],[Tech Start Date]],4),""))))</f>
        <v/>
      </c>
      <c r="O311" s="114" t="str">
        <f>IF(Main[[#This Row],[Tech Start Date]]&lt;1/1/1990,"",IF(Main[[#This Row],[Class]]="C",WORKDAY(Main[[#This Row],[Tech Start Date]],23),IF(Main[[#This Row],[Class]]="B", WORKDAY(Main[[#This Row],[Tech Start Date]],15),IF(Main[[#This Row],[Class]]="A",WORKDAY(Main[[#This Row],[Tech Start Date]],5),""))))</f>
        <v/>
      </c>
      <c r="P311" s="114" t="str">
        <f>IF(Main[[#This Row],[Tech Start Date]]&lt;1/1/1990,"",IF(Main[[#This Row],[Class]]="C",WORKDAY(Main[[#This Row],[Tech Start Date]],28),IF(Main[[#This Row],[Class]]="B", WORKDAY(Main[[#This Row],[Tech Start Date]],19),IF(Main[[#This Row],[Class]]="A",WORKDAY(Main[[#This Row],[Tech Start Date]],9),""))))</f>
        <v/>
      </c>
      <c r="Q311" s="129">
        <v>40633</v>
      </c>
      <c r="R311" s="129"/>
      <c r="S311" s="139" t="s">
        <v>17</v>
      </c>
      <c r="T311" s="115" t="s">
        <v>4</v>
      </c>
      <c r="U311" s="139" t="s">
        <v>14</v>
      </c>
      <c r="V311" s="139" t="s">
        <v>1914</v>
      </c>
      <c r="W311" s="139" t="s">
        <v>1919</v>
      </c>
      <c r="X311" s="139" t="s">
        <v>129</v>
      </c>
      <c r="Y311" s="112" t="s">
        <v>2933</v>
      </c>
      <c r="Z311" s="112" t="s">
        <v>129</v>
      </c>
      <c r="AA311" s="139" t="s">
        <v>129</v>
      </c>
    </row>
    <row r="312" spans="1:27" ht="17.25" customHeight="1">
      <c r="A312" s="69" t="str">
        <f>IF(priority(Main[[#This Row],[Comments]])&lt;&gt;0, priority(Main[[#This Row],[Comments]]),"")</f>
        <v/>
      </c>
      <c r="B312" s="63" t="s">
        <v>1145</v>
      </c>
      <c r="C312" s="148" t="s">
        <v>93</v>
      </c>
      <c r="D312" s="113" t="s">
        <v>200</v>
      </c>
      <c r="E312" s="129"/>
      <c r="F312" s="129"/>
      <c r="G312" s="69" t="str">
        <f>IF(stdProdLT(Main[[#This Row],[Comments]])=0.1,"N/A",IF(stdProdLT(Main[[#This Row],[Comments]])=0,"",stdProdLT(Main[[#This Row],[Comments]])))</f>
        <v/>
      </c>
      <c r="H312" s="138" t="str">
        <f>IF(Main[[#This Row],[In Stock Date]]="N/A", "N/A",IF(AND(Main[[#This Row],[In Stock Date]]&lt;&gt;"",Main[[#This Row],[Revised Due Date]]&lt;&gt;"",Main[[#This Row],[In Stock Date]]&lt;&gt;""),Main[[#This Row],[In Stock Date]]-Main[[#This Row],[Revised Due Date]],""))</f>
        <v/>
      </c>
      <c r="I312" s="139" t="s">
        <v>4</v>
      </c>
      <c r="J312" s="139" t="s">
        <v>4</v>
      </c>
      <c r="K312" s="139" t="s">
        <v>4</v>
      </c>
      <c r="L312" s="129"/>
      <c r="M312" s="114" t="str">
        <f>IF(Main[[#This Row],[Tech Start Date]]&lt;1/1/1990,"",IF(Main[[#This Row],[Class]]="C",WORKDAY(Main[[#This Row],[Tech Start Date]],9),IF(Main[[#This Row],[Class]]="B", WORKDAY(Main[[#This Row],[Tech Start Date]],6),IF(Main[[#This Row],[Class]]="A",WORKDAY(Main[[#This Row],[Tech Start Date]],2),""))))</f>
        <v/>
      </c>
      <c r="N312" s="114" t="str">
        <f>IF(Main[[#This Row],[Tech Start Date]]&lt;1/1/1990,"",IF(Main[[#This Row],[Class]]="C",WORKDAY(Main[[#This Row],[Tech Start Date]],19),IF(Main[[#This Row],[Class]]="B", WORKDAY(Main[[#This Row],[Tech Start Date]],12),IF(Main[[#This Row],[Class]]="A",WORKDAY(Main[[#This Row],[Tech Start Date]],4),""))))</f>
        <v/>
      </c>
      <c r="O312" s="114" t="str">
        <f>IF(Main[[#This Row],[Tech Start Date]]&lt;1/1/1990,"",IF(Main[[#This Row],[Class]]="C",WORKDAY(Main[[#This Row],[Tech Start Date]],23),IF(Main[[#This Row],[Class]]="B", WORKDAY(Main[[#This Row],[Tech Start Date]],15),IF(Main[[#This Row],[Class]]="A",WORKDAY(Main[[#This Row],[Tech Start Date]],5),""))))</f>
        <v/>
      </c>
      <c r="P312" s="114" t="str">
        <f>IF(Main[[#This Row],[Tech Start Date]]&lt;1/1/1990,"",IF(Main[[#This Row],[Class]]="C",WORKDAY(Main[[#This Row],[Tech Start Date]],28),IF(Main[[#This Row],[Class]]="B", WORKDAY(Main[[#This Row],[Tech Start Date]],19),IF(Main[[#This Row],[Class]]="A",WORKDAY(Main[[#This Row],[Tech Start Date]],9),""))))</f>
        <v/>
      </c>
      <c r="Q312" s="129"/>
      <c r="R312" s="129"/>
      <c r="S312" s="139" t="s">
        <v>11</v>
      </c>
      <c r="T312" s="115" t="s">
        <v>4</v>
      </c>
      <c r="U312" s="139" t="s">
        <v>14</v>
      </c>
      <c r="V312" s="139" t="s">
        <v>1924</v>
      </c>
      <c r="W312" s="139" t="s">
        <v>1920</v>
      </c>
      <c r="X312" s="139" t="s">
        <v>306</v>
      </c>
      <c r="Y312" s="112" t="s">
        <v>2941</v>
      </c>
      <c r="Z312" s="112" t="s">
        <v>4</v>
      </c>
      <c r="AA312" s="139" t="s">
        <v>3376</v>
      </c>
    </row>
    <row r="313" spans="1:27" ht="17.25" customHeight="1">
      <c r="A313" s="69" t="str">
        <f>IF(priority(Main[[#This Row],[Comments]])&lt;&gt;0, priority(Main[[#This Row],[Comments]]),"")</f>
        <v/>
      </c>
      <c r="B313" s="63" t="s">
        <v>1146</v>
      </c>
      <c r="C313" s="148" t="s">
        <v>42</v>
      </c>
      <c r="D313" s="113" t="s">
        <v>201</v>
      </c>
      <c r="E313" s="129">
        <v>39952.329340277778</v>
      </c>
      <c r="F313" s="129"/>
      <c r="G313" s="69" t="str">
        <f>IF(stdProdLT(Main[[#This Row],[Comments]])=0.1,"N/A",IF(stdProdLT(Main[[#This Row],[Comments]])=0,"",stdProdLT(Main[[#This Row],[Comments]])))</f>
        <v/>
      </c>
      <c r="H313" s="138" t="str">
        <f>IF(Main[[#This Row],[In Stock Date]]="N/A", "N/A",IF(AND(Main[[#This Row],[In Stock Date]]&lt;&gt;"",Main[[#This Row],[Revised Due Date]]&lt;&gt;"",Main[[#This Row],[In Stock Date]]&lt;&gt;""),Main[[#This Row],[In Stock Date]]-Main[[#This Row],[Revised Due Date]],""))</f>
        <v/>
      </c>
      <c r="I313" s="139" t="s">
        <v>4</v>
      </c>
      <c r="J313" s="139" t="s">
        <v>4</v>
      </c>
      <c r="K313" s="139" t="s">
        <v>4</v>
      </c>
      <c r="L313" s="129"/>
      <c r="M313" s="114" t="str">
        <f>IF(Main[[#This Row],[Tech Start Date]]&lt;1/1/1990,"",IF(Main[[#This Row],[Class]]="C",WORKDAY(Main[[#This Row],[Tech Start Date]],9),IF(Main[[#This Row],[Class]]="B", WORKDAY(Main[[#This Row],[Tech Start Date]],6),IF(Main[[#This Row],[Class]]="A",WORKDAY(Main[[#This Row],[Tech Start Date]],2),""))))</f>
        <v/>
      </c>
      <c r="N313" s="114" t="str">
        <f>IF(Main[[#This Row],[Tech Start Date]]&lt;1/1/1990,"",IF(Main[[#This Row],[Class]]="C",WORKDAY(Main[[#This Row],[Tech Start Date]],19),IF(Main[[#This Row],[Class]]="B", WORKDAY(Main[[#This Row],[Tech Start Date]],12),IF(Main[[#This Row],[Class]]="A",WORKDAY(Main[[#This Row],[Tech Start Date]],4),""))))</f>
        <v/>
      </c>
      <c r="O313" s="114" t="str">
        <f>IF(Main[[#This Row],[Tech Start Date]]&lt;1/1/1990,"",IF(Main[[#This Row],[Class]]="C",WORKDAY(Main[[#This Row],[Tech Start Date]],23),IF(Main[[#This Row],[Class]]="B", WORKDAY(Main[[#This Row],[Tech Start Date]],15),IF(Main[[#This Row],[Class]]="A",WORKDAY(Main[[#This Row],[Tech Start Date]],5),""))))</f>
        <v/>
      </c>
      <c r="P313" s="114" t="str">
        <f>IF(Main[[#This Row],[Tech Start Date]]&lt;1/1/1990,"",IF(Main[[#This Row],[Class]]="C",WORKDAY(Main[[#This Row],[Tech Start Date]],28),IF(Main[[#This Row],[Class]]="B", WORKDAY(Main[[#This Row],[Tech Start Date]],19),IF(Main[[#This Row],[Class]]="A",WORKDAY(Main[[#This Row],[Tech Start Date]],9),""))))</f>
        <v/>
      </c>
      <c r="Q313" s="129"/>
      <c r="R313" s="129"/>
      <c r="S313" s="139" t="s">
        <v>17</v>
      </c>
      <c r="T313" s="115" t="s">
        <v>4</v>
      </c>
      <c r="U313" s="139" t="s">
        <v>7</v>
      </c>
      <c r="V313" s="139" t="s">
        <v>1917</v>
      </c>
      <c r="W313" s="139" t="s">
        <v>4</v>
      </c>
      <c r="X313" s="139" t="s">
        <v>399</v>
      </c>
      <c r="Y313" s="112" t="s">
        <v>4</v>
      </c>
      <c r="Z313" s="112" t="s">
        <v>4</v>
      </c>
      <c r="AA313" s="139" t="s">
        <v>3398</v>
      </c>
    </row>
    <row r="314" spans="1:27" ht="17.25" customHeight="1">
      <c r="A314" s="98" t="str">
        <f>IF(priority(Main[[#This Row],[Comments]])&lt;&gt;0, priority(Main[[#This Row],[Comments]]),"")</f>
        <v/>
      </c>
      <c r="B314" s="63" t="s">
        <v>1147</v>
      </c>
      <c r="C314" s="149" t="s">
        <v>58</v>
      </c>
      <c r="D314" s="121" t="s">
        <v>202</v>
      </c>
      <c r="E314" s="131"/>
      <c r="F314" s="131">
        <v>40697</v>
      </c>
      <c r="G314" s="98" t="str">
        <f>IF(stdProdLT(Main[[#This Row],[Comments]])=0.1,"N/A",IF(stdProdLT(Main[[#This Row],[Comments]])=0,"",stdProdLT(Main[[#This Row],[Comments]])))</f>
        <v/>
      </c>
      <c r="H314" s="142" t="str">
        <f>IF(Main[[#This Row],[In Stock Date]]="N/A", "N/A",IF(AND(Main[[#This Row],[In Stock Date]]&lt;&gt;"",Main[[#This Row],[Revised Due Date]]&lt;&gt;"",Main[[#This Row],[In Stock Date]]&lt;&gt;""),Main[[#This Row],[In Stock Date]]-Main[[#This Row],[Revised Due Date]],""))</f>
        <v/>
      </c>
      <c r="I314" s="143" t="s">
        <v>4</v>
      </c>
      <c r="J314" s="143" t="s">
        <v>4</v>
      </c>
      <c r="K314" s="143" t="s">
        <v>4</v>
      </c>
      <c r="L314" s="131"/>
      <c r="M314" s="122" t="str">
        <f>IF(Main[[#This Row],[Tech Start Date]]&lt;1/1/1990,"",IF(Main[[#This Row],[Class]]="C",WORKDAY(Main[[#This Row],[Tech Start Date]],9),IF(Main[[#This Row],[Class]]="B", WORKDAY(Main[[#This Row],[Tech Start Date]],6),IF(Main[[#This Row],[Class]]="A",WORKDAY(Main[[#This Row],[Tech Start Date]],2),""))))</f>
        <v/>
      </c>
      <c r="N314" s="122" t="str">
        <f>IF(Main[[#This Row],[Tech Start Date]]&lt;1/1/1990,"",IF(Main[[#This Row],[Class]]="C",WORKDAY(Main[[#This Row],[Tech Start Date]],19),IF(Main[[#This Row],[Class]]="B", WORKDAY(Main[[#This Row],[Tech Start Date]],12),IF(Main[[#This Row],[Class]]="A",WORKDAY(Main[[#This Row],[Tech Start Date]],4),""))))</f>
        <v/>
      </c>
      <c r="O314" s="122" t="str">
        <f>IF(Main[[#This Row],[Tech Start Date]]&lt;1/1/1990,"",IF(Main[[#This Row],[Class]]="C",WORKDAY(Main[[#This Row],[Tech Start Date]],23),IF(Main[[#This Row],[Class]]="B", WORKDAY(Main[[#This Row],[Tech Start Date]],15),IF(Main[[#This Row],[Class]]="A",WORKDAY(Main[[#This Row],[Tech Start Date]],5),""))))</f>
        <v/>
      </c>
      <c r="P314" s="122" t="str">
        <f>IF(Main[[#This Row],[Tech Start Date]]&lt;1/1/1990,"",IF(Main[[#This Row],[Class]]="C",WORKDAY(Main[[#This Row],[Tech Start Date]],28),IF(Main[[#This Row],[Class]]="B", WORKDAY(Main[[#This Row],[Tech Start Date]],19),IF(Main[[#This Row],[Class]]="A",WORKDAY(Main[[#This Row],[Tech Start Date]],9),""))))</f>
        <v/>
      </c>
      <c r="Q314" s="131">
        <v>40539</v>
      </c>
      <c r="R314" s="131"/>
      <c r="S314" s="143" t="s">
        <v>11</v>
      </c>
      <c r="T314" s="123" t="s">
        <v>4</v>
      </c>
      <c r="U314" s="143" t="s">
        <v>14</v>
      </c>
      <c r="V314" s="143" t="s">
        <v>1914</v>
      </c>
      <c r="W314" s="143" t="s">
        <v>1920</v>
      </c>
      <c r="X314" s="143" t="s">
        <v>2829</v>
      </c>
      <c r="Y314" s="120" t="s">
        <v>2951</v>
      </c>
      <c r="Z314" s="120" t="s">
        <v>4</v>
      </c>
      <c r="AA314" s="143" t="s">
        <v>2829</v>
      </c>
    </row>
    <row r="315" spans="1:27" ht="17.25" customHeight="1">
      <c r="A315" s="69" t="str">
        <f>IF(priority(Main[[#This Row],[Comments]])&lt;&gt;0, priority(Main[[#This Row],[Comments]]),"")</f>
        <v/>
      </c>
      <c r="B315" s="63" t="s">
        <v>1148</v>
      </c>
      <c r="C315" s="148" t="s">
        <v>203</v>
      </c>
      <c r="D315" s="113" t="s">
        <v>204</v>
      </c>
      <c r="E315" s="129"/>
      <c r="F315" s="129"/>
      <c r="G315" s="69" t="str">
        <f>IF(stdProdLT(Main[[#This Row],[Comments]])=0.1,"N/A",IF(stdProdLT(Main[[#This Row],[Comments]])=0,"",stdProdLT(Main[[#This Row],[Comments]])))</f>
        <v/>
      </c>
      <c r="H315" s="138" t="str">
        <f>IF(Main[[#This Row],[In Stock Date]]="N/A", "N/A",IF(AND(Main[[#This Row],[In Stock Date]]&lt;&gt;"",Main[[#This Row],[Revised Due Date]]&lt;&gt;"",Main[[#This Row],[In Stock Date]]&lt;&gt;""),Main[[#This Row],[In Stock Date]]-Main[[#This Row],[Revised Due Date]],""))</f>
        <v/>
      </c>
      <c r="I315" s="139" t="s">
        <v>4</v>
      </c>
      <c r="J315" s="139" t="s">
        <v>4</v>
      </c>
      <c r="K315" s="139" t="s">
        <v>4</v>
      </c>
      <c r="L315" s="129"/>
      <c r="M315" s="114" t="str">
        <f>IF(Main[[#This Row],[Tech Start Date]]&lt;1/1/1990,"",IF(Main[[#This Row],[Class]]="C",WORKDAY(Main[[#This Row],[Tech Start Date]],9),IF(Main[[#This Row],[Class]]="B", WORKDAY(Main[[#This Row],[Tech Start Date]],6),IF(Main[[#This Row],[Class]]="A",WORKDAY(Main[[#This Row],[Tech Start Date]],2),""))))</f>
        <v/>
      </c>
      <c r="N315" s="114" t="str">
        <f>IF(Main[[#This Row],[Tech Start Date]]&lt;1/1/1990,"",IF(Main[[#This Row],[Class]]="C",WORKDAY(Main[[#This Row],[Tech Start Date]],19),IF(Main[[#This Row],[Class]]="B", WORKDAY(Main[[#This Row],[Tech Start Date]],12),IF(Main[[#This Row],[Class]]="A",WORKDAY(Main[[#This Row],[Tech Start Date]],4),""))))</f>
        <v/>
      </c>
      <c r="O315" s="114" t="str">
        <f>IF(Main[[#This Row],[Tech Start Date]]&lt;1/1/1990,"",IF(Main[[#This Row],[Class]]="C",WORKDAY(Main[[#This Row],[Tech Start Date]],23),IF(Main[[#This Row],[Class]]="B", WORKDAY(Main[[#This Row],[Tech Start Date]],15),IF(Main[[#This Row],[Class]]="A",WORKDAY(Main[[#This Row],[Tech Start Date]],5),""))))</f>
        <v/>
      </c>
      <c r="P315" s="114" t="str">
        <f>IF(Main[[#This Row],[Tech Start Date]]&lt;1/1/1990,"",IF(Main[[#This Row],[Class]]="C",WORKDAY(Main[[#This Row],[Tech Start Date]],28),IF(Main[[#This Row],[Class]]="B", WORKDAY(Main[[#This Row],[Tech Start Date]],19),IF(Main[[#This Row],[Class]]="A",WORKDAY(Main[[#This Row],[Tech Start Date]],9),""))))</f>
        <v/>
      </c>
      <c r="Q315" s="129">
        <v>40302</v>
      </c>
      <c r="R315" s="129"/>
      <c r="S315" s="139" t="s">
        <v>11</v>
      </c>
      <c r="T315" s="115" t="s">
        <v>4</v>
      </c>
      <c r="U315" s="139" t="s">
        <v>14</v>
      </c>
      <c r="V315" s="139" t="s">
        <v>1914</v>
      </c>
      <c r="W315" s="139" t="s">
        <v>1916</v>
      </c>
      <c r="X315" s="139" t="s">
        <v>2854</v>
      </c>
      <c r="Y315" s="112" t="s">
        <v>4</v>
      </c>
      <c r="Z315" s="112" t="s">
        <v>4</v>
      </c>
      <c r="AA315" s="139" t="s">
        <v>2854</v>
      </c>
    </row>
    <row r="316" spans="1:27" ht="17.25" customHeight="1">
      <c r="A316" s="69" t="str">
        <f>IF(priority(Main[[#This Row],[Comments]])&lt;&gt;0, priority(Main[[#This Row],[Comments]]),"")</f>
        <v/>
      </c>
      <c r="B316" s="63" t="s">
        <v>2420</v>
      </c>
      <c r="C316" s="148" t="s">
        <v>4</v>
      </c>
      <c r="D316" s="113" t="s">
        <v>2659</v>
      </c>
      <c r="E316" s="129">
        <v>40842.390289351853</v>
      </c>
      <c r="F316" s="129"/>
      <c r="G316" s="69" t="str">
        <f>IF(stdProdLT(Main[[#This Row],[Comments]])=0.1,"N/A",IF(stdProdLT(Main[[#This Row],[Comments]])=0,"",stdProdLT(Main[[#This Row],[Comments]])))</f>
        <v/>
      </c>
      <c r="H316" s="138" t="str">
        <f>IF(Main[[#This Row],[In Stock Date]]="N/A", "N/A",IF(AND(Main[[#This Row],[In Stock Date]]&lt;&gt;"",Main[[#This Row],[Revised Due Date]]&lt;&gt;"",Main[[#This Row],[In Stock Date]]&lt;&gt;""),Main[[#This Row],[In Stock Date]]-Main[[#This Row],[Revised Due Date]],""))</f>
        <v/>
      </c>
      <c r="I316" s="139" t="s">
        <v>4</v>
      </c>
      <c r="J316" s="139" t="s">
        <v>4</v>
      </c>
      <c r="K316" s="139" t="s">
        <v>4</v>
      </c>
      <c r="L316" s="129"/>
      <c r="M316" s="114" t="str">
        <f>IF(Main[[#This Row],[Tech Start Date]]&lt;1/1/1990,"",IF(Main[[#This Row],[Class]]="C",WORKDAY(Main[[#This Row],[Tech Start Date]],9),IF(Main[[#This Row],[Class]]="B", WORKDAY(Main[[#This Row],[Tech Start Date]],6),IF(Main[[#This Row],[Class]]="A",WORKDAY(Main[[#This Row],[Tech Start Date]],2),""))))</f>
        <v/>
      </c>
      <c r="N316" s="114" t="str">
        <f>IF(Main[[#This Row],[Tech Start Date]]&lt;1/1/1990,"",IF(Main[[#This Row],[Class]]="C",WORKDAY(Main[[#This Row],[Tech Start Date]],19),IF(Main[[#This Row],[Class]]="B", WORKDAY(Main[[#This Row],[Tech Start Date]],12),IF(Main[[#This Row],[Class]]="A",WORKDAY(Main[[#This Row],[Tech Start Date]],4),""))))</f>
        <v/>
      </c>
      <c r="O316" s="114" t="str">
        <f>IF(Main[[#This Row],[Tech Start Date]]&lt;1/1/1990,"",IF(Main[[#This Row],[Class]]="C",WORKDAY(Main[[#This Row],[Tech Start Date]],23),IF(Main[[#This Row],[Class]]="B", WORKDAY(Main[[#This Row],[Tech Start Date]],15),IF(Main[[#This Row],[Class]]="A",WORKDAY(Main[[#This Row],[Tech Start Date]],5),""))))</f>
        <v/>
      </c>
      <c r="P316" s="114" t="str">
        <f>IF(Main[[#This Row],[Tech Start Date]]&lt;1/1/1990,"",IF(Main[[#This Row],[Class]]="C",WORKDAY(Main[[#This Row],[Tech Start Date]],28),IF(Main[[#This Row],[Class]]="B", WORKDAY(Main[[#This Row],[Tech Start Date]],19),IF(Main[[#This Row],[Class]]="A",WORKDAY(Main[[#This Row],[Tech Start Date]],9),""))))</f>
        <v/>
      </c>
      <c r="Q316" s="129"/>
      <c r="R316" s="129"/>
      <c r="S316" s="139" t="s">
        <v>17</v>
      </c>
      <c r="T316" s="115" t="s">
        <v>4</v>
      </c>
      <c r="U316" s="139" t="s">
        <v>29</v>
      </c>
      <c r="V316" s="139" t="s">
        <v>1915</v>
      </c>
      <c r="W316" s="139" t="s">
        <v>1922</v>
      </c>
      <c r="X316" s="139" t="s">
        <v>2862</v>
      </c>
      <c r="Y316" s="112" t="s">
        <v>3006</v>
      </c>
      <c r="Z316" s="112" t="s">
        <v>4</v>
      </c>
      <c r="AA316" s="139" t="s">
        <v>2862</v>
      </c>
    </row>
    <row r="317" spans="1:27" ht="17.25" customHeight="1">
      <c r="A317" s="69" t="str">
        <f>IF(priority(Main[[#This Row],[Comments]])&lt;&gt;0, priority(Main[[#This Row],[Comments]]),"")</f>
        <v/>
      </c>
      <c r="B317" s="63" t="s">
        <v>1149</v>
      </c>
      <c r="C317" s="148" t="s">
        <v>205</v>
      </c>
      <c r="D317" s="113" t="s">
        <v>206</v>
      </c>
      <c r="E317" s="129"/>
      <c r="F317" s="129"/>
      <c r="G317" s="69" t="str">
        <f>IF(stdProdLT(Main[[#This Row],[Comments]])=0.1,"N/A",IF(stdProdLT(Main[[#This Row],[Comments]])=0,"",stdProdLT(Main[[#This Row],[Comments]])))</f>
        <v/>
      </c>
      <c r="H317" s="138" t="str">
        <f>IF(Main[[#This Row],[In Stock Date]]="N/A", "N/A",IF(AND(Main[[#This Row],[In Stock Date]]&lt;&gt;"",Main[[#This Row],[Revised Due Date]]&lt;&gt;"",Main[[#This Row],[In Stock Date]]&lt;&gt;""),Main[[#This Row],[In Stock Date]]-Main[[#This Row],[Revised Due Date]],""))</f>
        <v/>
      </c>
      <c r="I317" s="139" t="s">
        <v>4</v>
      </c>
      <c r="J317" s="139" t="s">
        <v>4</v>
      </c>
      <c r="K317" s="139" t="s">
        <v>4</v>
      </c>
      <c r="L317" s="129"/>
      <c r="M317" s="114" t="str">
        <f>IF(Main[[#This Row],[Tech Start Date]]&lt;1/1/1990,"",IF(Main[[#This Row],[Class]]="C",WORKDAY(Main[[#This Row],[Tech Start Date]],9),IF(Main[[#This Row],[Class]]="B", WORKDAY(Main[[#This Row],[Tech Start Date]],6),IF(Main[[#This Row],[Class]]="A",WORKDAY(Main[[#This Row],[Tech Start Date]],2),""))))</f>
        <v/>
      </c>
      <c r="N317" s="114" t="str">
        <f>IF(Main[[#This Row],[Tech Start Date]]&lt;1/1/1990,"",IF(Main[[#This Row],[Class]]="C",WORKDAY(Main[[#This Row],[Tech Start Date]],19),IF(Main[[#This Row],[Class]]="B", WORKDAY(Main[[#This Row],[Tech Start Date]],12),IF(Main[[#This Row],[Class]]="A",WORKDAY(Main[[#This Row],[Tech Start Date]],4),""))))</f>
        <v/>
      </c>
      <c r="O317" s="114" t="str">
        <f>IF(Main[[#This Row],[Tech Start Date]]&lt;1/1/1990,"",IF(Main[[#This Row],[Class]]="C",WORKDAY(Main[[#This Row],[Tech Start Date]],23),IF(Main[[#This Row],[Class]]="B", WORKDAY(Main[[#This Row],[Tech Start Date]],15),IF(Main[[#This Row],[Class]]="A",WORKDAY(Main[[#This Row],[Tech Start Date]],5),""))))</f>
        <v/>
      </c>
      <c r="P317" s="114" t="str">
        <f>IF(Main[[#This Row],[Tech Start Date]]&lt;1/1/1990,"",IF(Main[[#This Row],[Class]]="C",WORKDAY(Main[[#This Row],[Tech Start Date]],28),IF(Main[[#This Row],[Class]]="B", WORKDAY(Main[[#This Row],[Tech Start Date]],19),IF(Main[[#This Row],[Class]]="A",WORKDAY(Main[[#This Row],[Tech Start Date]],9),""))))</f>
        <v/>
      </c>
      <c r="Q317" s="129">
        <v>40116</v>
      </c>
      <c r="R317" s="129"/>
      <c r="S317" s="139" t="s">
        <v>11</v>
      </c>
      <c r="T317" s="115" t="s">
        <v>4</v>
      </c>
      <c r="U317" s="139" t="s">
        <v>14</v>
      </c>
      <c r="V317" s="139" t="s">
        <v>1917</v>
      </c>
      <c r="W317" s="139" t="s">
        <v>1916</v>
      </c>
      <c r="X317" s="139" t="s">
        <v>2863</v>
      </c>
      <c r="Y317" s="112" t="s">
        <v>4</v>
      </c>
      <c r="Z317" s="112" t="s">
        <v>4</v>
      </c>
      <c r="AA317" s="139" t="s">
        <v>2863</v>
      </c>
    </row>
    <row r="318" spans="1:27" ht="17.25" customHeight="1">
      <c r="A318" s="69" t="str">
        <f>IF(priority(Main[[#This Row],[Comments]])&lt;&gt;0, priority(Main[[#This Row],[Comments]]),"")</f>
        <v/>
      </c>
      <c r="B318" s="63" t="s">
        <v>1150</v>
      </c>
      <c r="C318" s="148" t="s">
        <v>205</v>
      </c>
      <c r="D318" s="113" t="s">
        <v>207</v>
      </c>
      <c r="E318" s="129"/>
      <c r="F318" s="129"/>
      <c r="G318" s="69" t="str">
        <f>IF(stdProdLT(Main[[#This Row],[Comments]])=0.1,"N/A",IF(stdProdLT(Main[[#This Row],[Comments]])=0,"",stdProdLT(Main[[#This Row],[Comments]])))</f>
        <v/>
      </c>
      <c r="H318" s="138" t="str">
        <f>IF(Main[[#This Row],[In Stock Date]]="N/A", "N/A",IF(AND(Main[[#This Row],[In Stock Date]]&lt;&gt;"",Main[[#This Row],[Revised Due Date]]&lt;&gt;"",Main[[#This Row],[In Stock Date]]&lt;&gt;""),Main[[#This Row],[In Stock Date]]-Main[[#This Row],[Revised Due Date]],""))</f>
        <v/>
      </c>
      <c r="I318" s="139" t="s">
        <v>4</v>
      </c>
      <c r="J318" s="139" t="s">
        <v>4</v>
      </c>
      <c r="K318" s="140" t="s">
        <v>4</v>
      </c>
      <c r="L318" s="129"/>
      <c r="M318" s="114" t="str">
        <f>IF(Main[[#This Row],[Tech Start Date]]&lt;1/1/1990,"",IF(Main[[#This Row],[Class]]="C",WORKDAY(Main[[#This Row],[Tech Start Date]],9),IF(Main[[#This Row],[Class]]="B", WORKDAY(Main[[#This Row],[Tech Start Date]],6),IF(Main[[#This Row],[Class]]="A",WORKDAY(Main[[#This Row],[Tech Start Date]],2),""))))</f>
        <v/>
      </c>
      <c r="N318" s="114" t="str">
        <f>IF(Main[[#This Row],[Tech Start Date]]&lt;1/1/1990,"",IF(Main[[#This Row],[Class]]="C",WORKDAY(Main[[#This Row],[Tech Start Date]],19),IF(Main[[#This Row],[Class]]="B", WORKDAY(Main[[#This Row],[Tech Start Date]],12),IF(Main[[#This Row],[Class]]="A",WORKDAY(Main[[#This Row],[Tech Start Date]],4),""))))</f>
        <v/>
      </c>
      <c r="O318" s="114" t="str">
        <f>IF(Main[[#This Row],[Tech Start Date]]&lt;1/1/1990,"",IF(Main[[#This Row],[Class]]="C",WORKDAY(Main[[#This Row],[Tech Start Date]],23),IF(Main[[#This Row],[Class]]="B", WORKDAY(Main[[#This Row],[Tech Start Date]],15),IF(Main[[#This Row],[Class]]="A",WORKDAY(Main[[#This Row],[Tech Start Date]],5),""))))</f>
        <v/>
      </c>
      <c r="P318" s="114" t="str">
        <f>IF(Main[[#This Row],[Tech Start Date]]&lt;1/1/1990,"",IF(Main[[#This Row],[Class]]="C",WORKDAY(Main[[#This Row],[Tech Start Date]],28),IF(Main[[#This Row],[Class]]="B", WORKDAY(Main[[#This Row],[Tech Start Date]],19),IF(Main[[#This Row],[Class]]="A",WORKDAY(Main[[#This Row],[Tech Start Date]],9),""))))</f>
        <v/>
      </c>
      <c r="Q318" s="129">
        <v>40116</v>
      </c>
      <c r="R318" s="129"/>
      <c r="S318" s="139" t="s">
        <v>11</v>
      </c>
      <c r="T318" s="115" t="s">
        <v>4</v>
      </c>
      <c r="U318" s="139" t="s">
        <v>14</v>
      </c>
      <c r="V318" s="139" t="s">
        <v>1917</v>
      </c>
      <c r="W318" s="139" t="s">
        <v>1916</v>
      </c>
      <c r="X318" s="139" t="s">
        <v>2863</v>
      </c>
      <c r="Y318" s="112" t="s">
        <v>4</v>
      </c>
      <c r="Z318" s="112" t="s">
        <v>4</v>
      </c>
      <c r="AA318" s="139" t="s">
        <v>2863</v>
      </c>
    </row>
    <row r="319" spans="1:27" ht="17.25" customHeight="1">
      <c r="A319" s="69" t="str">
        <f>IF(priority(Main[[#This Row],[Comments]])&lt;&gt;0, priority(Main[[#This Row],[Comments]]),"")</f>
        <v/>
      </c>
      <c r="B319" s="63" t="s">
        <v>1859</v>
      </c>
      <c r="C319" s="148" t="s">
        <v>31</v>
      </c>
      <c r="D319" s="113" t="s">
        <v>916</v>
      </c>
      <c r="E319" s="129"/>
      <c r="F319" s="129">
        <v>40664</v>
      </c>
      <c r="G319" s="69" t="str">
        <f>IF(stdProdLT(Main[[#This Row],[Comments]])=0.1,"N/A",IF(stdProdLT(Main[[#This Row],[Comments]])=0,"",stdProdLT(Main[[#This Row],[Comments]])))</f>
        <v/>
      </c>
      <c r="H319" s="138">
        <f>IF(Main[[#This Row],[In Stock Date]]="N/A", "N/A",IF(AND(Main[[#This Row],[In Stock Date]]&lt;&gt;"",Main[[#This Row],[Revised Due Date]]&lt;&gt;"",Main[[#This Row],[In Stock Date]]&lt;&gt;""),Main[[#This Row],[In Stock Date]]-Main[[#This Row],[Revised Due Date]],""))</f>
        <v>87</v>
      </c>
      <c r="I319" s="139" t="s">
        <v>417</v>
      </c>
      <c r="J319" s="139" t="s">
        <v>75</v>
      </c>
      <c r="K319" s="139" t="s">
        <v>1923</v>
      </c>
      <c r="L319" s="129"/>
      <c r="M319" s="114" t="str">
        <f>IF(Main[[#This Row],[Tech Start Date]]&lt;1/1/1990,"",IF(Main[[#This Row],[Class]]="C",WORKDAY(Main[[#This Row],[Tech Start Date]],9),IF(Main[[#This Row],[Class]]="B", WORKDAY(Main[[#This Row],[Tech Start Date]],6),IF(Main[[#This Row],[Class]]="A",WORKDAY(Main[[#This Row],[Tech Start Date]],2),""))))</f>
        <v/>
      </c>
      <c r="N319" s="114" t="str">
        <f>IF(Main[[#This Row],[Tech Start Date]]&lt;1/1/1990,"",IF(Main[[#This Row],[Class]]="C",WORKDAY(Main[[#This Row],[Tech Start Date]],19),IF(Main[[#This Row],[Class]]="B", WORKDAY(Main[[#This Row],[Tech Start Date]],12),IF(Main[[#This Row],[Class]]="A",WORKDAY(Main[[#This Row],[Tech Start Date]],4),""))))</f>
        <v/>
      </c>
      <c r="O319" s="114" t="str">
        <f>IF(Main[[#This Row],[Tech Start Date]]&lt;1/1/1990,"",IF(Main[[#This Row],[Class]]="C",WORKDAY(Main[[#This Row],[Tech Start Date]],23),IF(Main[[#This Row],[Class]]="B", WORKDAY(Main[[#This Row],[Tech Start Date]],15),IF(Main[[#This Row],[Class]]="A",WORKDAY(Main[[#This Row],[Tech Start Date]],5),""))))</f>
        <v/>
      </c>
      <c r="P319" s="114" t="str">
        <f>IF(Main[[#This Row],[Tech Start Date]]&lt;1/1/1990,"",IF(Main[[#This Row],[Class]]="C",WORKDAY(Main[[#This Row],[Tech Start Date]],28),IF(Main[[#This Row],[Class]]="B", WORKDAY(Main[[#This Row],[Tech Start Date]],19),IF(Main[[#This Row],[Class]]="A",WORKDAY(Main[[#This Row],[Tech Start Date]],9),""))))</f>
        <v/>
      </c>
      <c r="Q319" s="129">
        <v>40589</v>
      </c>
      <c r="R319" s="129">
        <v>40577</v>
      </c>
      <c r="S319" s="139" t="s">
        <v>11</v>
      </c>
      <c r="T319" s="115" t="s">
        <v>4</v>
      </c>
      <c r="U319" s="139" t="s">
        <v>14</v>
      </c>
      <c r="V319" s="139" t="s">
        <v>1917</v>
      </c>
      <c r="W319" s="139" t="s">
        <v>1920</v>
      </c>
      <c r="X319" s="139" t="s">
        <v>2825</v>
      </c>
      <c r="Y319" s="112" t="s">
        <v>2967</v>
      </c>
      <c r="Z319" s="112" t="s">
        <v>530</v>
      </c>
      <c r="AA319" s="139" t="s">
        <v>2825</v>
      </c>
    </row>
    <row r="320" spans="1:27" ht="17.25" customHeight="1">
      <c r="A320" s="69" t="str">
        <f>IF(priority(Main[[#This Row],[Comments]])&lt;&gt;0, priority(Main[[#This Row],[Comments]]),"")</f>
        <v/>
      </c>
      <c r="B320" s="63" t="s">
        <v>1157</v>
      </c>
      <c r="C320" s="148" t="s">
        <v>211</v>
      </c>
      <c r="D320" s="113" t="s">
        <v>212</v>
      </c>
      <c r="E320" s="129"/>
      <c r="F320" s="129">
        <v>40391</v>
      </c>
      <c r="G320" s="69" t="str">
        <f>IF(stdProdLT(Main[[#This Row],[Comments]])=0.1,"N/A",IF(stdProdLT(Main[[#This Row],[Comments]])=0,"",stdProdLT(Main[[#This Row],[Comments]])))</f>
        <v/>
      </c>
      <c r="H320" s="138" t="str">
        <f>IF(Main[[#This Row],[In Stock Date]]="N/A", "N/A",IF(AND(Main[[#This Row],[In Stock Date]]&lt;&gt;"",Main[[#This Row],[Revised Due Date]]&lt;&gt;"",Main[[#This Row],[In Stock Date]]&lt;&gt;""),Main[[#This Row],[In Stock Date]]-Main[[#This Row],[Revised Due Date]],""))</f>
        <v/>
      </c>
      <c r="I320" s="139" t="s">
        <v>4</v>
      </c>
      <c r="J320" s="139" t="s">
        <v>4</v>
      </c>
      <c r="K320" s="139" t="s">
        <v>4</v>
      </c>
      <c r="L320" s="129"/>
      <c r="M320" s="114" t="str">
        <f>IF(Main[[#This Row],[Tech Start Date]]&lt;1/1/1990,"",IF(Main[[#This Row],[Class]]="C",WORKDAY(Main[[#This Row],[Tech Start Date]],9),IF(Main[[#This Row],[Class]]="B", WORKDAY(Main[[#This Row],[Tech Start Date]],6),IF(Main[[#This Row],[Class]]="A",WORKDAY(Main[[#This Row],[Tech Start Date]],2),""))))</f>
        <v/>
      </c>
      <c r="N320" s="114" t="str">
        <f>IF(Main[[#This Row],[Tech Start Date]]&lt;1/1/1990,"",IF(Main[[#This Row],[Class]]="C",WORKDAY(Main[[#This Row],[Tech Start Date]],19),IF(Main[[#This Row],[Class]]="B", WORKDAY(Main[[#This Row],[Tech Start Date]],12),IF(Main[[#This Row],[Class]]="A",WORKDAY(Main[[#This Row],[Tech Start Date]],4),""))))</f>
        <v/>
      </c>
      <c r="O320" s="114" t="str">
        <f>IF(Main[[#This Row],[Tech Start Date]]&lt;1/1/1990,"",IF(Main[[#This Row],[Class]]="C",WORKDAY(Main[[#This Row],[Tech Start Date]],23),IF(Main[[#This Row],[Class]]="B", WORKDAY(Main[[#This Row],[Tech Start Date]],15),IF(Main[[#This Row],[Class]]="A",WORKDAY(Main[[#This Row],[Tech Start Date]],5),""))))</f>
        <v/>
      </c>
      <c r="P320" s="114" t="str">
        <f>IF(Main[[#This Row],[Tech Start Date]]&lt;1/1/1990,"",IF(Main[[#This Row],[Class]]="C",WORKDAY(Main[[#This Row],[Tech Start Date]],28),IF(Main[[#This Row],[Class]]="B", WORKDAY(Main[[#This Row],[Tech Start Date]],19),IF(Main[[#This Row],[Class]]="A",WORKDAY(Main[[#This Row],[Tech Start Date]],9),""))))</f>
        <v/>
      </c>
      <c r="Q320" s="129">
        <v>40296</v>
      </c>
      <c r="R320" s="129"/>
      <c r="S320" s="139" t="s">
        <v>11</v>
      </c>
      <c r="T320" s="115" t="s">
        <v>4</v>
      </c>
      <c r="U320" s="139" t="s">
        <v>12</v>
      </c>
      <c r="V320" s="139" t="s">
        <v>1914</v>
      </c>
      <c r="W320" s="139" t="s">
        <v>1922</v>
      </c>
      <c r="X320" s="139" t="s">
        <v>2833</v>
      </c>
      <c r="Y320" s="112" t="s">
        <v>4</v>
      </c>
      <c r="Z320" s="112" t="s">
        <v>4</v>
      </c>
      <c r="AA320" s="139" t="s">
        <v>2833</v>
      </c>
    </row>
    <row r="321" spans="1:27" ht="17.25" customHeight="1">
      <c r="A321" s="69" t="str">
        <f>IF(priority(Main[[#This Row],[Comments]])&lt;&gt;0, priority(Main[[#This Row],[Comments]]),"")</f>
        <v/>
      </c>
      <c r="B321" s="63" t="s">
        <v>1159</v>
      </c>
      <c r="C321" s="148" t="s">
        <v>213</v>
      </c>
      <c r="D321" s="113" t="s">
        <v>214</v>
      </c>
      <c r="E321" s="129">
        <v>40395.391388888886</v>
      </c>
      <c r="F321" s="129">
        <v>40574</v>
      </c>
      <c r="G321" s="69" t="str">
        <f>IF(stdProdLT(Main[[#This Row],[Comments]])=0.1,"N/A",IF(stdProdLT(Main[[#This Row],[Comments]])=0,"",stdProdLT(Main[[#This Row],[Comments]])))</f>
        <v/>
      </c>
      <c r="H321" s="138" t="str">
        <f>IF(Main[[#This Row],[In Stock Date]]="N/A", "N/A",IF(AND(Main[[#This Row],[In Stock Date]]&lt;&gt;"",Main[[#This Row],[Revised Due Date]]&lt;&gt;"",Main[[#This Row],[In Stock Date]]&lt;&gt;""),Main[[#This Row],[In Stock Date]]-Main[[#This Row],[Revised Due Date]],""))</f>
        <v/>
      </c>
      <c r="I321" s="139" t="s">
        <v>4</v>
      </c>
      <c r="J321" s="139" t="s">
        <v>28</v>
      </c>
      <c r="K321" s="139" t="s">
        <v>4</v>
      </c>
      <c r="L321" s="129"/>
      <c r="M321" s="114" t="str">
        <f>IF(Main[[#This Row],[Tech Start Date]]&lt;1/1/1990,"",IF(Main[[#This Row],[Class]]="C",WORKDAY(Main[[#This Row],[Tech Start Date]],9),IF(Main[[#This Row],[Class]]="B", WORKDAY(Main[[#This Row],[Tech Start Date]],6),IF(Main[[#This Row],[Class]]="A",WORKDAY(Main[[#This Row],[Tech Start Date]],2),""))))</f>
        <v/>
      </c>
      <c r="N321" s="114" t="str">
        <f>IF(Main[[#This Row],[Tech Start Date]]&lt;1/1/1990,"",IF(Main[[#This Row],[Class]]="C",WORKDAY(Main[[#This Row],[Tech Start Date]],19),IF(Main[[#This Row],[Class]]="B", WORKDAY(Main[[#This Row],[Tech Start Date]],12),IF(Main[[#This Row],[Class]]="A",WORKDAY(Main[[#This Row],[Tech Start Date]],4),""))))</f>
        <v/>
      </c>
      <c r="O321" s="114" t="str">
        <f>IF(Main[[#This Row],[Tech Start Date]]&lt;1/1/1990,"",IF(Main[[#This Row],[Class]]="C",WORKDAY(Main[[#This Row],[Tech Start Date]],23),IF(Main[[#This Row],[Class]]="B", WORKDAY(Main[[#This Row],[Tech Start Date]],15),IF(Main[[#This Row],[Class]]="A",WORKDAY(Main[[#This Row],[Tech Start Date]],5),""))))</f>
        <v/>
      </c>
      <c r="P321" s="114" t="str">
        <f>IF(Main[[#This Row],[Tech Start Date]]&lt;1/1/1990,"",IF(Main[[#This Row],[Class]]="C",WORKDAY(Main[[#This Row],[Tech Start Date]],28),IF(Main[[#This Row],[Class]]="B", WORKDAY(Main[[#This Row],[Tech Start Date]],19),IF(Main[[#This Row],[Class]]="A",WORKDAY(Main[[#This Row],[Tech Start Date]],9),""))))</f>
        <v/>
      </c>
      <c r="Q321" s="129"/>
      <c r="R321" s="129"/>
      <c r="S321" s="139" t="s">
        <v>17</v>
      </c>
      <c r="T321" s="115" t="s">
        <v>4</v>
      </c>
      <c r="U321" s="139" t="s">
        <v>7</v>
      </c>
      <c r="V321" s="139" t="s">
        <v>1914</v>
      </c>
      <c r="W321" s="139" t="s">
        <v>1919</v>
      </c>
      <c r="X321" s="139" t="s">
        <v>50</v>
      </c>
      <c r="Y321" s="112" t="s">
        <v>3007</v>
      </c>
      <c r="Z321" s="112" t="s">
        <v>129</v>
      </c>
      <c r="AA321" s="139" t="s">
        <v>65</v>
      </c>
    </row>
    <row r="322" spans="1:27" ht="17.25" customHeight="1">
      <c r="A322" s="69" t="str">
        <f>IF(priority(Main[[#This Row],[Comments]])&lt;&gt;0, priority(Main[[#This Row],[Comments]]),"")</f>
        <v/>
      </c>
      <c r="B322" s="63" t="s">
        <v>1160</v>
      </c>
      <c r="C322" s="148" t="s">
        <v>169</v>
      </c>
      <c r="D322" s="113" t="s">
        <v>215</v>
      </c>
      <c r="E322" s="129"/>
      <c r="F322" s="129">
        <v>40237</v>
      </c>
      <c r="G322" s="69" t="str">
        <f>IF(stdProdLT(Main[[#This Row],[Comments]])=0.1,"N/A",IF(stdProdLT(Main[[#This Row],[Comments]])=0,"",stdProdLT(Main[[#This Row],[Comments]])))</f>
        <v/>
      </c>
      <c r="H322" s="138" t="str">
        <f>IF(Main[[#This Row],[In Stock Date]]="N/A", "N/A",IF(AND(Main[[#This Row],[In Stock Date]]&lt;&gt;"",Main[[#This Row],[Revised Due Date]]&lt;&gt;"",Main[[#This Row],[In Stock Date]]&lt;&gt;""),Main[[#This Row],[In Stock Date]]-Main[[#This Row],[Revised Due Date]],""))</f>
        <v/>
      </c>
      <c r="I322" s="139" t="s">
        <v>4</v>
      </c>
      <c r="J322" s="139" t="s">
        <v>4</v>
      </c>
      <c r="K322" s="139" t="s">
        <v>4</v>
      </c>
      <c r="L322" s="129"/>
      <c r="M322" s="114" t="str">
        <f>IF(Main[[#This Row],[Tech Start Date]]&lt;1/1/1990,"",IF(Main[[#This Row],[Class]]="C",WORKDAY(Main[[#This Row],[Tech Start Date]],9),IF(Main[[#This Row],[Class]]="B", WORKDAY(Main[[#This Row],[Tech Start Date]],6),IF(Main[[#This Row],[Class]]="A",WORKDAY(Main[[#This Row],[Tech Start Date]],2),""))))</f>
        <v/>
      </c>
      <c r="N322" s="114" t="str">
        <f>IF(Main[[#This Row],[Tech Start Date]]&lt;1/1/1990,"",IF(Main[[#This Row],[Class]]="C",WORKDAY(Main[[#This Row],[Tech Start Date]],19),IF(Main[[#This Row],[Class]]="B", WORKDAY(Main[[#This Row],[Tech Start Date]],12),IF(Main[[#This Row],[Class]]="A",WORKDAY(Main[[#This Row],[Tech Start Date]],4),""))))</f>
        <v/>
      </c>
      <c r="O322" s="114" t="str">
        <f>IF(Main[[#This Row],[Tech Start Date]]&lt;1/1/1990,"",IF(Main[[#This Row],[Class]]="C",WORKDAY(Main[[#This Row],[Tech Start Date]],23),IF(Main[[#This Row],[Class]]="B", WORKDAY(Main[[#This Row],[Tech Start Date]],15),IF(Main[[#This Row],[Class]]="A",WORKDAY(Main[[#This Row],[Tech Start Date]],5),""))))</f>
        <v/>
      </c>
      <c r="P322" s="114" t="str">
        <f>IF(Main[[#This Row],[Tech Start Date]]&lt;1/1/1990,"",IF(Main[[#This Row],[Class]]="C",WORKDAY(Main[[#This Row],[Tech Start Date]],28),IF(Main[[#This Row],[Class]]="B", WORKDAY(Main[[#This Row],[Tech Start Date]],19),IF(Main[[#This Row],[Class]]="A",WORKDAY(Main[[#This Row],[Tech Start Date]],9),""))))</f>
        <v/>
      </c>
      <c r="Q322" s="129">
        <v>40132</v>
      </c>
      <c r="R322" s="129"/>
      <c r="S322" s="139" t="s">
        <v>11</v>
      </c>
      <c r="T322" s="115" t="s">
        <v>4</v>
      </c>
      <c r="U322" s="139" t="s">
        <v>14</v>
      </c>
      <c r="V322" s="139" t="s">
        <v>1914</v>
      </c>
      <c r="W322" s="139" t="s">
        <v>1919</v>
      </c>
      <c r="X322" s="139" t="s">
        <v>2858</v>
      </c>
      <c r="Y322" s="112" t="s">
        <v>4</v>
      </c>
      <c r="Z322" s="112" t="s">
        <v>4</v>
      </c>
      <c r="AA322" s="139" t="s">
        <v>2858</v>
      </c>
    </row>
    <row r="323" spans="1:27" ht="17.25" customHeight="1">
      <c r="A323" s="69" t="str">
        <f>IF(priority(Main[[#This Row],[Comments]])&lt;&gt;0, priority(Main[[#This Row],[Comments]]),"")</f>
        <v/>
      </c>
      <c r="B323" s="63" t="s">
        <v>1161</v>
      </c>
      <c r="C323" s="148" t="s">
        <v>4</v>
      </c>
      <c r="D323" s="113" t="s">
        <v>216</v>
      </c>
      <c r="E323" s="129"/>
      <c r="F323" s="129"/>
      <c r="G323" s="69" t="str">
        <f>IF(stdProdLT(Main[[#This Row],[Comments]])=0.1,"N/A",IF(stdProdLT(Main[[#This Row],[Comments]])=0,"",stdProdLT(Main[[#This Row],[Comments]])))</f>
        <v/>
      </c>
      <c r="H323" s="138" t="str">
        <f>IF(Main[[#This Row],[In Stock Date]]="N/A", "N/A",IF(AND(Main[[#This Row],[In Stock Date]]&lt;&gt;"",Main[[#This Row],[Revised Due Date]]&lt;&gt;"",Main[[#This Row],[In Stock Date]]&lt;&gt;""),Main[[#This Row],[In Stock Date]]-Main[[#This Row],[Revised Due Date]],""))</f>
        <v/>
      </c>
      <c r="I323" s="139" t="s">
        <v>4</v>
      </c>
      <c r="J323" s="139" t="s">
        <v>4</v>
      </c>
      <c r="K323" s="139" t="s">
        <v>4</v>
      </c>
      <c r="L323" s="129"/>
      <c r="M323" s="114" t="str">
        <f>IF(Main[[#This Row],[Tech Start Date]]&lt;1/1/1990,"",IF(Main[[#This Row],[Class]]="C",WORKDAY(Main[[#This Row],[Tech Start Date]],9),IF(Main[[#This Row],[Class]]="B", WORKDAY(Main[[#This Row],[Tech Start Date]],6),IF(Main[[#This Row],[Class]]="A",WORKDAY(Main[[#This Row],[Tech Start Date]],2),""))))</f>
        <v/>
      </c>
      <c r="N323" s="114" t="str">
        <f>IF(Main[[#This Row],[Tech Start Date]]&lt;1/1/1990,"",IF(Main[[#This Row],[Class]]="C",WORKDAY(Main[[#This Row],[Tech Start Date]],19),IF(Main[[#This Row],[Class]]="B", WORKDAY(Main[[#This Row],[Tech Start Date]],12),IF(Main[[#This Row],[Class]]="A",WORKDAY(Main[[#This Row],[Tech Start Date]],4),""))))</f>
        <v/>
      </c>
      <c r="O323" s="114" t="str">
        <f>IF(Main[[#This Row],[Tech Start Date]]&lt;1/1/1990,"",IF(Main[[#This Row],[Class]]="C",WORKDAY(Main[[#This Row],[Tech Start Date]],23),IF(Main[[#This Row],[Class]]="B", WORKDAY(Main[[#This Row],[Tech Start Date]],15),IF(Main[[#This Row],[Class]]="A",WORKDAY(Main[[#This Row],[Tech Start Date]],5),""))))</f>
        <v/>
      </c>
      <c r="P323" s="114" t="str">
        <f>IF(Main[[#This Row],[Tech Start Date]]&lt;1/1/1990,"",IF(Main[[#This Row],[Class]]="C",WORKDAY(Main[[#This Row],[Tech Start Date]],28),IF(Main[[#This Row],[Class]]="B", WORKDAY(Main[[#This Row],[Tech Start Date]],19),IF(Main[[#This Row],[Class]]="A",WORKDAY(Main[[#This Row],[Tech Start Date]],9),""))))</f>
        <v/>
      </c>
      <c r="Q323" s="129"/>
      <c r="R323" s="129"/>
      <c r="S323" s="139" t="s">
        <v>17</v>
      </c>
      <c r="T323" s="115" t="s">
        <v>4</v>
      </c>
      <c r="U323" s="139" t="s">
        <v>12</v>
      </c>
      <c r="V323" s="139" t="s">
        <v>1914</v>
      </c>
      <c r="W323" s="139" t="s">
        <v>1918</v>
      </c>
      <c r="X323" s="139" t="s">
        <v>877</v>
      </c>
      <c r="Y323" s="112" t="s">
        <v>4</v>
      </c>
      <c r="Z323" s="112" t="s">
        <v>4</v>
      </c>
      <c r="AA323" s="139" t="s">
        <v>4</v>
      </c>
    </row>
    <row r="324" spans="1:27" ht="17.25" customHeight="1">
      <c r="A324" s="69" t="str">
        <f>IF(priority(Main[[#This Row],[Comments]])&lt;&gt;0, priority(Main[[#This Row],[Comments]]),"")</f>
        <v/>
      </c>
      <c r="B324" s="63" t="s">
        <v>1163</v>
      </c>
      <c r="C324" s="148" t="s">
        <v>93</v>
      </c>
      <c r="D324" s="113" t="s">
        <v>218</v>
      </c>
      <c r="E324" s="129"/>
      <c r="F324" s="129">
        <v>40299</v>
      </c>
      <c r="G324" s="69" t="str">
        <f>IF(stdProdLT(Main[[#This Row],[Comments]])=0.1,"N/A",IF(stdProdLT(Main[[#This Row],[Comments]])=0,"",stdProdLT(Main[[#This Row],[Comments]])))</f>
        <v/>
      </c>
      <c r="H324" s="138" t="str">
        <f>IF(Main[[#This Row],[In Stock Date]]="N/A", "N/A",IF(AND(Main[[#This Row],[In Stock Date]]&lt;&gt;"",Main[[#This Row],[Revised Due Date]]&lt;&gt;"",Main[[#This Row],[In Stock Date]]&lt;&gt;""),Main[[#This Row],[In Stock Date]]-Main[[#This Row],[Revised Due Date]],""))</f>
        <v/>
      </c>
      <c r="I324" s="139" t="s">
        <v>4</v>
      </c>
      <c r="J324" s="139" t="s">
        <v>4</v>
      </c>
      <c r="K324" s="139" t="s">
        <v>4</v>
      </c>
      <c r="L324" s="129"/>
      <c r="M324" s="114" t="str">
        <f>IF(Main[[#This Row],[Tech Start Date]]&lt;1/1/1990,"",IF(Main[[#This Row],[Class]]="C",WORKDAY(Main[[#This Row],[Tech Start Date]],9),IF(Main[[#This Row],[Class]]="B", WORKDAY(Main[[#This Row],[Tech Start Date]],6),IF(Main[[#This Row],[Class]]="A",WORKDAY(Main[[#This Row],[Tech Start Date]],2),""))))</f>
        <v/>
      </c>
      <c r="N324" s="114" t="str">
        <f>IF(Main[[#This Row],[Tech Start Date]]&lt;1/1/1990,"",IF(Main[[#This Row],[Class]]="C",WORKDAY(Main[[#This Row],[Tech Start Date]],19),IF(Main[[#This Row],[Class]]="B", WORKDAY(Main[[#This Row],[Tech Start Date]],12),IF(Main[[#This Row],[Class]]="A",WORKDAY(Main[[#This Row],[Tech Start Date]],4),""))))</f>
        <v/>
      </c>
      <c r="O324" s="114" t="str">
        <f>IF(Main[[#This Row],[Tech Start Date]]&lt;1/1/1990,"",IF(Main[[#This Row],[Class]]="C",WORKDAY(Main[[#This Row],[Tech Start Date]],23),IF(Main[[#This Row],[Class]]="B", WORKDAY(Main[[#This Row],[Tech Start Date]],15),IF(Main[[#This Row],[Class]]="A",WORKDAY(Main[[#This Row],[Tech Start Date]],5),""))))</f>
        <v/>
      </c>
      <c r="P324" s="114" t="str">
        <f>IF(Main[[#This Row],[Tech Start Date]]&lt;1/1/1990,"",IF(Main[[#This Row],[Class]]="C",WORKDAY(Main[[#This Row],[Tech Start Date]],28),IF(Main[[#This Row],[Class]]="B", WORKDAY(Main[[#This Row],[Tech Start Date]],19),IF(Main[[#This Row],[Class]]="A",WORKDAY(Main[[#This Row],[Tech Start Date]],9),""))))</f>
        <v/>
      </c>
      <c r="Q324" s="129">
        <v>40214</v>
      </c>
      <c r="R324" s="129"/>
      <c r="S324" s="139" t="s">
        <v>11</v>
      </c>
      <c r="T324" s="115" t="s">
        <v>4</v>
      </c>
      <c r="U324" s="139" t="s">
        <v>12</v>
      </c>
      <c r="V324" s="139" t="s">
        <v>1914</v>
      </c>
      <c r="W324" s="139" t="s">
        <v>1920</v>
      </c>
      <c r="X324" s="139" t="s">
        <v>2845</v>
      </c>
      <c r="Y324" s="112" t="s">
        <v>4</v>
      </c>
      <c r="Z324" s="112" t="s">
        <v>4</v>
      </c>
      <c r="AA324" s="139" t="s">
        <v>2845</v>
      </c>
    </row>
    <row r="325" spans="1:27" ht="17.25" customHeight="1">
      <c r="A325" s="69" t="str">
        <f>IF(priority(Main[[#This Row],[Comments]])&lt;&gt;0, priority(Main[[#This Row],[Comments]]),"")</f>
        <v/>
      </c>
      <c r="B325" s="63" t="s">
        <v>1164</v>
      </c>
      <c r="C325" s="148" t="s">
        <v>113</v>
      </c>
      <c r="D325" s="113" t="s">
        <v>219</v>
      </c>
      <c r="E325" s="129"/>
      <c r="F325" s="129">
        <v>40193</v>
      </c>
      <c r="G325" s="69" t="str">
        <f>IF(stdProdLT(Main[[#This Row],[Comments]])=0.1,"N/A",IF(stdProdLT(Main[[#This Row],[Comments]])=0,"",stdProdLT(Main[[#This Row],[Comments]])))</f>
        <v/>
      </c>
      <c r="H325" s="138" t="str">
        <f>IF(Main[[#This Row],[In Stock Date]]="N/A", "N/A",IF(AND(Main[[#This Row],[In Stock Date]]&lt;&gt;"",Main[[#This Row],[Revised Due Date]]&lt;&gt;"",Main[[#This Row],[In Stock Date]]&lt;&gt;""),Main[[#This Row],[In Stock Date]]-Main[[#This Row],[Revised Due Date]],""))</f>
        <v/>
      </c>
      <c r="I325" s="139" t="s">
        <v>4</v>
      </c>
      <c r="J325" s="139" t="s">
        <v>4</v>
      </c>
      <c r="K325" s="139" t="s">
        <v>4</v>
      </c>
      <c r="L325" s="129"/>
      <c r="M325" s="114" t="str">
        <f>IF(Main[[#This Row],[Tech Start Date]]&lt;1/1/1990,"",IF(Main[[#This Row],[Class]]="C",WORKDAY(Main[[#This Row],[Tech Start Date]],9),IF(Main[[#This Row],[Class]]="B", WORKDAY(Main[[#This Row],[Tech Start Date]],6),IF(Main[[#This Row],[Class]]="A",WORKDAY(Main[[#This Row],[Tech Start Date]],2),""))))</f>
        <v/>
      </c>
      <c r="N325" s="114" t="str">
        <f>IF(Main[[#This Row],[Tech Start Date]]&lt;1/1/1990,"",IF(Main[[#This Row],[Class]]="C",WORKDAY(Main[[#This Row],[Tech Start Date]],19),IF(Main[[#This Row],[Class]]="B", WORKDAY(Main[[#This Row],[Tech Start Date]],12),IF(Main[[#This Row],[Class]]="A",WORKDAY(Main[[#This Row],[Tech Start Date]],4),""))))</f>
        <v/>
      </c>
      <c r="O325" s="114" t="str">
        <f>IF(Main[[#This Row],[Tech Start Date]]&lt;1/1/1990,"",IF(Main[[#This Row],[Class]]="C",WORKDAY(Main[[#This Row],[Tech Start Date]],23),IF(Main[[#This Row],[Class]]="B", WORKDAY(Main[[#This Row],[Tech Start Date]],15),IF(Main[[#This Row],[Class]]="A",WORKDAY(Main[[#This Row],[Tech Start Date]],5),""))))</f>
        <v/>
      </c>
      <c r="P325" s="114" t="str">
        <f>IF(Main[[#This Row],[Tech Start Date]]&lt;1/1/1990,"",IF(Main[[#This Row],[Class]]="C",WORKDAY(Main[[#This Row],[Tech Start Date]],28),IF(Main[[#This Row],[Class]]="B", WORKDAY(Main[[#This Row],[Tech Start Date]],19),IF(Main[[#This Row],[Class]]="A",WORKDAY(Main[[#This Row],[Tech Start Date]],9),""))))</f>
        <v/>
      </c>
      <c r="Q325" s="129">
        <v>40448</v>
      </c>
      <c r="R325" s="129"/>
      <c r="S325" s="139" t="s">
        <v>11</v>
      </c>
      <c r="T325" s="115" t="s">
        <v>4</v>
      </c>
      <c r="U325" s="139" t="s">
        <v>14</v>
      </c>
      <c r="V325" s="139" t="s">
        <v>1924</v>
      </c>
      <c r="W325" s="139" t="s">
        <v>1920</v>
      </c>
      <c r="X325" s="139" t="s">
        <v>2844</v>
      </c>
      <c r="Y325" s="112" t="s">
        <v>2977</v>
      </c>
      <c r="Z325" s="112" t="s">
        <v>4</v>
      </c>
      <c r="AA325" s="139" t="s">
        <v>2844</v>
      </c>
    </row>
    <row r="326" spans="1:27" ht="17.25" customHeight="1">
      <c r="A326" s="69" t="str">
        <f>IF(priority(Main[[#This Row],[Comments]])&lt;&gt;0, priority(Main[[#This Row],[Comments]]),"")</f>
        <v/>
      </c>
      <c r="B326" s="63" t="s">
        <v>1165</v>
      </c>
      <c r="C326" s="148" t="s">
        <v>4</v>
      </c>
      <c r="D326" s="113" t="s">
        <v>220</v>
      </c>
      <c r="E326" s="129"/>
      <c r="F326" s="129">
        <v>40031</v>
      </c>
      <c r="G326" s="69" t="str">
        <f>IF(stdProdLT(Main[[#This Row],[Comments]])=0.1,"N/A",IF(stdProdLT(Main[[#This Row],[Comments]])=0,"",stdProdLT(Main[[#This Row],[Comments]])))</f>
        <v/>
      </c>
      <c r="H326" s="138" t="str">
        <f>IF(Main[[#This Row],[In Stock Date]]="N/A", "N/A",IF(AND(Main[[#This Row],[In Stock Date]]&lt;&gt;"",Main[[#This Row],[Revised Due Date]]&lt;&gt;"",Main[[#This Row],[In Stock Date]]&lt;&gt;""),Main[[#This Row],[In Stock Date]]-Main[[#This Row],[Revised Due Date]],""))</f>
        <v/>
      </c>
      <c r="I326" s="139" t="s">
        <v>4</v>
      </c>
      <c r="J326" s="139" t="s">
        <v>4</v>
      </c>
      <c r="K326" s="139" t="s">
        <v>4</v>
      </c>
      <c r="L326" s="129"/>
      <c r="M326" s="114" t="str">
        <f>IF(Main[[#This Row],[Tech Start Date]]&lt;1/1/1990,"",IF(Main[[#This Row],[Class]]="C",WORKDAY(Main[[#This Row],[Tech Start Date]],9),IF(Main[[#This Row],[Class]]="B", WORKDAY(Main[[#This Row],[Tech Start Date]],6),IF(Main[[#This Row],[Class]]="A",WORKDAY(Main[[#This Row],[Tech Start Date]],2),""))))</f>
        <v/>
      </c>
      <c r="N326" s="114" t="str">
        <f>IF(Main[[#This Row],[Tech Start Date]]&lt;1/1/1990,"",IF(Main[[#This Row],[Class]]="C",WORKDAY(Main[[#This Row],[Tech Start Date]],19),IF(Main[[#This Row],[Class]]="B", WORKDAY(Main[[#This Row],[Tech Start Date]],12),IF(Main[[#This Row],[Class]]="A",WORKDAY(Main[[#This Row],[Tech Start Date]],4),""))))</f>
        <v/>
      </c>
      <c r="O326" s="114" t="str">
        <f>IF(Main[[#This Row],[Tech Start Date]]&lt;1/1/1990,"",IF(Main[[#This Row],[Class]]="C",WORKDAY(Main[[#This Row],[Tech Start Date]],23),IF(Main[[#This Row],[Class]]="B", WORKDAY(Main[[#This Row],[Tech Start Date]],15),IF(Main[[#This Row],[Class]]="A",WORKDAY(Main[[#This Row],[Tech Start Date]],5),""))))</f>
        <v/>
      </c>
      <c r="P326" s="114" t="str">
        <f>IF(Main[[#This Row],[Tech Start Date]]&lt;1/1/1990,"",IF(Main[[#This Row],[Class]]="C",WORKDAY(Main[[#This Row],[Tech Start Date]],28),IF(Main[[#This Row],[Class]]="B", WORKDAY(Main[[#This Row],[Tech Start Date]],19),IF(Main[[#This Row],[Class]]="A",WORKDAY(Main[[#This Row],[Tech Start Date]],9),""))))</f>
        <v/>
      </c>
      <c r="Q326" s="129">
        <v>39976</v>
      </c>
      <c r="R326" s="129"/>
      <c r="S326" s="139" t="s">
        <v>11</v>
      </c>
      <c r="T326" s="115" t="s">
        <v>4</v>
      </c>
      <c r="U326" s="139" t="s">
        <v>14</v>
      </c>
      <c r="V326" s="139" t="s">
        <v>1915</v>
      </c>
      <c r="W326" s="139" t="s">
        <v>1922</v>
      </c>
      <c r="X326" s="139" t="s">
        <v>2824</v>
      </c>
      <c r="Y326" s="112" t="s">
        <v>2943</v>
      </c>
      <c r="Z326" s="112" t="s">
        <v>4</v>
      </c>
      <c r="AA326" s="139" t="s">
        <v>2824</v>
      </c>
    </row>
    <row r="327" spans="1:27" ht="17.25" customHeight="1">
      <c r="A327" s="98" t="str">
        <f>IF(priority(Main[[#This Row],[Comments]])&lt;&gt;0, priority(Main[[#This Row],[Comments]]),"")</f>
        <v/>
      </c>
      <c r="B327" s="63" t="s">
        <v>1166</v>
      </c>
      <c r="C327" s="149" t="s">
        <v>4</v>
      </c>
      <c r="D327" s="121" t="s">
        <v>221</v>
      </c>
      <c r="E327" s="131"/>
      <c r="F327" s="131">
        <v>40309</v>
      </c>
      <c r="G327" s="98" t="str">
        <f>IF(stdProdLT(Main[[#This Row],[Comments]])=0.1,"N/A",IF(stdProdLT(Main[[#This Row],[Comments]])=0,"",stdProdLT(Main[[#This Row],[Comments]])))</f>
        <v/>
      </c>
      <c r="H327" s="142" t="str">
        <f>IF(Main[[#This Row],[In Stock Date]]="N/A", "N/A",IF(AND(Main[[#This Row],[In Stock Date]]&lt;&gt;"",Main[[#This Row],[Revised Due Date]]&lt;&gt;"",Main[[#This Row],[In Stock Date]]&lt;&gt;""),Main[[#This Row],[In Stock Date]]-Main[[#This Row],[Revised Due Date]],""))</f>
        <v/>
      </c>
      <c r="I327" s="143" t="s">
        <v>4</v>
      </c>
      <c r="J327" s="143" t="s">
        <v>4</v>
      </c>
      <c r="K327" s="143" t="s">
        <v>4</v>
      </c>
      <c r="L327" s="131"/>
      <c r="M327" s="122" t="str">
        <f>IF(Main[[#This Row],[Tech Start Date]]&lt;1/1/1990,"",IF(Main[[#This Row],[Class]]="C",WORKDAY(Main[[#This Row],[Tech Start Date]],9),IF(Main[[#This Row],[Class]]="B", WORKDAY(Main[[#This Row],[Tech Start Date]],6),IF(Main[[#This Row],[Class]]="A",WORKDAY(Main[[#This Row],[Tech Start Date]],2),""))))</f>
        <v/>
      </c>
      <c r="N327" s="122" t="str">
        <f>IF(Main[[#This Row],[Tech Start Date]]&lt;1/1/1990,"",IF(Main[[#This Row],[Class]]="C",WORKDAY(Main[[#This Row],[Tech Start Date]],19),IF(Main[[#This Row],[Class]]="B", WORKDAY(Main[[#This Row],[Tech Start Date]],12),IF(Main[[#This Row],[Class]]="A",WORKDAY(Main[[#This Row],[Tech Start Date]],4),""))))</f>
        <v/>
      </c>
      <c r="O327" s="122" t="str">
        <f>IF(Main[[#This Row],[Tech Start Date]]&lt;1/1/1990,"",IF(Main[[#This Row],[Class]]="C",WORKDAY(Main[[#This Row],[Tech Start Date]],23),IF(Main[[#This Row],[Class]]="B", WORKDAY(Main[[#This Row],[Tech Start Date]],15),IF(Main[[#This Row],[Class]]="A",WORKDAY(Main[[#This Row],[Tech Start Date]],5),""))))</f>
        <v/>
      </c>
      <c r="P327" s="122" t="str">
        <f>IF(Main[[#This Row],[Tech Start Date]]&lt;1/1/1990,"",IF(Main[[#This Row],[Class]]="C",WORKDAY(Main[[#This Row],[Tech Start Date]],28),IF(Main[[#This Row],[Class]]="B", WORKDAY(Main[[#This Row],[Tech Start Date]],19),IF(Main[[#This Row],[Class]]="A",WORKDAY(Main[[#This Row],[Tech Start Date]],9),""))))</f>
        <v/>
      </c>
      <c r="Q327" s="131">
        <v>40305</v>
      </c>
      <c r="R327" s="131"/>
      <c r="S327" s="143" t="s">
        <v>6</v>
      </c>
      <c r="T327" s="123" t="s">
        <v>4</v>
      </c>
      <c r="U327" s="143" t="s">
        <v>12</v>
      </c>
      <c r="V327" s="143" t="s">
        <v>1914</v>
      </c>
      <c r="W327" s="143" t="s">
        <v>1922</v>
      </c>
      <c r="X327" s="143" t="s">
        <v>2824</v>
      </c>
      <c r="Y327" s="120" t="s">
        <v>2943</v>
      </c>
      <c r="Z327" s="120" t="s">
        <v>4</v>
      </c>
      <c r="AA327" s="143" t="s">
        <v>2824</v>
      </c>
    </row>
    <row r="328" spans="1:27" ht="17.25" customHeight="1">
      <c r="A328" s="69" t="str">
        <f>IF(priority(Main[[#This Row],[Comments]])&lt;&gt;0, priority(Main[[#This Row],[Comments]]),"")</f>
        <v/>
      </c>
      <c r="B328" s="63" t="s">
        <v>1167</v>
      </c>
      <c r="C328" s="148" t="s">
        <v>31</v>
      </c>
      <c r="D328" s="113" t="s">
        <v>222</v>
      </c>
      <c r="E328" s="129"/>
      <c r="F328" s="129">
        <v>40169</v>
      </c>
      <c r="G328" s="69" t="str">
        <f>IF(stdProdLT(Main[[#This Row],[Comments]])=0.1,"N/A",IF(stdProdLT(Main[[#This Row],[Comments]])=0,"",stdProdLT(Main[[#This Row],[Comments]])))</f>
        <v/>
      </c>
      <c r="H328" s="138" t="str">
        <f>IF(Main[[#This Row],[In Stock Date]]="N/A", "N/A",IF(AND(Main[[#This Row],[In Stock Date]]&lt;&gt;"",Main[[#This Row],[Revised Due Date]]&lt;&gt;"",Main[[#This Row],[In Stock Date]]&lt;&gt;""),Main[[#This Row],[In Stock Date]]-Main[[#This Row],[Revised Due Date]],""))</f>
        <v/>
      </c>
      <c r="I328" s="139" t="s">
        <v>4</v>
      </c>
      <c r="J328" s="139" t="s">
        <v>4</v>
      </c>
      <c r="K328" s="139" t="s">
        <v>4</v>
      </c>
      <c r="L328" s="129"/>
      <c r="M328" s="114" t="str">
        <f>IF(Main[[#This Row],[Tech Start Date]]&lt;1/1/1990,"",IF(Main[[#This Row],[Class]]="C",WORKDAY(Main[[#This Row],[Tech Start Date]],9),IF(Main[[#This Row],[Class]]="B", WORKDAY(Main[[#This Row],[Tech Start Date]],6),IF(Main[[#This Row],[Class]]="A",WORKDAY(Main[[#This Row],[Tech Start Date]],2),""))))</f>
        <v/>
      </c>
      <c r="N328" s="114" t="str">
        <f>IF(Main[[#This Row],[Tech Start Date]]&lt;1/1/1990,"",IF(Main[[#This Row],[Class]]="C",WORKDAY(Main[[#This Row],[Tech Start Date]],19),IF(Main[[#This Row],[Class]]="B", WORKDAY(Main[[#This Row],[Tech Start Date]],12),IF(Main[[#This Row],[Class]]="A",WORKDAY(Main[[#This Row],[Tech Start Date]],4),""))))</f>
        <v/>
      </c>
      <c r="O328" s="114" t="str">
        <f>IF(Main[[#This Row],[Tech Start Date]]&lt;1/1/1990,"",IF(Main[[#This Row],[Class]]="C",WORKDAY(Main[[#This Row],[Tech Start Date]],23),IF(Main[[#This Row],[Class]]="B", WORKDAY(Main[[#This Row],[Tech Start Date]],15),IF(Main[[#This Row],[Class]]="A",WORKDAY(Main[[#This Row],[Tech Start Date]],5),""))))</f>
        <v/>
      </c>
      <c r="P328" s="114" t="str">
        <f>IF(Main[[#This Row],[Tech Start Date]]&lt;1/1/1990,"",IF(Main[[#This Row],[Class]]="C",WORKDAY(Main[[#This Row],[Tech Start Date]],28),IF(Main[[#This Row],[Class]]="B", WORKDAY(Main[[#This Row],[Tech Start Date]],19),IF(Main[[#This Row],[Class]]="A",WORKDAY(Main[[#This Row],[Tech Start Date]],9),""))))</f>
        <v/>
      </c>
      <c r="Q328" s="129">
        <v>40169</v>
      </c>
      <c r="R328" s="129"/>
      <c r="S328" s="139" t="s">
        <v>11</v>
      </c>
      <c r="T328" s="115" t="s">
        <v>4</v>
      </c>
      <c r="U328" s="139" t="s">
        <v>14</v>
      </c>
      <c r="V328" s="139" t="s">
        <v>1915</v>
      </c>
      <c r="W328" s="139" t="s">
        <v>1922</v>
      </c>
      <c r="X328" s="139" t="s">
        <v>2835</v>
      </c>
      <c r="Y328" s="112" t="s">
        <v>4</v>
      </c>
      <c r="Z328" s="112" t="s">
        <v>4</v>
      </c>
      <c r="AA328" s="139" t="s">
        <v>2835</v>
      </c>
    </row>
    <row r="329" spans="1:27" ht="17.25" customHeight="1">
      <c r="A329" s="69" t="str">
        <f>IF(priority(Main[[#This Row],[Comments]])&lt;&gt;0, priority(Main[[#This Row],[Comments]]),"")</f>
        <v/>
      </c>
      <c r="B329" s="63" t="s">
        <v>1168</v>
      </c>
      <c r="C329" s="148" t="s">
        <v>72</v>
      </c>
      <c r="D329" s="113" t="s">
        <v>223</v>
      </c>
      <c r="E329" s="129"/>
      <c r="F329" s="129">
        <v>40391</v>
      </c>
      <c r="G329" s="69" t="str">
        <f>IF(stdProdLT(Main[[#This Row],[Comments]])=0.1,"N/A",IF(stdProdLT(Main[[#This Row],[Comments]])=0,"",stdProdLT(Main[[#This Row],[Comments]])))</f>
        <v/>
      </c>
      <c r="H329" s="138" t="str">
        <f>IF(Main[[#This Row],[In Stock Date]]="N/A", "N/A",IF(AND(Main[[#This Row],[In Stock Date]]&lt;&gt;"",Main[[#This Row],[Revised Due Date]]&lt;&gt;"",Main[[#This Row],[In Stock Date]]&lt;&gt;""),Main[[#This Row],[In Stock Date]]-Main[[#This Row],[Revised Due Date]],""))</f>
        <v/>
      </c>
      <c r="I329" s="139" t="s">
        <v>4</v>
      </c>
      <c r="J329" s="139" t="s">
        <v>4</v>
      </c>
      <c r="K329" s="139" t="s">
        <v>4</v>
      </c>
      <c r="L329" s="129"/>
      <c r="M329" s="114" t="str">
        <f>IF(Main[[#This Row],[Tech Start Date]]&lt;1/1/1990,"",IF(Main[[#This Row],[Class]]="C",WORKDAY(Main[[#This Row],[Tech Start Date]],9),IF(Main[[#This Row],[Class]]="B", WORKDAY(Main[[#This Row],[Tech Start Date]],6),IF(Main[[#This Row],[Class]]="A",WORKDAY(Main[[#This Row],[Tech Start Date]],2),""))))</f>
        <v/>
      </c>
      <c r="N329" s="114" t="str">
        <f>IF(Main[[#This Row],[Tech Start Date]]&lt;1/1/1990,"",IF(Main[[#This Row],[Class]]="C",WORKDAY(Main[[#This Row],[Tech Start Date]],19),IF(Main[[#This Row],[Class]]="B", WORKDAY(Main[[#This Row],[Tech Start Date]],12),IF(Main[[#This Row],[Class]]="A",WORKDAY(Main[[#This Row],[Tech Start Date]],4),""))))</f>
        <v/>
      </c>
      <c r="O329" s="114" t="str">
        <f>IF(Main[[#This Row],[Tech Start Date]]&lt;1/1/1990,"",IF(Main[[#This Row],[Class]]="C",WORKDAY(Main[[#This Row],[Tech Start Date]],23),IF(Main[[#This Row],[Class]]="B", WORKDAY(Main[[#This Row],[Tech Start Date]],15),IF(Main[[#This Row],[Class]]="A",WORKDAY(Main[[#This Row],[Tech Start Date]],5),""))))</f>
        <v/>
      </c>
      <c r="P329" s="114" t="str">
        <f>IF(Main[[#This Row],[Tech Start Date]]&lt;1/1/1990,"",IF(Main[[#This Row],[Class]]="C",WORKDAY(Main[[#This Row],[Tech Start Date]],28),IF(Main[[#This Row],[Class]]="B", WORKDAY(Main[[#This Row],[Tech Start Date]],19),IF(Main[[#This Row],[Class]]="A",WORKDAY(Main[[#This Row],[Tech Start Date]],9),""))))</f>
        <v/>
      </c>
      <c r="Q329" s="129">
        <v>40291</v>
      </c>
      <c r="R329" s="129"/>
      <c r="S329" s="139" t="s">
        <v>11</v>
      </c>
      <c r="T329" s="115" t="s">
        <v>4</v>
      </c>
      <c r="U329" s="139" t="s">
        <v>12</v>
      </c>
      <c r="V329" s="139" t="s">
        <v>1915</v>
      </c>
      <c r="W329" s="139" t="s">
        <v>1919</v>
      </c>
      <c r="X329" s="139" t="s">
        <v>2864</v>
      </c>
      <c r="Y329" s="112" t="s">
        <v>4</v>
      </c>
      <c r="Z329" s="112" t="s">
        <v>4</v>
      </c>
      <c r="AA329" s="139" t="s">
        <v>2864</v>
      </c>
    </row>
    <row r="330" spans="1:27" ht="17.25" customHeight="1">
      <c r="A330" s="69" t="str">
        <f>IF(priority(Main[[#This Row],[Comments]])&lt;&gt;0, priority(Main[[#This Row],[Comments]]),"")</f>
        <v/>
      </c>
      <c r="B330" s="63" t="s">
        <v>1170</v>
      </c>
      <c r="C330" s="148" t="s">
        <v>4</v>
      </c>
      <c r="D330" s="113" t="s">
        <v>226</v>
      </c>
      <c r="E330" s="129"/>
      <c r="F330" s="129">
        <v>40574</v>
      </c>
      <c r="G330" s="69" t="str">
        <f>IF(stdProdLT(Main[[#This Row],[Comments]])=0.1,"N/A",IF(stdProdLT(Main[[#This Row],[Comments]])=0,"",stdProdLT(Main[[#This Row],[Comments]])))</f>
        <v/>
      </c>
      <c r="H330" s="138" t="str">
        <f>IF(Main[[#This Row],[In Stock Date]]="N/A", "N/A",IF(AND(Main[[#This Row],[In Stock Date]]&lt;&gt;"",Main[[#This Row],[Revised Due Date]]&lt;&gt;"",Main[[#This Row],[In Stock Date]]&lt;&gt;""),Main[[#This Row],[In Stock Date]]-Main[[#This Row],[Revised Due Date]],""))</f>
        <v/>
      </c>
      <c r="I330" s="139" t="s">
        <v>4</v>
      </c>
      <c r="J330" s="139" t="s">
        <v>28</v>
      </c>
      <c r="K330" s="139" t="s">
        <v>1923</v>
      </c>
      <c r="L330" s="129"/>
      <c r="M330" s="114" t="str">
        <f>IF(Main[[#This Row],[Tech Start Date]]&lt;1/1/1990,"",IF(Main[[#This Row],[Class]]="C",WORKDAY(Main[[#This Row],[Tech Start Date]],9),IF(Main[[#This Row],[Class]]="B", WORKDAY(Main[[#This Row],[Tech Start Date]],6),IF(Main[[#This Row],[Class]]="A",WORKDAY(Main[[#This Row],[Tech Start Date]],2),""))))</f>
        <v/>
      </c>
      <c r="N330" s="114" t="str">
        <f>IF(Main[[#This Row],[Tech Start Date]]&lt;1/1/1990,"",IF(Main[[#This Row],[Class]]="C",WORKDAY(Main[[#This Row],[Tech Start Date]],19),IF(Main[[#This Row],[Class]]="B", WORKDAY(Main[[#This Row],[Tech Start Date]],12),IF(Main[[#This Row],[Class]]="A",WORKDAY(Main[[#This Row],[Tech Start Date]],4),""))))</f>
        <v/>
      </c>
      <c r="O330" s="114" t="str">
        <f>IF(Main[[#This Row],[Tech Start Date]]&lt;1/1/1990,"",IF(Main[[#This Row],[Class]]="C",WORKDAY(Main[[#This Row],[Tech Start Date]],23),IF(Main[[#This Row],[Class]]="B", WORKDAY(Main[[#This Row],[Tech Start Date]],15),IF(Main[[#This Row],[Class]]="A",WORKDAY(Main[[#This Row],[Tech Start Date]],5),""))))</f>
        <v/>
      </c>
      <c r="P330" s="114" t="str">
        <f>IF(Main[[#This Row],[Tech Start Date]]&lt;1/1/1990,"",IF(Main[[#This Row],[Class]]="C",WORKDAY(Main[[#This Row],[Tech Start Date]],28),IF(Main[[#This Row],[Class]]="B", WORKDAY(Main[[#This Row],[Tech Start Date]],19),IF(Main[[#This Row],[Class]]="A",WORKDAY(Main[[#This Row],[Tech Start Date]],9),""))))</f>
        <v/>
      </c>
      <c r="Q330" s="129">
        <v>40574</v>
      </c>
      <c r="R330" s="129"/>
      <c r="S330" s="139" t="s">
        <v>6</v>
      </c>
      <c r="T330" s="115" t="s">
        <v>4</v>
      </c>
      <c r="U330" s="139" t="s">
        <v>14</v>
      </c>
      <c r="V330" s="139" t="s">
        <v>1917</v>
      </c>
      <c r="W330" s="139" t="s">
        <v>1918</v>
      </c>
      <c r="X330" s="139" t="s">
        <v>2822</v>
      </c>
      <c r="Y330" s="112" t="s">
        <v>2938</v>
      </c>
      <c r="Z330" s="112" t="s">
        <v>530</v>
      </c>
      <c r="AA330" s="139" t="s">
        <v>2822</v>
      </c>
    </row>
    <row r="331" spans="1:27" ht="17.25" customHeight="1">
      <c r="A331" s="69" t="str">
        <f>IF(priority(Main[[#This Row],[Comments]])&lt;&gt;0, priority(Main[[#This Row],[Comments]]),"")</f>
        <v/>
      </c>
      <c r="B331" s="63" t="s">
        <v>1173</v>
      </c>
      <c r="C331" s="148" t="s">
        <v>4</v>
      </c>
      <c r="D331" s="113" t="s">
        <v>228</v>
      </c>
      <c r="E331" s="129"/>
      <c r="F331" s="129"/>
      <c r="G331" s="69" t="str">
        <f>IF(stdProdLT(Main[[#This Row],[Comments]])=0.1,"N/A",IF(stdProdLT(Main[[#This Row],[Comments]])=0,"",stdProdLT(Main[[#This Row],[Comments]])))</f>
        <v/>
      </c>
      <c r="H331" s="138" t="str">
        <f>IF(Main[[#This Row],[In Stock Date]]="N/A", "N/A",IF(AND(Main[[#This Row],[In Stock Date]]&lt;&gt;"",Main[[#This Row],[Revised Due Date]]&lt;&gt;"",Main[[#This Row],[In Stock Date]]&lt;&gt;""),Main[[#This Row],[In Stock Date]]-Main[[#This Row],[Revised Due Date]],""))</f>
        <v/>
      </c>
      <c r="I331" s="139" t="s">
        <v>4</v>
      </c>
      <c r="J331" s="139" t="s">
        <v>4</v>
      </c>
      <c r="K331" s="139" t="s">
        <v>4</v>
      </c>
      <c r="L331" s="129"/>
      <c r="M331" s="114" t="str">
        <f>IF(Main[[#This Row],[Tech Start Date]]&lt;1/1/1990,"",IF(Main[[#This Row],[Class]]="C",WORKDAY(Main[[#This Row],[Tech Start Date]],9),IF(Main[[#This Row],[Class]]="B", WORKDAY(Main[[#This Row],[Tech Start Date]],6),IF(Main[[#This Row],[Class]]="A",WORKDAY(Main[[#This Row],[Tech Start Date]],2),""))))</f>
        <v/>
      </c>
      <c r="N331" s="114" t="str">
        <f>IF(Main[[#This Row],[Tech Start Date]]&lt;1/1/1990,"",IF(Main[[#This Row],[Class]]="C",WORKDAY(Main[[#This Row],[Tech Start Date]],19),IF(Main[[#This Row],[Class]]="B", WORKDAY(Main[[#This Row],[Tech Start Date]],12),IF(Main[[#This Row],[Class]]="A",WORKDAY(Main[[#This Row],[Tech Start Date]],4),""))))</f>
        <v/>
      </c>
      <c r="O331" s="114" t="str">
        <f>IF(Main[[#This Row],[Tech Start Date]]&lt;1/1/1990,"",IF(Main[[#This Row],[Class]]="C",WORKDAY(Main[[#This Row],[Tech Start Date]],23),IF(Main[[#This Row],[Class]]="B", WORKDAY(Main[[#This Row],[Tech Start Date]],15),IF(Main[[#This Row],[Class]]="A",WORKDAY(Main[[#This Row],[Tech Start Date]],5),""))))</f>
        <v/>
      </c>
      <c r="P331" s="114" t="str">
        <f>IF(Main[[#This Row],[Tech Start Date]]&lt;1/1/1990,"",IF(Main[[#This Row],[Class]]="C",WORKDAY(Main[[#This Row],[Tech Start Date]],28),IF(Main[[#This Row],[Class]]="B", WORKDAY(Main[[#This Row],[Tech Start Date]],19),IF(Main[[#This Row],[Class]]="A",WORKDAY(Main[[#This Row],[Tech Start Date]],9),""))))</f>
        <v/>
      </c>
      <c r="Q331" s="129">
        <v>40724</v>
      </c>
      <c r="R331" s="129"/>
      <c r="S331" s="139" t="s">
        <v>6</v>
      </c>
      <c r="T331" s="115" t="s">
        <v>4</v>
      </c>
      <c r="U331" s="139" t="s">
        <v>12</v>
      </c>
      <c r="V331" s="139" t="s">
        <v>1914</v>
      </c>
      <c r="W331" s="139" t="s">
        <v>1918</v>
      </c>
      <c r="X331" s="139" t="s">
        <v>877</v>
      </c>
      <c r="Y331" s="112" t="s">
        <v>3009</v>
      </c>
      <c r="Z331" s="112" t="s">
        <v>4</v>
      </c>
      <c r="AA331" s="139" t="s">
        <v>877</v>
      </c>
    </row>
    <row r="332" spans="1:27" ht="17.25" customHeight="1">
      <c r="A332" s="69" t="str">
        <f>IF(priority(Main[[#This Row],[Comments]])&lt;&gt;0, priority(Main[[#This Row],[Comments]]),"")</f>
        <v/>
      </c>
      <c r="B332" s="63" t="s">
        <v>2349</v>
      </c>
      <c r="C332" s="148" t="s">
        <v>53</v>
      </c>
      <c r="D332" s="113" t="s">
        <v>2350</v>
      </c>
      <c r="E332" s="129"/>
      <c r="F332" s="129">
        <v>40845</v>
      </c>
      <c r="G332" s="69" t="str">
        <f>IF(stdProdLT(Main[[#This Row],[Comments]])=0.1,"N/A",IF(stdProdLT(Main[[#This Row],[Comments]])=0,"",stdProdLT(Main[[#This Row],[Comments]])))</f>
        <v/>
      </c>
      <c r="H332" s="138" t="str">
        <f>IF(Main[[#This Row],[In Stock Date]]="N/A", "N/A",IF(AND(Main[[#This Row],[In Stock Date]]&lt;&gt;"",Main[[#This Row],[Revised Due Date]]&lt;&gt;"",Main[[#This Row],[In Stock Date]]&lt;&gt;""),Main[[#This Row],[In Stock Date]]-Main[[#This Row],[Revised Due Date]],""))</f>
        <v/>
      </c>
      <c r="I332" s="139" t="s">
        <v>4</v>
      </c>
      <c r="J332" s="139" t="s">
        <v>28</v>
      </c>
      <c r="K332" s="139" t="s">
        <v>4</v>
      </c>
      <c r="L332" s="129"/>
      <c r="M332" s="114" t="str">
        <f>IF(Main[[#This Row],[Tech Start Date]]&lt;1/1/1990,"",IF(Main[[#This Row],[Class]]="C",WORKDAY(Main[[#This Row],[Tech Start Date]],9),IF(Main[[#This Row],[Class]]="B", WORKDAY(Main[[#This Row],[Tech Start Date]],6),IF(Main[[#This Row],[Class]]="A",WORKDAY(Main[[#This Row],[Tech Start Date]],2),""))))</f>
        <v/>
      </c>
      <c r="N332" s="114" t="str">
        <f>IF(Main[[#This Row],[Tech Start Date]]&lt;1/1/1990,"",IF(Main[[#This Row],[Class]]="C",WORKDAY(Main[[#This Row],[Tech Start Date]],19),IF(Main[[#This Row],[Class]]="B", WORKDAY(Main[[#This Row],[Tech Start Date]],12),IF(Main[[#This Row],[Class]]="A",WORKDAY(Main[[#This Row],[Tech Start Date]],4),""))))</f>
        <v/>
      </c>
      <c r="O332" s="114" t="str">
        <f>IF(Main[[#This Row],[Tech Start Date]]&lt;1/1/1990,"",IF(Main[[#This Row],[Class]]="C",WORKDAY(Main[[#This Row],[Tech Start Date]],23),IF(Main[[#This Row],[Class]]="B", WORKDAY(Main[[#This Row],[Tech Start Date]],15),IF(Main[[#This Row],[Class]]="A",WORKDAY(Main[[#This Row],[Tech Start Date]],5),""))))</f>
        <v/>
      </c>
      <c r="P332" s="114" t="str">
        <f>IF(Main[[#This Row],[Tech Start Date]]&lt;1/1/1990,"",IF(Main[[#This Row],[Class]]="C",WORKDAY(Main[[#This Row],[Tech Start Date]],28),IF(Main[[#This Row],[Class]]="B", WORKDAY(Main[[#This Row],[Tech Start Date]],19),IF(Main[[#This Row],[Class]]="A",WORKDAY(Main[[#This Row],[Tech Start Date]],9),""))))</f>
        <v/>
      </c>
      <c r="Q332" s="129">
        <v>40840</v>
      </c>
      <c r="R332" s="129"/>
      <c r="S332" s="139" t="s">
        <v>11</v>
      </c>
      <c r="T332" s="115" t="s">
        <v>2351</v>
      </c>
      <c r="U332" s="139" t="s">
        <v>12</v>
      </c>
      <c r="V332" s="139" t="s">
        <v>1915</v>
      </c>
      <c r="W332" s="139" t="s">
        <v>1916</v>
      </c>
      <c r="X332" s="139" t="s">
        <v>2249</v>
      </c>
      <c r="Y332" s="112" t="s">
        <v>4</v>
      </c>
      <c r="Z332" s="112" t="s">
        <v>2053</v>
      </c>
      <c r="AA332" s="139" t="s">
        <v>2816</v>
      </c>
    </row>
    <row r="333" spans="1:27" ht="17.25" customHeight="1">
      <c r="A333" s="69" t="str">
        <f>IF(priority(Main[[#This Row],[Comments]])&lt;&gt;0, priority(Main[[#This Row],[Comments]]),"")</f>
        <v/>
      </c>
      <c r="B333" s="63" t="s">
        <v>1176</v>
      </c>
      <c r="C333" s="148" t="s">
        <v>67</v>
      </c>
      <c r="D333" s="113" t="s">
        <v>231</v>
      </c>
      <c r="E333" s="129"/>
      <c r="F333" s="129"/>
      <c r="G333" s="69" t="str">
        <f>IF(stdProdLT(Main[[#This Row],[Comments]])=0.1,"N/A",IF(stdProdLT(Main[[#This Row],[Comments]])=0,"",stdProdLT(Main[[#This Row],[Comments]])))</f>
        <v/>
      </c>
      <c r="H333" s="138" t="str">
        <f>IF(Main[[#This Row],[In Stock Date]]="N/A", "N/A",IF(AND(Main[[#This Row],[In Stock Date]]&lt;&gt;"",Main[[#This Row],[Revised Due Date]]&lt;&gt;"",Main[[#This Row],[In Stock Date]]&lt;&gt;""),Main[[#This Row],[In Stock Date]]-Main[[#This Row],[Revised Due Date]],""))</f>
        <v/>
      </c>
      <c r="I333" s="139" t="s">
        <v>4</v>
      </c>
      <c r="J333" s="139" t="s">
        <v>4</v>
      </c>
      <c r="K333" s="139" t="s">
        <v>4</v>
      </c>
      <c r="L333" s="129"/>
      <c r="M333" s="114" t="str">
        <f>IF(Main[[#This Row],[Tech Start Date]]&lt;1/1/1990,"",IF(Main[[#This Row],[Class]]="C",WORKDAY(Main[[#This Row],[Tech Start Date]],9),IF(Main[[#This Row],[Class]]="B", WORKDAY(Main[[#This Row],[Tech Start Date]],6),IF(Main[[#This Row],[Class]]="A",WORKDAY(Main[[#This Row],[Tech Start Date]],2),""))))</f>
        <v/>
      </c>
      <c r="N333" s="114" t="str">
        <f>IF(Main[[#This Row],[Tech Start Date]]&lt;1/1/1990,"",IF(Main[[#This Row],[Class]]="C",WORKDAY(Main[[#This Row],[Tech Start Date]],19),IF(Main[[#This Row],[Class]]="B", WORKDAY(Main[[#This Row],[Tech Start Date]],12),IF(Main[[#This Row],[Class]]="A",WORKDAY(Main[[#This Row],[Tech Start Date]],4),""))))</f>
        <v/>
      </c>
      <c r="O333" s="114" t="str">
        <f>IF(Main[[#This Row],[Tech Start Date]]&lt;1/1/1990,"",IF(Main[[#This Row],[Class]]="C",WORKDAY(Main[[#This Row],[Tech Start Date]],23),IF(Main[[#This Row],[Class]]="B", WORKDAY(Main[[#This Row],[Tech Start Date]],15),IF(Main[[#This Row],[Class]]="A",WORKDAY(Main[[#This Row],[Tech Start Date]],5),""))))</f>
        <v/>
      </c>
      <c r="P333" s="114" t="str">
        <f>IF(Main[[#This Row],[Tech Start Date]]&lt;1/1/1990,"",IF(Main[[#This Row],[Class]]="C",WORKDAY(Main[[#This Row],[Tech Start Date]],28),IF(Main[[#This Row],[Class]]="B", WORKDAY(Main[[#This Row],[Tech Start Date]],19),IF(Main[[#This Row],[Class]]="A",WORKDAY(Main[[#This Row],[Tech Start Date]],9),""))))</f>
        <v/>
      </c>
      <c r="Q333" s="129">
        <v>40466</v>
      </c>
      <c r="R333" s="129"/>
      <c r="S333" s="139" t="s">
        <v>17</v>
      </c>
      <c r="T333" s="115" t="s">
        <v>4</v>
      </c>
      <c r="U333" s="139" t="s">
        <v>14</v>
      </c>
      <c r="V333" s="139" t="s">
        <v>1917</v>
      </c>
      <c r="W333" s="139" t="s">
        <v>1922</v>
      </c>
      <c r="X333" s="139" t="s">
        <v>415</v>
      </c>
      <c r="Y333" s="112" t="s">
        <v>2949</v>
      </c>
      <c r="Z333" s="112" t="s">
        <v>415</v>
      </c>
      <c r="AA333" s="139" t="s">
        <v>415</v>
      </c>
    </row>
    <row r="334" spans="1:27" ht="17.25" customHeight="1">
      <c r="A334" s="69" t="str">
        <f>IF(priority(Main[[#This Row],[Comments]])&lt;&gt;0, priority(Main[[#This Row],[Comments]]),"")</f>
        <v/>
      </c>
      <c r="B334" s="63" t="s">
        <v>1177</v>
      </c>
      <c r="C334" s="148" t="s">
        <v>72</v>
      </c>
      <c r="D334" s="113" t="s">
        <v>223</v>
      </c>
      <c r="E334" s="129"/>
      <c r="F334" s="129">
        <v>40391</v>
      </c>
      <c r="G334" s="69" t="str">
        <f>IF(stdProdLT(Main[[#This Row],[Comments]])=0.1,"N/A",IF(stdProdLT(Main[[#This Row],[Comments]])=0,"",stdProdLT(Main[[#This Row],[Comments]])))</f>
        <v/>
      </c>
      <c r="H334" s="138" t="str">
        <f>IF(Main[[#This Row],[In Stock Date]]="N/A", "N/A",IF(AND(Main[[#This Row],[In Stock Date]]&lt;&gt;"",Main[[#This Row],[Revised Due Date]]&lt;&gt;"",Main[[#This Row],[In Stock Date]]&lt;&gt;""),Main[[#This Row],[In Stock Date]]-Main[[#This Row],[Revised Due Date]],""))</f>
        <v/>
      </c>
      <c r="I334" s="139" t="s">
        <v>4</v>
      </c>
      <c r="J334" s="139" t="s">
        <v>4</v>
      </c>
      <c r="K334" s="139" t="s">
        <v>4</v>
      </c>
      <c r="L334" s="129"/>
      <c r="M334" s="114" t="str">
        <f>IF(Main[[#This Row],[Tech Start Date]]&lt;1/1/1990,"",IF(Main[[#This Row],[Class]]="C",WORKDAY(Main[[#This Row],[Tech Start Date]],9),IF(Main[[#This Row],[Class]]="B", WORKDAY(Main[[#This Row],[Tech Start Date]],6),IF(Main[[#This Row],[Class]]="A",WORKDAY(Main[[#This Row],[Tech Start Date]],2),""))))</f>
        <v/>
      </c>
      <c r="N334" s="114" t="str">
        <f>IF(Main[[#This Row],[Tech Start Date]]&lt;1/1/1990,"",IF(Main[[#This Row],[Class]]="C",WORKDAY(Main[[#This Row],[Tech Start Date]],19),IF(Main[[#This Row],[Class]]="B", WORKDAY(Main[[#This Row],[Tech Start Date]],12),IF(Main[[#This Row],[Class]]="A",WORKDAY(Main[[#This Row],[Tech Start Date]],4),""))))</f>
        <v/>
      </c>
      <c r="O334" s="114" t="str">
        <f>IF(Main[[#This Row],[Tech Start Date]]&lt;1/1/1990,"",IF(Main[[#This Row],[Class]]="C",WORKDAY(Main[[#This Row],[Tech Start Date]],23),IF(Main[[#This Row],[Class]]="B", WORKDAY(Main[[#This Row],[Tech Start Date]],15),IF(Main[[#This Row],[Class]]="A",WORKDAY(Main[[#This Row],[Tech Start Date]],5),""))))</f>
        <v/>
      </c>
      <c r="P334" s="114" t="str">
        <f>IF(Main[[#This Row],[Tech Start Date]]&lt;1/1/1990,"",IF(Main[[#This Row],[Class]]="C",WORKDAY(Main[[#This Row],[Tech Start Date]],28),IF(Main[[#This Row],[Class]]="B", WORKDAY(Main[[#This Row],[Tech Start Date]],19),IF(Main[[#This Row],[Class]]="A",WORKDAY(Main[[#This Row],[Tech Start Date]],9),""))))</f>
        <v/>
      </c>
      <c r="Q334" s="129">
        <v>40291</v>
      </c>
      <c r="R334" s="129"/>
      <c r="S334" s="139" t="s">
        <v>11</v>
      </c>
      <c r="T334" s="115" t="s">
        <v>4</v>
      </c>
      <c r="U334" s="139" t="s">
        <v>12</v>
      </c>
      <c r="V334" s="139" t="s">
        <v>1915</v>
      </c>
      <c r="W334" s="139" t="s">
        <v>1919</v>
      </c>
      <c r="X334" s="139" t="s">
        <v>2864</v>
      </c>
      <c r="Y334" s="112" t="s">
        <v>4</v>
      </c>
      <c r="Z334" s="112" t="s">
        <v>4</v>
      </c>
      <c r="AA334" s="139" t="s">
        <v>2864</v>
      </c>
    </row>
    <row r="335" spans="1:27" ht="17.25" customHeight="1">
      <c r="A335" s="69" t="str">
        <f>IF(priority(Main[[#This Row],[Comments]])&lt;&gt;0, priority(Main[[#This Row],[Comments]]),"")</f>
        <v/>
      </c>
      <c r="B335" s="63" t="s">
        <v>1219</v>
      </c>
      <c r="C335" s="148" t="s">
        <v>4</v>
      </c>
      <c r="D335" s="113" t="s">
        <v>279</v>
      </c>
      <c r="E335" s="129"/>
      <c r="F335" s="129"/>
      <c r="G335" s="69" t="str">
        <f>IF(stdProdLT(Main[[#This Row],[Comments]])=0.1,"N/A",IF(stdProdLT(Main[[#This Row],[Comments]])=0,"",stdProdLT(Main[[#This Row],[Comments]])))</f>
        <v/>
      </c>
      <c r="H335" s="138" t="str">
        <f>IF(Main[[#This Row],[In Stock Date]]="N/A", "N/A",IF(AND(Main[[#This Row],[In Stock Date]]&lt;&gt;"",Main[[#This Row],[Revised Due Date]]&lt;&gt;"",Main[[#This Row],[In Stock Date]]&lt;&gt;""),Main[[#This Row],[In Stock Date]]-Main[[#This Row],[Revised Due Date]],""))</f>
        <v/>
      </c>
      <c r="I335" s="139" t="s">
        <v>4</v>
      </c>
      <c r="J335" s="139" t="s">
        <v>4</v>
      </c>
      <c r="K335" s="140" t="s">
        <v>4</v>
      </c>
      <c r="L335" s="129"/>
      <c r="M335" s="114" t="str">
        <f>IF(Main[[#This Row],[Tech Start Date]]&lt;1/1/1990,"",IF(Main[[#This Row],[Class]]="C",WORKDAY(Main[[#This Row],[Tech Start Date]],9),IF(Main[[#This Row],[Class]]="B", WORKDAY(Main[[#This Row],[Tech Start Date]],6),IF(Main[[#This Row],[Class]]="A",WORKDAY(Main[[#This Row],[Tech Start Date]],2),""))))</f>
        <v/>
      </c>
      <c r="N335" s="114" t="str">
        <f>IF(Main[[#This Row],[Tech Start Date]]&lt;1/1/1990,"",IF(Main[[#This Row],[Class]]="C",WORKDAY(Main[[#This Row],[Tech Start Date]],19),IF(Main[[#This Row],[Class]]="B", WORKDAY(Main[[#This Row],[Tech Start Date]],12),IF(Main[[#This Row],[Class]]="A",WORKDAY(Main[[#This Row],[Tech Start Date]],4),""))))</f>
        <v/>
      </c>
      <c r="O335" s="114" t="str">
        <f>IF(Main[[#This Row],[Tech Start Date]]&lt;1/1/1990,"",IF(Main[[#This Row],[Class]]="C",WORKDAY(Main[[#This Row],[Tech Start Date]],23),IF(Main[[#This Row],[Class]]="B", WORKDAY(Main[[#This Row],[Tech Start Date]],15),IF(Main[[#This Row],[Class]]="A",WORKDAY(Main[[#This Row],[Tech Start Date]],5),""))))</f>
        <v/>
      </c>
      <c r="P335" s="114" t="str">
        <f>IF(Main[[#This Row],[Tech Start Date]]&lt;1/1/1990,"",IF(Main[[#This Row],[Class]]="C",WORKDAY(Main[[#This Row],[Tech Start Date]],28),IF(Main[[#This Row],[Class]]="B", WORKDAY(Main[[#This Row],[Tech Start Date]],19),IF(Main[[#This Row],[Class]]="A",WORKDAY(Main[[#This Row],[Tech Start Date]],9),""))))</f>
        <v/>
      </c>
      <c r="Q335" s="129"/>
      <c r="R335" s="129"/>
      <c r="S335" s="139" t="s">
        <v>23</v>
      </c>
      <c r="T335" s="115" t="s">
        <v>4</v>
      </c>
      <c r="U335" s="139" t="s">
        <v>12</v>
      </c>
      <c r="V335" s="139" t="s">
        <v>1914</v>
      </c>
      <c r="W335" s="139" t="s">
        <v>1918</v>
      </c>
      <c r="X335" s="139" t="s">
        <v>399</v>
      </c>
      <c r="Y335" s="112" t="s">
        <v>4</v>
      </c>
      <c r="Z335" s="112" t="s">
        <v>4</v>
      </c>
      <c r="AA335" s="139" t="s">
        <v>3378</v>
      </c>
    </row>
    <row r="336" spans="1:27" ht="17.25" customHeight="1">
      <c r="A336" s="69" t="str">
        <f>IF(priority(Main[[#This Row],[Comments]])&lt;&gt;0, priority(Main[[#This Row],[Comments]]),"")</f>
        <v/>
      </c>
      <c r="B336" s="63" t="s">
        <v>1220</v>
      </c>
      <c r="C336" s="148" t="s">
        <v>31</v>
      </c>
      <c r="D336" s="113" t="s">
        <v>280</v>
      </c>
      <c r="E336" s="129"/>
      <c r="F336" s="129"/>
      <c r="G336" s="69" t="str">
        <f>IF(stdProdLT(Main[[#This Row],[Comments]])=0.1,"N/A",IF(stdProdLT(Main[[#This Row],[Comments]])=0,"",stdProdLT(Main[[#This Row],[Comments]])))</f>
        <v/>
      </c>
      <c r="H336" s="138" t="str">
        <f>IF(Main[[#This Row],[In Stock Date]]="N/A", "N/A",IF(AND(Main[[#This Row],[In Stock Date]]&lt;&gt;"",Main[[#This Row],[Revised Due Date]]&lt;&gt;"",Main[[#This Row],[In Stock Date]]&lt;&gt;""),Main[[#This Row],[In Stock Date]]-Main[[#This Row],[Revised Due Date]],""))</f>
        <v/>
      </c>
      <c r="I336" s="139" t="s">
        <v>4</v>
      </c>
      <c r="J336" s="139" t="s">
        <v>4</v>
      </c>
      <c r="K336" s="139" t="s">
        <v>4</v>
      </c>
      <c r="L336" s="129"/>
      <c r="M336" s="114" t="str">
        <f>IF(Main[[#This Row],[Tech Start Date]]&lt;1/1/1990,"",IF(Main[[#This Row],[Class]]="C",WORKDAY(Main[[#This Row],[Tech Start Date]],9),IF(Main[[#This Row],[Class]]="B", WORKDAY(Main[[#This Row],[Tech Start Date]],6),IF(Main[[#This Row],[Class]]="A",WORKDAY(Main[[#This Row],[Tech Start Date]],2),""))))</f>
        <v/>
      </c>
      <c r="N336" s="114" t="str">
        <f>IF(Main[[#This Row],[Tech Start Date]]&lt;1/1/1990,"",IF(Main[[#This Row],[Class]]="C",WORKDAY(Main[[#This Row],[Tech Start Date]],19),IF(Main[[#This Row],[Class]]="B", WORKDAY(Main[[#This Row],[Tech Start Date]],12),IF(Main[[#This Row],[Class]]="A",WORKDAY(Main[[#This Row],[Tech Start Date]],4),""))))</f>
        <v/>
      </c>
      <c r="O336" s="114" t="str">
        <f>IF(Main[[#This Row],[Tech Start Date]]&lt;1/1/1990,"",IF(Main[[#This Row],[Class]]="C",WORKDAY(Main[[#This Row],[Tech Start Date]],23),IF(Main[[#This Row],[Class]]="B", WORKDAY(Main[[#This Row],[Tech Start Date]],15),IF(Main[[#This Row],[Class]]="A",WORKDAY(Main[[#This Row],[Tech Start Date]],5),""))))</f>
        <v/>
      </c>
      <c r="P336" s="114" t="str">
        <f>IF(Main[[#This Row],[Tech Start Date]]&lt;1/1/1990,"",IF(Main[[#This Row],[Class]]="C",WORKDAY(Main[[#This Row],[Tech Start Date]],28),IF(Main[[#This Row],[Class]]="B", WORKDAY(Main[[#This Row],[Tech Start Date]],19),IF(Main[[#This Row],[Class]]="A",WORKDAY(Main[[#This Row],[Tech Start Date]],9),""))))</f>
        <v/>
      </c>
      <c r="Q336" s="129">
        <v>40318</v>
      </c>
      <c r="R336" s="129"/>
      <c r="S336" s="139" t="s">
        <v>11</v>
      </c>
      <c r="T336" s="115" t="s">
        <v>4</v>
      </c>
      <c r="U336" s="139" t="s">
        <v>14</v>
      </c>
      <c r="V336" s="139" t="s">
        <v>1924</v>
      </c>
      <c r="W336" s="139" t="s">
        <v>1916</v>
      </c>
      <c r="X336" s="139" t="s">
        <v>2830</v>
      </c>
      <c r="Y336" s="112" t="s">
        <v>4</v>
      </c>
      <c r="Z336" s="112" t="s">
        <v>4</v>
      </c>
      <c r="AA336" s="139" t="s">
        <v>2830</v>
      </c>
    </row>
    <row r="337" spans="1:27" ht="17.25" customHeight="1">
      <c r="A337" s="69" t="str">
        <f>IF(priority(Main[[#This Row],[Comments]])&lt;&gt;0, priority(Main[[#This Row],[Comments]]),"")</f>
        <v/>
      </c>
      <c r="B337" s="63" t="s">
        <v>1823</v>
      </c>
      <c r="C337" s="148" t="s">
        <v>79</v>
      </c>
      <c r="D337" s="113" t="s">
        <v>874</v>
      </c>
      <c r="E337" s="129">
        <v>40072.658055555556</v>
      </c>
      <c r="F337" s="129">
        <v>40157</v>
      </c>
      <c r="G337" s="69" t="str">
        <f>IF(stdProdLT(Main[[#This Row],[Comments]])=0.1,"N/A",IF(stdProdLT(Main[[#This Row],[Comments]])=0,"",stdProdLT(Main[[#This Row],[Comments]])))</f>
        <v/>
      </c>
      <c r="H337" s="138">
        <f>IF(Main[[#This Row],[In Stock Date]]="N/A", "N/A",IF(AND(Main[[#This Row],[In Stock Date]]&lt;&gt;"",Main[[#This Row],[Revised Due Date]]&lt;&gt;"",Main[[#This Row],[In Stock Date]]&lt;&gt;""),Main[[#This Row],[In Stock Date]]-Main[[#This Row],[Revised Due Date]],""))</f>
        <v>-171</v>
      </c>
      <c r="I337" s="139" t="s">
        <v>4</v>
      </c>
      <c r="J337" s="139" t="s">
        <v>4</v>
      </c>
      <c r="K337" s="139" t="s">
        <v>1926</v>
      </c>
      <c r="L337" s="129"/>
      <c r="M337" s="114" t="str">
        <f>IF(Main[[#This Row],[Tech Start Date]]&lt;1/1/1990,"",IF(Main[[#This Row],[Class]]="C",WORKDAY(Main[[#This Row],[Tech Start Date]],9),IF(Main[[#This Row],[Class]]="B", WORKDAY(Main[[#This Row],[Tech Start Date]],6),IF(Main[[#This Row],[Class]]="A",WORKDAY(Main[[#This Row],[Tech Start Date]],2),""))))</f>
        <v/>
      </c>
      <c r="N337" s="114" t="str">
        <f>IF(Main[[#This Row],[Tech Start Date]]&lt;1/1/1990,"",IF(Main[[#This Row],[Class]]="C",WORKDAY(Main[[#This Row],[Tech Start Date]],19),IF(Main[[#This Row],[Class]]="B", WORKDAY(Main[[#This Row],[Tech Start Date]],12),IF(Main[[#This Row],[Class]]="A",WORKDAY(Main[[#This Row],[Tech Start Date]],4),""))))</f>
        <v/>
      </c>
      <c r="O337" s="114" t="str">
        <f>IF(Main[[#This Row],[Tech Start Date]]&lt;1/1/1990,"",IF(Main[[#This Row],[Class]]="C",WORKDAY(Main[[#This Row],[Tech Start Date]],23),IF(Main[[#This Row],[Class]]="B", WORKDAY(Main[[#This Row],[Tech Start Date]],15),IF(Main[[#This Row],[Class]]="A",WORKDAY(Main[[#This Row],[Tech Start Date]],5),""))))</f>
        <v/>
      </c>
      <c r="P337" s="114" t="str">
        <f>IF(Main[[#This Row],[Tech Start Date]]&lt;1/1/1990,"",IF(Main[[#This Row],[Class]]="C",WORKDAY(Main[[#This Row],[Tech Start Date]],28),IF(Main[[#This Row],[Class]]="B", WORKDAY(Main[[#This Row],[Tech Start Date]],19),IF(Main[[#This Row],[Class]]="A",WORKDAY(Main[[#This Row],[Tech Start Date]],9),""))))</f>
        <v/>
      </c>
      <c r="Q337" s="129">
        <v>40117</v>
      </c>
      <c r="R337" s="129">
        <v>40328</v>
      </c>
      <c r="S337" s="139" t="s">
        <v>17</v>
      </c>
      <c r="T337" s="115" t="s">
        <v>4</v>
      </c>
      <c r="U337" s="139" t="s">
        <v>29</v>
      </c>
      <c r="V337" s="139" t="s">
        <v>1915</v>
      </c>
      <c r="W337" s="139" t="s">
        <v>1919</v>
      </c>
      <c r="X337" s="139" t="s">
        <v>2861</v>
      </c>
      <c r="Y337" s="112" t="s">
        <v>2956</v>
      </c>
      <c r="Z337" s="112" t="s">
        <v>4</v>
      </c>
      <c r="AA337" s="139" t="s">
        <v>2861</v>
      </c>
    </row>
    <row r="338" spans="1:27" ht="17.25" customHeight="1">
      <c r="A338" s="69" t="str">
        <f>IF(priority(Main[[#This Row],[Comments]])&lt;&gt;0, priority(Main[[#This Row],[Comments]]),"")</f>
        <v/>
      </c>
      <c r="B338" s="63" t="s">
        <v>1223</v>
      </c>
      <c r="C338" s="148" t="s">
        <v>169</v>
      </c>
      <c r="D338" s="113" t="s">
        <v>232</v>
      </c>
      <c r="E338" s="129"/>
      <c r="F338" s="129">
        <v>40237</v>
      </c>
      <c r="G338" s="69" t="str">
        <f>IF(stdProdLT(Main[[#This Row],[Comments]])=0.1,"N/A",IF(stdProdLT(Main[[#This Row],[Comments]])=0,"",stdProdLT(Main[[#This Row],[Comments]])))</f>
        <v/>
      </c>
      <c r="H338" s="138" t="str">
        <f>IF(Main[[#This Row],[In Stock Date]]="N/A", "N/A",IF(AND(Main[[#This Row],[In Stock Date]]&lt;&gt;"",Main[[#This Row],[Revised Due Date]]&lt;&gt;"",Main[[#This Row],[In Stock Date]]&lt;&gt;""),Main[[#This Row],[In Stock Date]]-Main[[#This Row],[Revised Due Date]],""))</f>
        <v/>
      </c>
      <c r="I338" s="139" t="s">
        <v>4</v>
      </c>
      <c r="J338" s="139" t="s">
        <v>4</v>
      </c>
      <c r="K338" s="139" t="s">
        <v>4</v>
      </c>
      <c r="L338" s="129"/>
      <c r="M338" s="114" t="str">
        <f>IF(Main[[#This Row],[Tech Start Date]]&lt;1/1/1990,"",IF(Main[[#This Row],[Class]]="C",WORKDAY(Main[[#This Row],[Tech Start Date]],9),IF(Main[[#This Row],[Class]]="B", WORKDAY(Main[[#This Row],[Tech Start Date]],6),IF(Main[[#This Row],[Class]]="A",WORKDAY(Main[[#This Row],[Tech Start Date]],2),""))))</f>
        <v/>
      </c>
      <c r="N338" s="114" t="str">
        <f>IF(Main[[#This Row],[Tech Start Date]]&lt;1/1/1990,"",IF(Main[[#This Row],[Class]]="C",WORKDAY(Main[[#This Row],[Tech Start Date]],19),IF(Main[[#This Row],[Class]]="B", WORKDAY(Main[[#This Row],[Tech Start Date]],12),IF(Main[[#This Row],[Class]]="A",WORKDAY(Main[[#This Row],[Tech Start Date]],4),""))))</f>
        <v/>
      </c>
      <c r="O338" s="114" t="str">
        <f>IF(Main[[#This Row],[Tech Start Date]]&lt;1/1/1990,"",IF(Main[[#This Row],[Class]]="C",WORKDAY(Main[[#This Row],[Tech Start Date]],23),IF(Main[[#This Row],[Class]]="B", WORKDAY(Main[[#This Row],[Tech Start Date]],15),IF(Main[[#This Row],[Class]]="A",WORKDAY(Main[[#This Row],[Tech Start Date]],5),""))))</f>
        <v/>
      </c>
      <c r="P338" s="114" t="str">
        <f>IF(Main[[#This Row],[Tech Start Date]]&lt;1/1/1990,"",IF(Main[[#This Row],[Class]]="C",WORKDAY(Main[[#This Row],[Tech Start Date]],28),IF(Main[[#This Row],[Class]]="B", WORKDAY(Main[[#This Row],[Tech Start Date]],19),IF(Main[[#This Row],[Class]]="A",WORKDAY(Main[[#This Row],[Tech Start Date]],9),""))))</f>
        <v/>
      </c>
      <c r="Q338" s="129">
        <v>40132</v>
      </c>
      <c r="R338" s="129"/>
      <c r="S338" s="139" t="s">
        <v>11</v>
      </c>
      <c r="T338" s="115" t="s">
        <v>4</v>
      </c>
      <c r="U338" s="139" t="s">
        <v>14</v>
      </c>
      <c r="V338" s="139" t="s">
        <v>1914</v>
      </c>
      <c r="W338" s="139" t="s">
        <v>1919</v>
      </c>
      <c r="X338" s="139" t="s">
        <v>2858</v>
      </c>
      <c r="Y338" s="112" t="s">
        <v>4</v>
      </c>
      <c r="Z338" s="112" t="s">
        <v>4</v>
      </c>
      <c r="AA338" s="139" t="s">
        <v>2858</v>
      </c>
    </row>
    <row r="339" spans="1:27" ht="17.25" customHeight="1">
      <c r="A339" s="69" t="str">
        <f>IF(priority(Main[[#This Row],[Comments]])&lt;&gt;0, priority(Main[[#This Row],[Comments]]),"")</f>
        <v/>
      </c>
      <c r="B339" s="63" t="s">
        <v>1224</v>
      </c>
      <c r="C339" s="148" t="s">
        <v>4</v>
      </c>
      <c r="D339" s="113" t="s">
        <v>233</v>
      </c>
      <c r="E339" s="129">
        <v>40403.488668981481</v>
      </c>
      <c r="F339" s="129"/>
      <c r="G339" s="69" t="str">
        <f>IF(stdProdLT(Main[[#This Row],[Comments]])=0.1,"N/A",IF(stdProdLT(Main[[#This Row],[Comments]])=0,"",stdProdLT(Main[[#This Row],[Comments]])))</f>
        <v/>
      </c>
      <c r="H339" s="138" t="str">
        <f>IF(Main[[#This Row],[In Stock Date]]="N/A", "N/A",IF(AND(Main[[#This Row],[In Stock Date]]&lt;&gt;"",Main[[#This Row],[Revised Due Date]]&lt;&gt;"",Main[[#This Row],[In Stock Date]]&lt;&gt;""),Main[[#This Row],[In Stock Date]]-Main[[#This Row],[Revised Due Date]],""))</f>
        <v/>
      </c>
      <c r="I339" s="139" t="s">
        <v>129</v>
      </c>
      <c r="J339" s="139" t="s">
        <v>28</v>
      </c>
      <c r="K339" s="139" t="s">
        <v>4</v>
      </c>
      <c r="L339" s="129"/>
      <c r="M339" s="114" t="str">
        <f>IF(Main[[#This Row],[Tech Start Date]]&lt;1/1/1990,"",IF(Main[[#This Row],[Class]]="C",WORKDAY(Main[[#This Row],[Tech Start Date]],9),IF(Main[[#This Row],[Class]]="B", WORKDAY(Main[[#This Row],[Tech Start Date]],6),IF(Main[[#This Row],[Class]]="A",WORKDAY(Main[[#This Row],[Tech Start Date]],2),""))))</f>
        <v/>
      </c>
      <c r="N339" s="114" t="str">
        <f>IF(Main[[#This Row],[Tech Start Date]]&lt;1/1/1990,"",IF(Main[[#This Row],[Class]]="C",WORKDAY(Main[[#This Row],[Tech Start Date]],19),IF(Main[[#This Row],[Class]]="B", WORKDAY(Main[[#This Row],[Tech Start Date]],12),IF(Main[[#This Row],[Class]]="A",WORKDAY(Main[[#This Row],[Tech Start Date]],4),""))))</f>
        <v/>
      </c>
      <c r="O339" s="114" t="str">
        <f>IF(Main[[#This Row],[Tech Start Date]]&lt;1/1/1990,"",IF(Main[[#This Row],[Class]]="C",WORKDAY(Main[[#This Row],[Tech Start Date]],23),IF(Main[[#This Row],[Class]]="B", WORKDAY(Main[[#This Row],[Tech Start Date]],15),IF(Main[[#This Row],[Class]]="A",WORKDAY(Main[[#This Row],[Tech Start Date]],5),""))))</f>
        <v/>
      </c>
      <c r="P339" s="114" t="str">
        <f>IF(Main[[#This Row],[Tech Start Date]]&lt;1/1/1990,"",IF(Main[[#This Row],[Class]]="C",WORKDAY(Main[[#This Row],[Tech Start Date]],28),IF(Main[[#This Row],[Class]]="B", WORKDAY(Main[[#This Row],[Tech Start Date]],19),IF(Main[[#This Row],[Class]]="A",WORKDAY(Main[[#This Row],[Tech Start Date]],9),""))))</f>
        <v/>
      </c>
      <c r="Q339" s="129">
        <v>40438</v>
      </c>
      <c r="R339" s="129"/>
      <c r="S339" s="139" t="s">
        <v>6</v>
      </c>
      <c r="T339" s="115" t="s">
        <v>4</v>
      </c>
      <c r="U339" s="139" t="s">
        <v>7</v>
      </c>
      <c r="V339" s="139" t="s">
        <v>1914</v>
      </c>
      <c r="W339" s="139" t="s">
        <v>1918</v>
      </c>
      <c r="X339" s="139" t="s">
        <v>2818</v>
      </c>
      <c r="Y339" s="112" t="s">
        <v>2929</v>
      </c>
      <c r="Z339" s="112" t="s">
        <v>129</v>
      </c>
      <c r="AA339" s="139" t="s">
        <v>2818</v>
      </c>
    </row>
    <row r="340" spans="1:27" ht="17.25" customHeight="1">
      <c r="A340" s="69" t="str">
        <f>IF(priority(Main[[#This Row],[Comments]])&lt;&gt;0, priority(Main[[#This Row],[Comments]]),"")</f>
        <v/>
      </c>
      <c r="B340" s="63" t="s">
        <v>1178</v>
      </c>
      <c r="C340" s="148" t="s">
        <v>234</v>
      </c>
      <c r="D340" s="113" t="s">
        <v>235</v>
      </c>
      <c r="E340" s="129"/>
      <c r="F340" s="129"/>
      <c r="G340" s="69" t="str">
        <f>IF(stdProdLT(Main[[#This Row],[Comments]])=0.1,"N/A",IF(stdProdLT(Main[[#This Row],[Comments]])=0,"",stdProdLT(Main[[#This Row],[Comments]])))</f>
        <v/>
      </c>
      <c r="H340" s="138" t="str">
        <f>IF(Main[[#This Row],[In Stock Date]]="N/A", "N/A",IF(AND(Main[[#This Row],[In Stock Date]]&lt;&gt;"",Main[[#This Row],[Revised Due Date]]&lt;&gt;"",Main[[#This Row],[In Stock Date]]&lt;&gt;""),Main[[#This Row],[In Stock Date]]-Main[[#This Row],[Revised Due Date]],""))</f>
        <v/>
      </c>
      <c r="I340" s="139" t="s">
        <v>4</v>
      </c>
      <c r="J340" s="139" t="s">
        <v>4</v>
      </c>
      <c r="K340" s="139" t="s">
        <v>4</v>
      </c>
      <c r="L340" s="129"/>
      <c r="M340" s="114" t="str">
        <f>IF(Main[[#This Row],[Tech Start Date]]&lt;1/1/1990,"",IF(Main[[#This Row],[Class]]="C",WORKDAY(Main[[#This Row],[Tech Start Date]],9),IF(Main[[#This Row],[Class]]="B", WORKDAY(Main[[#This Row],[Tech Start Date]],6),IF(Main[[#This Row],[Class]]="A",WORKDAY(Main[[#This Row],[Tech Start Date]],2),""))))</f>
        <v/>
      </c>
      <c r="N340" s="114" t="str">
        <f>IF(Main[[#This Row],[Tech Start Date]]&lt;1/1/1990,"",IF(Main[[#This Row],[Class]]="C",WORKDAY(Main[[#This Row],[Tech Start Date]],19),IF(Main[[#This Row],[Class]]="B", WORKDAY(Main[[#This Row],[Tech Start Date]],12),IF(Main[[#This Row],[Class]]="A",WORKDAY(Main[[#This Row],[Tech Start Date]],4),""))))</f>
        <v/>
      </c>
      <c r="O340" s="114" t="str">
        <f>IF(Main[[#This Row],[Tech Start Date]]&lt;1/1/1990,"",IF(Main[[#This Row],[Class]]="C",WORKDAY(Main[[#This Row],[Tech Start Date]],23),IF(Main[[#This Row],[Class]]="B", WORKDAY(Main[[#This Row],[Tech Start Date]],15),IF(Main[[#This Row],[Class]]="A",WORKDAY(Main[[#This Row],[Tech Start Date]],5),""))))</f>
        <v/>
      </c>
      <c r="P340" s="114" t="str">
        <f>IF(Main[[#This Row],[Tech Start Date]]&lt;1/1/1990,"",IF(Main[[#This Row],[Class]]="C",WORKDAY(Main[[#This Row],[Tech Start Date]],28),IF(Main[[#This Row],[Class]]="B", WORKDAY(Main[[#This Row],[Tech Start Date]],19),IF(Main[[#This Row],[Class]]="A",WORKDAY(Main[[#This Row],[Tech Start Date]],9),""))))</f>
        <v/>
      </c>
      <c r="Q340" s="129">
        <v>40204</v>
      </c>
      <c r="R340" s="129"/>
      <c r="S340" s="139" t="s">
        <v>11</v>
      </c>
      <c r="T340" s="115" t="s">
        <v>4</v>
      </c>
      <c r="U340" s="139" t="s">
        <v>14</v>
      </c>
      <c r="V340" s="139" t="s">
        <v>1917</v>
      </c>
      <c r="W340" s="139" t="s">
        <v>1916</v>
      </c>
      <c r="X340" s="139" t="s">
        <v>65</v>
      </c>
      <c r="Y340" s="112" t="s">
        <v>4</v>
      </c>
      <c r="Z340" s="112" t="s">
        <v>4</v>
      </c>
      <c r="AA340" s="139" t="s">
        <v>65</v>
      </c>
    </row>
    <row r="341" spans="1:27" ht="17.25" customHeight="1">
      <c r="A341" s="69" t="str">
        <f>IF(priority(Main[[#This Row],[Comments]])&lt;&gt;0, priority(Main[[#This Row],[Comments]]),"")</f>
        <v/>
      </c>
      <c r="B341" s="63" t="s">
        <v>3519</v>
      </c>
      <c r="C341" s="148" t="s">
        <v>3520</v>
      </c>
      <c r="D341" s="113" t="s">
        <v>3521</v>
      </c>
      <c r="E341" s="129"/>
      <c r="F341" s="129"/>
      <c r="G341" s="69" t="str">
        <f>IF(stdProdLT(Main[[#This Row],[Comments]])=0.1,"N/A",IF(stdProdLT(Main[[#This Row],[Comments]])=0,"",stdProdLT(Main[[#This Row],[Comments]])))</f>
        <v/>
      </c>
      <c r="H341" s="138" t="str">
        <f>IF(Main[[#This Row],[In Stock Date]]="N/A", "N/A",IF(AND(Main[[#This Row],[In Stock Date]]&lt;&gt;"",Main[[#This Row],[Revised Due Date]]&lt;&gt;"",Main[[#This Row],[In Stock Date]]&lt;&gt;""),Main[[#This Row],[In Stock Date]]-Main[[#This Row],[Revised Due Date]],""))</f>
        <v/>
      </c>
      <c r="I341" s="139" t="s">
        <v>4</v>
      </c>
      <c r="J341" s="139" t="s">
        <v>4</v>
      </c>
      <c r="K341" s="139" t="s">
        <v>4</v>
      </c>
      <c r="L341" s="129"/>
      <c r="M341" s="114" t="str">
        <f>IF(Main[[#This Row],[Tech Start Date]]&lt;1/1/1990,"",IF(Main[[#This Row],[Class]]="C",WORKDAY(Main[[#This Row],[Tech Start Date]],9),IF(Main[[#This Row],[Class]]="B", WORKDAY(Main[[#This Row],[Tech Start Date]],6),IF(Main[[#This Row],[Class]]="A",WORKDAY(Main[[#This Row],[Tech Start Date]],2),""))))</f>
        <v/>
      </c>
      <c r="N341" s="114" t="str">
        <f>IF(Main[[#This Row],[Tech Start Date]]&lt;1/1/1990,"",IF(Main[[#This Row],[Class]]="C",WORKDAY(Main[[#This Row],[Tech Start Date]],19),IF(Main[[#This Row],[Class]]="B", WORKDAY(Main[[#This Row],[Tech Start Date]],12),IF(Main[[#This Row],[Class]]="A",WORKDAY(Main[[#This Row],[Tech Start Date]],4),""))))</f>
        <v/>
      </c>
      <c r="O341" s="114" t="str">
        <f>IF(Main[[#This Row],[Tech Start Date]]&lt;1/1/1990,"",IF(Main[[#This Row],[Class]]="C",WORKDAY(Main[[#This Row],[Tech Start Date]],23),IF(Main[[#This Row],[Class]]="B", WORKDAY(Main[[#This Row],[Tech Start Date]],15),IF(Main[[#This Row],[Class]]="A",WORKDAY(Main[[#This Row],[Tech Start Date]],5),""))))</f>
        <v/>
      </c>
      <c r="P341" s="114" t="str">
        <f>IF(Main[[#This Row],[Tech Start Date]]&lt;1/1/1990,"",IF(Main[[#This Row],[Class]]="C",WORKDAY(Main[[#This Row],[Tech Start Date]],28),IF(Main[[#This Row],[Class]]="B", WORKDAY(Main[[#This Row],[Tech Start Date]],19),IF(Main[[#This Row],[Class]]="A",WORKDAY(Main[[#This Row],[Tech Start Date]],9),""))))</f>
        <v/>
      </c>
      <c r="Q341" s="129">
        <v>40953</v>
      </c>
      <c r="R341" s="129"/>
      <c r="S341" s="139" t="s">
        <v>11</v>
      </c>
      <c r="T341" s="115" t="s">
        <v>4</v>
      </c>
      <c r="U341" s="139" t="s">
        <v>14</v>
      </c>
      <c r="V341" s="139" t="s">
        <v>1914</v>
      </c>
      <c r="W341" s="139" t="s">
        <v>1925</v>
      </c>
      <c r="X341" s="139" t="s">
        <v>2839</v>
      </c>
      <c r="Y341" s="112" t="s">
        <v>2970</v>
      </c>
      <c r="Z341" s="112" t="s">
        <v>4</v>
      </c>
      <c r="AA341" s="139" t="s">
        <v>2839</v>
      </c>
    </row>
    <row r="342" spans="1:27" ht="17.25" customHeight="1">
      <c r="A342" s="69" t="str">
        <f>IF(priority(Main[[#This Row],[Comments]])&lt;&gt;0, priority(Main[[#This Row],[Comments]]),"")</f>
        <v/>
      </c>
      <c r="B342" s="63" t="s">
        <v>3525</v>
      </c>
      <c r="C342" s="148" t="s">
        <v>47</v>
      </c>
      <c r="D342" s="113" t="s">
        <v>3526</v>
      </c>
      <c r="E342" s="129">
        <v>40947.640497685185</v>
      </c>
      <c r="F342" s="129"/>
      <c r="G342" s="69" t="str">
        <f>IF(stdProdLT(Main[[#This Row],[Comments]])=0.1,"N/A",IF(stdProdLT(Main[[#This Row],[Comments]])=0,"",stdProdLT(Main[[#This Row],[Comments]])))</f>
        <v/>
      </c>
      <c r="H342" s="138" t="str">
        <f>IF(Main[[#This Row],[In Stock Date]]="N/A", "N/A",IF(AND(Main[[#This Row],[In Stock Date]]&lt;&gt;"",Main[[#This Row],[Revised Due Date]]&lt;&gt;"",Main[[#This Row],[In Stock Date]]&lt;&gt;""),Main[[#This Row],[In Stock Date]]-Main[[#This Row],[Revised Due Date]],""))</f>
        <v/>
      </c>
      <c r="I342" s="139" t="s">
        <v>4</v>
      </c>
      <c r="J342" s="139" t="s">
        <v>4</v>
      </c>
      <c r="K342" s="139" t="s">
        <v>4</v>
      </c>
      <c r="L342" s="129"/>
      <c r="M342" s="114" t="str">
        <f>IF(Main[[#This Row],[Tech Start Date]]&lt;1/1/1990,"",IF(Main[[#This Row],[Class]]="C",WORKDAY(Main[[#This Row],[Tech Start Date]],9),IF(Main[[#This Row],[Class]]="B", WORKDAY(Main[[#This Row],[Tech Start Date]],6),IF(Main[[#This Row],[Class]]="A",WORKDAY(Main[[#This Row],[Tech Start Date]],2),""))))</f>
        <v/>
      </c>
      <c r="N342" s="114" t="str">
        <f>IF(Main[[#This Row],[Tech Start Date]]&lt;1/1/1990,"",IF(Main[[#This Row],[Class]]="C",WORKDAY(Main[[#This Row],[Tech Start Date]],19),IF(Main[[#This Row],[Class]]="B", WORKDAY(Main[[#This Row],[Tech Start Date]],12),IF(Main[[#This Row],[Class]]="A",WORKDAY(Main[[#This Row],[Tech Start Date]],4),""))))</f>
        <v/>
      </c>
      <c r="O342" s="114" t="str">
        <f>IF(Main[[#This Row],[Tech Start Date]]&lt;1/1/1990,"",IF(Main[[#This Row],[Class]]="C",WORKDAY(Main[[#This Row],[Tech Start Date]],23),IF(Main[[#This Row],[Class]]="B", WORKDAY(Main[[#This Row],[Tech Start Date]],15),IF(Main[[#This Row],[Class]]="A",WORKDAY(Main[[#This Row],[Tech Start Date]],5),""))))</f>
        <v/>
      </c>
      <c r="P342" s="114" t="str">
        <f>IF(Main[[#This Row],[Tech Start Date]]&lt;1/1/1990,"",IF(Main[[#This Row],[Class]]="C",WORKDAY(Main[[#This Row],[Tech Start Date]],28),IF(Main[[#This Row],[Class]]="B", WORKDAY(Main[[#This Row],[Tech Start Date]],19),IF(Main[[#This Row],[Class]]="A",WORKDAY(Main[[#This Row],[Tech Start Date]],9),""))))</f>
        <v/>
      </c>
      <c r="Q342" s="129">
        <v>40999</v>
      </c>
      <c r="R342" s="129"/>
      <c r="S342" s="139" t="s">
        <v>6</v>
      </c>
      <c r="T342" s="115" t="s">
        <v>4</v>
      </c>
      <c r="U342" s="139" t="s">
        <v>29</v>
      </c>
      <c r="V342" s="139" t="s">
        <v>2283</v>
      </c>
      <c r="W342" s="139" t="s">
        <v>4</v>
      </c>
      <c r="X342" s="139" t="s">
        <v>2865</v>
      </c>
      <c r="Y342" s="112" t="s">
        <v>3010</v>
      </c>
      <c r="Z342" s="112" t="s">
        <v>4</v>
      </c>
      <c r="AA342" s="139" t="s">
        <v>2865</v>
      </c>
    </row>
    <row r="343" spans="1:27" ht="17.25" customHeight="1">
      <c r="A343" s="69" t="str">
        <f>IF(priority(Main[[#This Row],[Comments]])&lt;&gt;0, priority(Main[[#This Row],[Comments]]),"")</f>
        <v/>
      </c>
      <c r="B343" s="63" t="s">
        <v>1179</v>
      </c>
      <c r="C343" s="148" t="s">
        <v>4</v>
      </c>
      <c r="D343" s="113" t="s">
        <v>236</v>
      </c>
      <c r="E343" s="129">
        <v>40317.337557870371</v>
      </c>
      <c r="F343" s="129"/>
      <c r="G343" s="69" t="str">
        <f>IF(stdProdLT(Main[[#This Row],[Comments]])=0.1,"N/A",IF(stdProdLT(Main[[#This Row],[Comments]])=0,"",stdProdLT(Main[[#This Row],[Comments]])))</f>
        <v/>
      </c>
      <c r="H343" s="138" t="str">
        <f>IF(Main[[#This Row],[In Stock Date]]="N/A", "N/A",IF(AND(Main[[#This Row],[In Stock Date]]&lt;&gt;"",Main[[#This Row],[Revised Due Date]]&lt;&gt;"",Main[[#This Row],[In Stock Date]]&lt;&gt;""),Main[[#This Row],[In Stock Date]]-Main[[#This Row],[Revised Due Date]],""))</f>
        <v/>
      </c>
      <c r="I343" s="139" t="s">
        <v>4</v>
      </c>
      <c r="J343" s="139" t="s">
        <v>4</v>
      </c>
      <c r="K343" s="139" t="s">
        <v>4</v>
      </c>
      <c r="L343" s="129"/>
      <c r="M343" s="114" t="str">
        <f>IF(Main[[#This Row],[Tech Start Date]]&lt;1/1/1990,"",IF(Main[[#This Row],[Class]]="C",WORKDAY(Main[[#This Row],[Tech Start Date]],9),IF(Main[[#This Row],[Class]]="B", WORKDAY(Main[[#This Row],[Tech Start Date]],6),IF(Main[[#This Row],[Class]]="A",WORKDAY(Main[[#This Row],[Tech Start Date]],2),""))))</f>
        <v/>
      </c>
      <c r="N343" s="114" t="str">
        <f>IF(Main[[#This Row],[Tech Start Date]]&lt;1/1/1990,"",IF(Main[[#This Row],[Class]]="C",WORKDAY(Main[[#This Row],[Tech Start Date]],19),IF(Main[[#This Row],[Class]]="B", WORKDAY(Main[[#This Row],[Tech Start Date]],12),IF(Main[[#This Row],[Class]]="A",WORKDAY(Main[[#This Row],[Tech Start Date]],4),""))))</f>
        <v/>
      </c>
      <c r="O343" s="114" t="str">
        <f>IF(Main[[#This Row],[Tech Start Date]]&lt;1/1/1990,"",IF(Main[[#This Row],[Class]]="C",WORKDAY(Main[[#This Row],[Tech Start Date]],23),IF(Main[[#This Row],[Class]]="B", WORKDAY(Main[[#This Row],[Tech Start Date]],15),IF(Main[[#This Row],[Class]]="A",WORKDAY(Main[[#This Row],[Tech Start Date]],5),""))))</f>
        <v/>
      </c>
      <c r="P343" s="114" t="str">
        <f>IF(Main[[#This Row],[Tech Start Date]]&lt;1/1/1990,"",IF(Main[[#This Row],[Class]]="C",WORKDAY(Main[[#This Row],[Tech Start Date]],28),IF(Main[[#This Row],[Class]]="B", WORKDAY(Main[[#This Row],[Tech Start Date]],19),IF(Main[[#This Row],[Class]]="A",WORKDAY(Main[[#This Row],[Tech Start Date]],9),""))))</f>
        <v/>
      </c>
      <c r="Q343" s="129">
        <v>40330</v>
      </c>
      <c r="R343" s="129"/>
      <c r="S343" s="139" t="s">
        <v>6</v>
      </c>
      <c r="T343" s="115" t="s">
        <v>4</v>
      </c>
      <c r="U343" s="139" t="s">
        <v>7</v>
      </c>
      <c r="V343" s="139" t="s">
        <v>1914</v>
      </c>
      <c r="W343" s="139" t="s">
        <v>1916</v>
      </c>
      <c r="X343" s="139" t="s">
        <v>102</v>
      </c>
      <c r="Y343" s="112" t="s">
        <v>3011</v>
      </c>
      <c r="Z343" s="112" t="s">
        <v>129</v>
      </c>
      <c r="AA343" s="139" t="s">
        <v>102</v>
      </c>
    </row>
    <row r="344" spans="1:27" ht="17.25" customHeight="1">
      <c r="A344" s="69" t="str">
        <f>IF(priority(Main[[#This Row],[Comments]])&lt;&gt;0, priority(Main[[#This Row],[Comments]]),"")</f>
        <v/>
      </c>
      <c r="B344" s="63" t="s">
        <v>1180</v>
      </c>
      <c r="C344" s="148" t="s">
        <v>4</v>
      </c>
      <c r="D344" s="113" t="s">
        <v>237</v>
      </c>
      <c r="E344" s="129"/>
      <c r="F344" s="129"/>
      <c r="G344" s="69" t="str">
        <f>IF(stdProdLT(Main[[#This Row],[Comments]])=0.1,"N/A",IF(stdProdLT(Main[[#This Row],[Comments]])=0,"",stdProdLT(Main[[#This Row],[Comments]])))</f>
        <v/>
      </c>
      <c r="H344" s="138" t="str">
        <f>IF(Main[[#This Row],[In Stock Date]]="N/A", "N/A",IF(AND(Main[[#This Row],[In Stock Date]]&lt;&gt;"",Main[[#This Row],[Revised Due Date]]&lt;&gt;"",Main[[#This Row],[In Stock Date]]&lt;&gt;""),Main[[#This Row],[In Stock Date]]-Main[[#This Row],[Revised Due Date]],""))</f>
        <v/>
      </c>
      <c r="I344" s="139" t="s">
        <v>4</v>
      </c>
      <c r="J344" s="139" t="s">
        <v>4</v>
      </c>
      <c r="K344" s="139" t="s">
        <v>4</v>
      </c>
      <c r="L344" s="129"/>
      <c r="M344" s="114" t="str">
        <f>IF(Main[[#This Row],[Tech Start Date]]&lt;1/1/1990,"",IF(Main[[#This Row],[Class]]="C",WORKDAY(Main[[#This Row],[Tech Start Date]],9),IF(Main[[#This Row],[Class]]="B", WORKDAY(Main[[#This Row],[Tech Start Date]],6),IF(Main[[#This Row],[Class]]="A",WORKDAY(Main[[#This Row],[Tech Start Date]],2),""))))</f>
        <v/>
      </c>
      <c r="N344" s="114" t="str">
        <f>IF(Main[[#This Row],[Tech Start Date]]&lt;1/1/1990,"",IF(Main[[#This Row],[Class]]="C",WORKDAY(Main[[#This Row],[Tech Start Date]],19),IF(Main[[#This Row],[Class]]="B", WORKDAY(Main[[#This Row],[Tech Start Date]],12),IF(Main[[#This Row],[Class]]="A",WORKDAY(Main[[#This Row],[Tech Start Date]],4),""))))</f>
        <v/>
      </c>
      <c r="O344" s="114" t="str">
        <f>IF(Main[[#This Row],[Tech Start Date]]&lt;1/1/1990,"",IF(Main[[#This Row],[Class]]="C",WORKDAY(Main[[#This Row],[Tech Start Date]],23),IF(Main[[#This Row],[Class]]="B", WORKDAY(Main[[#This Row],[Tech Start Date]],15),IF(Main[[#This Row],[Class]]="A",WORKDAY(Main[[#This Row],[Tech Start Date]],5),""))))</f>
        <v/>
      </c>
      <c r="P344" s="114" t="str">
        <f>IF(Main[[#This Row],[Tech Start Date]]&lt;1/1/1990,"",IF(Main[[#This Row],[Class]]="C",WORKDAY(Main[[#This Row],[Tech Start Date]],28),IF(Main[[#This Row],[Class]]="B", WORKDAY(Main[[#This Row],[Tech Start Date]],19),IF(Main[[#This Row],[Class]]="A",WORKDAY(Main[[#This Row],[Tech Start Date]],9),""))))</f>
        <v/>
      </c>
      <c r="Q344" s="129"/>
      <c r="R344" s="129"/>
      <c r="S344" s="139" t="s">
        <v>11</v>
      </c>
      <c r="T344" s="115" t="s">
        <v>4</v>
      </c>
      <c r="U344" s="139" t="s">
        <v>14</v>
      </c>
      <c r="V344" s="139" t="s">
        <v>1914</v>
      </c>
      <c r="W344" s="139" t="s">
        <v>1918</v>
      </c>
      <c r="X344" s="139" t="s">
        <v>922</v>
      </c>
      <c r="Y344" s="112" t="s">
        <v>2982</v>
      </c>
      <c r="Z344" s="112" t="s">
        <v>4</v>
      </c>
      <c r="AA344" s="139" t="s">
        <v>922</v>
      </c>
    </row>
    <row r="345" spans="1:27" ht="17.25" customHeight="1">
      <c r="A345" s="69" t="str">
        <f>IF(priority(Main[[#This Row],[Comments]])&lt;&gt;0, priority(Main[[#This Row],[Comments]]),"")</f>
        <v/>
      </c>
      <c r="B345" s="63" t="s">
        <v>1496</v>
      </c>
      <c r="C345" s="148" t="s">
        <v>93</v>
      </c>
      <c r="D345" s="113" t="s">
        <v>599</v>
      </c>
      <c r="E345" s="129">
        <v>40016.655266203707</v>
      </c>
      <c r="F345" s="129"/>
      <c r="G345" s="69" t="str">
        <f>IF(stdProdLT(Main[[#This Row],[Comments]])=0.1,"N/A",IF(stdProdLT(Main[[#This Row],[Comments]])=0,"",stdProdLT(Main[[#This Row],[Comments]])))</f>
        <v/>
      </c>
      <c r="H345" s="138" t="str">
        <f>IF(Main[[#This Row],[In Stock Date]]="N/A", "N/A",IF(AND(Main[[#This Row],[In Stock Date]]&lt;&gt;"",Main[[#This Row],[Revised Due Date]]&lt;&gt;"",Main[[#This Row],[In Stock Date]]&lt;&gt;""),Main[[#This Row],[In Stock Date]]-Main[[#This Row],[Revised Due Date]],""))</f>
        <v/>
      </c>
      <c r="I345" s="139" t="s">
        <v>4</v>
      </c>
      <c r="J345" s="139" t="s">
        <v>4</v>
      </c>
      <c r="K345" s="139" t="s">
        <v>4</v>
      </c>
      <c r="L345" s="129"/>
      <c r="M345" s="114" t="str">
        <f>IF(Main[[#This Row],[Tech Start Date]]&lt;1/1/1990,"",IF(Main[[#This Row],[Class]]="C",WORKDAY(Main[[#This Row],[Tech Start Date]],9),IF(Main[[#This Row],[Class]]="B", WORKDAY(Main[[#This Row],[Tech Start Date]],6),IF(Main[[#This Row],[Class]]="A",WORKDAY(Main[[#This Row],[Tech Start Date]],2),""))))</f>
        <v/>
      </c>
      <c r="N345" s="114" t="str">
        <f>IF(Main[[#This Row],[Tech Start Date]]&lt;1/1/1990,"",IF(Main[[#This Row],[Class]]="C",WORKDAY(Main[[#This Row],[Tech Start Date]],19),IF(Main[[#This Row],[Class]]="B", WORKDAY(Main[[#This Row],[Tech Start Date]],12),IF(Main[[#This Row],[Class]]="A",WORKDAY(Main[[#This Row],[Tech Start Date]],4),""))))</f>
        <v/>
      </c>
      <c r="O345" s="114" t="str">
        <f>IF(Main[[#This Row],[Tech Start Date]]&lt;1/1/1990,"",IF(Main[[#This Row],[Class]]="C",WORKDAY(Main[[#This Row],[Tech Start Date]],23),IF(Main[[#This Row],[Class]]="B", WORKDAY(Main[[#This Row],[Tech Start Date]],15),IF(Main[[#This Row],[Class]]="A",WORKDAY(Main[[#This Row],[Tech Start Date]],5),""))))</f>
        <v/>
      </c>
      <c r="P345" s="114" t="str">
        <f>IF(Main[[#This Row],[Tech Start Date]]&lt;1/1/1990,"",IF(Main[[#This Row],[Class]]="C",WORKDAY(Main[[#This Row],[Tech Start Date]],28),IF(Main[[#This Row],[Class]]="B", WORKDAY(Main[[#This Row],[Tech Start Date]],19),IF(Main[[#This Row],[Class]]="A",WORKDAY(Main[[#This Row],[Tech Start Date]],9),""))))</f>
        <v/>
      </c>
      <c r="Q345" s="129"/>
      <c r="R345" s="129"/>
      <c r="S345" s="139" t="s">
        <v>17</v>
      </c>
      <c r="T345" s="115" t="s">
        <v>4</v>
      </c>
      <c r="U345" s="139" t="s">
        <v>29</v>
      </c>
      <c r="V345" s="139" t="s">
        <v>1917</v>
      </c>
      <c r="W345" s="139" t="s">
        <v>1920</v>
      </c>
      <c r="X345" s="139" t="s">
        <v>2853</v>
      </c>
      <c r="Y345" s="112" t="s">
        <v>2991</v>
      </c>
      <c r="Z345" s="112" t="s">
        <v>4</v>
      </c>
      <c r="AA345" s="139" t="s">
        <v>2853</v>
      </c>
    </row>
    <row r="346" spans="1:27" ht="17.25" customHeight="1">
      <c r="A346" s="69" t="str">
        <f>IF(priority(Main[[#This Row],[Comments]])&lt;&gt;0, priority(Main[[#This Row],[Comments]]),"")</f>
        <v/>
      </c>
      <c r="B346" s="63" t="s">
        <v>1676</v>
      </c>
      <c r="C346" s="148" t="s">
        <v>4</v>
      </c>
      <c r="D346" s="113" t="s">
        <v>734</v>
      </c>
      <c r="E346" s="129">
        <v>40618.366238425922</v>
      </c>
      <c r="F346" s="129"/>
      <c r="G346" s="69" t="str">
        <f>IF(stdProdLT(Main[[#This Row],[Comments]])=0.1,"N/A",IF(stdProdLT(Main[[#This Row],[Comments]])=0,"",stdProdLT(Main[[#This Row],[Comments]])))</f>
        <v/>
      </c>
      <c r="H346" s="138" t="str">
        <f>IF(Main[[#This Row],[In Stock Date]]="N/A", "N/A",IF(AND(Main[[#This Row],[In Stock Date]]&lt;&gt;"",Main[[#This Row],[Revised Due Date]]&lt;&gt;"",Main[[#This Row],[In Stock Date]]&lt;&gt;""),Main[[#This Row],[In Stock Date]]-Main[[#This Row],[Revised Due Date]],""))</f>
        <v/>
      </c>
      <c r="I346" s="139" t="s">
        <v>30</v>
      </c>
      <c r="J346" s="139" t="s">
        <v>28</v>
      </c>
      <c r="K346" s="139" t="s">
        <v>1923</v>
      </c>
      <c r="L346" s="129"/>
      <c r="M346" s="114" t="str">
        <f>IF(Main[[#This Row],[Tech Start Date]]&lt;1/1/1990,"",IF(Main[[#This Row],[Class]]="C",WORKDAY(Main[[#This Row],[Tech Start Date]],9),IF(Main[[#This Row],[Class]]="B", WORKDAY(Main[[#This Row],[Tech Start Date]],6),IF(Main[[#This Row],[Class]]="A",WORKDAY(Main[[#This Row],[Tech Start Date]],2),""))))</f>
        <v/>
      </c>
      <c r="N346" s="114" t="str">
        <f>IF(Main[[#This Row],[Tech Start Date]]&lt;1/1/1990,"",IF(Main[[#This Row],[Class]]="C",WORKDAY(Main[[#This Row],[Tech Start Date]],19),IF(Main[[#This Row],[Class]]="B", WORKDAY(Main[[#This Row],[Tech Start Date]],12),IF(Main[[#This Row],[Class]]="A",WORKDAY(Main[[#This Row],[Tech Start Date]],4),""))))</f>
        <v/>
      </c>
      <c r="O346" s="114" t="str">
        <f>IF(Main[[#This Row],[Tech Start Date]]&lt;1/1/1990,"",IF(Main[[#This Row],[Class]]="C",WORKDAY(Main[[#This Row],[Tech Start Date]],23),IF(Main[[#This Row],[Class]]="B", WORKDAY(Main[[#This Row],[Tech Start Date]],15),IF(Main[[#This Row],[Class]]="A",WORKDAY(Main[[#This Row],[Tech Start Date]],5),""))))</f>
        <v/>
      </c>
      <c r="P346" s="114" t="str">
        <f>IF(Main[[#This Row],[Tech Start Date]]&lt;1/1/1990,"",IF(Main[[#This Row],[Class]]="C",WORKDAY(Main[[#This Row],[Tech Start Date]],28),IF(Main[[#This Row],[Class]]="B", WORKDAY(Main[[#This Row],[Tech Start Date]],19),IF(Main[[#This Row],[Class]]="A",WORKDAY(Main[[#This Row],[Tech Start Date]],9),""))))</f>
        <v/>
      </c>
      <c r="Q346" s="129"/>
      <c r="R346" s="129"/>
      <c r="S346" s="139" t="s">
        <v>6</v>
      </c>
      <c r="T346" s="115" t="s">
        <v>4</v>
      </c>
      <c r="U346" s="139" t="s">
        <v>29</v>
      </c>
      <c r="V346" s="139" t="s">
        <v>1917</v>
      </c>
      <c r="W346" s="139" t="s">
        <v>1916</v>
      </c>
      <c r="X346" s="139" t="s">
        <v>415</v>
      </c>
      <c r="Y346" s="112" t="s">
        <v>2975</v>
      </c>
      <c r="Z346" s="112" t="s">
        <v>30</v>
      </c>
      <c r="AA346" s="139" t="s">
        <v>415</v>
      </c>
    </row>
    <row r="347" spans="1:27" ht="17.25" customHeight="1">
      <c r="A347" s="69" t="str">
        <f>IF(priority(Main[[#This Row],[Comments]])&lt;&gt;0, priority(Main[[#This Row],[Comments]]),"")</f>
        <v/>
      </c>
      <c r="B347" s="63" t="s">
        <v>2069</v>
      </c>
      <c r="C347" s="148" t="s">
        <v>4</v>
      </c>
      <c r="D347" s="113" t="s">
        <v>2070</v>
      </c>
      <c r="E347" s="129"/>
      <c r="F347" s="129"/>
      <c r="G347" s="69" t="str">
        <f>IF(stdProdLT(Main[[#This Row],[Comments]])=0.1,"N/A",IF(stdProdLT(Main[[#This Row],[Comments]])=0,"",stdProdLT(Main[[#This Row],[Comments]])))</f>
        <v/>
      </c>
      <c r="H347" s="138" t="str">
        <f>IF(Main[[#This Row],[In Stock Date]]="N/A", "N/A",IF(AND(Main[[#This Row],[In Stock Date]]&lt;&gt;"",Main[[#This Row],[Revised Due Date]]&lt;&gt;"",Main[[#This Row],[In Stock Date]]&lt;&gt;""),Main[[#This Row],[In Stock Date]]-Main[[#This Row],[Revised Due Date]],""))</f>
        <v/>
      </c>
      <c r="I347" s="139" t="s">
        <v>4</v>
      </c>
      <c r="J347" s="139" t="s">
        <v>4</v>
      </c>
      <c r="K347" s="139" t="s">
        <v>4</v>
      </c>
      <c r="L347" s="129"/>
      <c r="M347" s="114" t="str">
        <f>IF(Main[[#This Row],[Tech Start Date]]&lt;1/1/1990,"",IF(Main[[#This Row],[Class]]="C",WORKDAY(Main[[#This Row],[Tech Start Date]],9),IF(Main[[#This Row],[Class]]="B", WORKDAY(Main[[#This Row],[Tech Start Date]],6),IF(Main[[#This Row],[Class]]="A",WORKDAY(Main[[#This Row],[Tech Start Date]],2),""))))</f>
        <v/>
      </c>
      <c r="N347" s="114" t="str">
        <f>IF(Main[[#This Row],[Tech Start Date]]&lt;1/1/1990,"",IF(Main[[#This Row],[Class]]="C",WORKDAY(Main[[#This Row],[Tech Start Date]],19),IF(Main[[#This Row],[Class]]="B", WORKDAY(Main[[#This Row],[Tech Start Date]],12),IF(Main[[#This Row],[Class]]="A",WORKDAY(Main[[#This Row],[Tech Start Date]],4),""))))</f>
        <v/>
      </c>
      <c r="O347" s="114" t="str">
        <f>IF(Main[[#This Row],[Tech Start Date]]&lt;1/1/1990,"",IF(Main[[#This Row],[Class]]="C",WORKDAY(Main[[#This Row],[Tech Start Date]],23),IF(Main[[#This Row],[Class]]="B", WORKDAY(Main[[#This Row],[Tech Start Date]],15),IF(Main[[#This Row],[Class]]="A",WORKDAY(Main[[#This Row],[Tech Start Date]],5),""))))</f>
        <v/>
      </c>
      <c r="P347" s="114" t="str">
        <f>IF(Main[[#This Row],[Tech Start Date]]&lt;1/1/1990,"",IF(Main[[#This Row],[Class]]="C",WORKDAY(Main[[#This Row],[Tech Start Date]],28),IF(Main[[#This Row],[Class]]="B", WORKDAY(Main[[#This Row],[Tech Start Date]],19),IF(Main[[#This Row],[Class]]="A",WORKDAY(Main[[#This Row],[Tech Start Date]],9),""))))</f>
        <v/>
      </c>
      <c r="Q347" s="129"/>
      <c r="R347" s="129"/>
      <c r="S347" s="139" t="s">
        <v>6</v>
      </c>
      <c r="T347" s="115" t="s">
        <v>4</v>
      </c>
      <c r="U347" s="139" t="s">
        <v>14</v>
      </c>
      <c r="V347" s="139" t="s">
        <v>1914</v>
      </c>
      <c r="W347" s="139" t="s">
        <v>1918</v>
      </c>
      <c r="X347" s="139" t="s">
        <v>306</v>
      </c>
      <c r="Y347" s="112" t="s">
        <v>4</v>
      </c>
      <c r="Z347" s="112" t="s">
        <v>4</v>
      </c>
      <c r="AA347" s="139" t="s">
        <v>3386</v>
      </c>
    </row>
    <row r="348" spans="1:27" ht="17.25" customHeight="1">
      <c r="A348" s="69" t="str">
        <f>IF(priority(Main[[#This Row],[Comments]])&lt;&gt;0, priority(Main[[#This Row],[Comments]]),"")</f>
        <v/>
      </c>
      <c r="B348" s="63" t="s">
        <v>1120</v>
      </c>
      <c r="C348" s="148" t="s">
        <v>169</v>
      </c>
      <c r="D348" s="113" t="s">
        <v>170</v>
      </c>
      <c r="E348" s="129"/>
      <c r="F348" s="129">
        <v>40237</v>
      </c>
      <c r="G348" s="69" t="str">
        <f>IF(stdProdLT(Main[[#This Row],[Comments]])=0.1,"N/A",IF(stdProdLT(Main[[#This Row],[Comments]])=0,"",stdProdLT(Main[[#This Row],[Comments]])))</f>
        <v/>
      </c>
      <c r="H348" s="138" t="str">
        <f>IF(Main[[#This Row],[In Stock Date]]="N/A", "N/A",IF(AND(Main[[#This Row],[In Stock Date]]&lt;&gt;"",Main[[#This Row],[Revised Due Date]]&lt;&gt;"",Main[[#This Row],[In Stock Date]]&lt;&gt;""),Main[[#This Row],[In Stock Date]]-Main[[#This Row],[Revised Due Date]],""))</f>
        <v/>
      </c>
      <c r="I348" s="139" t="s">
        <v>4</v>
      </c>
      <c r="J348" s="139" t="s">
        <v>4</v>
      </c>
      <c r="K348" s="139" t="s">
        <v>4</v>
      </c>
      <c r="L348" s="129"/>
      <c r="M348" s="114" t="str">
        <f>IF(Main[[#This Row],[Tech Start Date]]&lt;1/1/1990,"",IF(Main[[#This Row],[Class]]="C",WORKDAY(Main[[#This Row],[Tech Start Date]],9),IF(Main[[#This Row],[Class]]="B", WORKDAY(Main[[#This Row],[Tech Start Date]],6),IF(Main[[#This Row],[Class]]="A",WORKDAY(Main[[#This Row],[Tech Start Date]],2),""))))</f>
        <v/>
      </c>
      <c r="N348" s="114" t="str">
        <f>IF(Main[[#This Row],[Tech Start Date]]&lt;1/1/1990,"",IF(Main[[#This Row],[Class]]="C",WORKDAY(Main[[#This Row],[Tech Start Date]],19),IF(Main[[#This Row],[Class]]="B", WORKDAY(Main[[#This Row],[Tech Start Date]],12),IF(Main[[#This Row],[Class]]="A",WORKDAY(Main[[#This Row],[Tech Start Date]],4),""))))</f>
        <v/>
      </c>
      <c r="O348" s="114" t="str">
        <f>IF(Main[[#This Row],[Tech Start Date]]&lt;1/1/1990,"",IF(Main[[#This Row],[Class]]="C",WORKDAY(Main[[#This Row],[Tech Start Date]],23),IF(Main[[#This Row],[Class]]="B", WORKDAY(Main[[#This Row],[Tech Start Date]],15),IF(Main[[#This Row],[Class]]="A",WORKDAY(Main[[#This Row],[Tech Start Date]],5),""))))</f>
        <v/>
      </c>
      <c r="P348" s="114" t="str">
        <f>IF(Main[[#This Row],[Tech Start Date]]&lt;1/1/1990,"",IF(Main[[#This Row],[Class]]="C",WORKDAY(Main[[#This Row],[Tech Start Date]],28),IF(Main[[#This Row],[Class]]="B", WORKDAY(Main[[#This Row],[Tech Start Date]],19),IF(Main[[#This Row],[Class]]="A",WORKDAY(Main[[#This Row],[Tech Start Date]],9),""))))</f>
        <v/>
      </c>
      <c r="Q348" s="129">
        <v>40132</v>
      </c>
      <c r="R348" s="129"/>
      <c r="S348" s="139" t="s">
        <v>11</v>
      </c>
      <c r="T348" s="115" t="s">
        <v>4</v>
      </c>
      <c r="U348" s="139" t="s">
        <v>14</v>
      </c>
      <c r="V348" s="139" t="s">
        <v>1914</v>
      </c>
      <c r="W348" s="139" t="s">
        <v>1919</v>
      </c>
      <c r="X348" s="139" t="s">
        <v>2858</v>
      </c>
      <c r="Y348" s="112" t="s">
        <v>4</v>
      </c>
      <c r="Z348" s="112" t="s">
        <v>4</v>
      </c>
      <c r="AA348" s="139" t="s">
        <v>2858</v>
      </c>
    </row>
    <row r="349" spans="1:27" ht="17.25" customHeight="1">
      <c r="A349" s="69" t="str">
        <f>IF(priority(Main[[#This Row],[Comments]])&lt;&gt;0, priority(Main[[#This Row],[Comments]]),"")</f>
        <v/>
      </c>
      <c r="B349" s="63" t="s">
        <v>2357</v>
      </c>
      <c r="C349" s="148" t="s">
        <v>4</v>
      </c>
      <c r="D349" s="113" t="s">
        <v>2358</v>
      </c>
      <c r="E349" s="129">
        <v>40826.383356481485</v>
      </c>
      <c r="F349" s="129"/>
      <c r="G349" s="69" t="str">
        <f>IF(stdProdLT(Main[[#This Row],[Comments]])=0.1,"N/A",IF(stdProdLT(Main[[#This Row],[Comments]])=0,"",stdProdLT(Main[[#This Row],[Comments]])))</f>
        <v/>
      </c>
      <c r="H349" s="138" t="str">
        <f>IF(Main[[#This Row],[In Stock Date]]="N/A", "N/A",IF(AND(Main[[#This Row],[In Stock Date]]&lt;&gt;"",Main[[#This Row],[Revised Due Date]]&lt;&gt;"",Main[[#This Row],[In Stock Date]]&lt;&gt;""),Main[[#This Row],[In Stock Date]]-Main[[#This Row],[Revised Due Date]],""))</f>
        <v/>
      </c>
      <c r="I349" s="139" t="s">
        <v>30</v>
      </c>
      <c r="J349" s="139" t="s">
        <v>2212</v>
      </c>
      <c r="K349" s="139" t="s">
        <v>4</v>
      </c>
      <c r="L349" s="129"/>
      <c r="M349" s="114" t="str">
        <f>IF(Main[[#This Row],[Tech Start Date]]&lt;1/1/1990,"",IF(Main[[#This Row],[Class]]="C",WORKDAY(Main[[#This Row],[Tech Start Date]],9),IF(Main[[#This Row],[Class]]="B", WORKDAY(Main[[#This Row],[Tech Start Date]],6),IF(Main[[#This Row],[Class]]="A",WORKDAY(Main[[#This Row],[Tech Start Date]],2),""))))</f>
        <v/>
      </c>
      <c r="N349" s="114" t="str">
        <f>IF(Main[[#This Row],[Tech Start Date]]&lt;1/1/1990,"",IF(Main[[#This Row],[Class]]="C",WORKDAY(Main[[#This Row],[Tech Start Date]],19),IF(Main[[#This Row],[Class]]="B", WORKDAY(Main[[#This Row],[Tech Start Date]],12),IF(Main[[#This Row],[Class]]="A",WORKDAY(Main[[#This Row],[Tech Start Date]],4),""))))</f>
        <v/>
      </c>
      <c r="O349" s="114" t="str">
        <f>IF(Main[[#This Row],[Tech Start Date]]&lt;1/1/1990,"",IF(Main[[#This Row],[Class]]="C",WORKDAY(Main[[#This Row],[Tech Start Date]],23),IF(Main[[#This Row],[Class]]="B", WORKDAY(Main[[#This Row],[Tech Start Date]],15),IF(Main[[#This Row],[Class]]="A",WORKDAY(Main[[#This Row],[Tech Start Date]],5),""))))</f>
        <v/>
      </c>
      <c r="P349" s="114" t="str">
        <f>IF(Main[[#This Row],[Tech Start Date]]&lt;1/1/1990,"",IF(Main[[#This Row],[Class]]="C",WORKDAY(Main[[#This Row],[Tech Start Date]],28),IF(Main[[#This Row],[Class]]="B", WORKDAY(Main[[#This Row],[Tech Start Date]],19),IF(Main[[#This Row],[Class]]="A",WORKDAY(Main[[#This Row],[Tech Start Date]],9),""))))</f>
        <v/>
      </c>
      <c r="Q349" s="129"/>
      <c r="R349" s="129"/>
      <c r="S349" s="139" t="s">
        <v>6</v>
      </c>
      <c r="T349" s="115" t="s">
        <v>4</v>
      </c>
      <c r="U349" s="139" t="s">
        <v>29</v>
      </c>
      <c r="V349" s="139" t="s">
        <v>1917</v>
      </c>
      <c r="W349" s="139" t="s">
        <v>1916</v>
      </c>
      <c r="X349" s="139" t="s">
        <v>306</v>
      </c>
      <c r="Y349" s="112" t="s">
        <v>4</v>
      </c>
      <c r="Z349" s="112" t="s">
        <v>81</v>
      </c>
      <c r="AA349" s="139" t="s">
        <v>3394</v>
      </c>
    </row>
    <row r="350" spans="1:27" ht="17.25" customHeight="1">
      <c r="A350" s="69" t="str">
        <f>IF(priority(Main[[#This Row],[Comments]])&lt;&gt;0, priority(Main[[#This Row],[Comments]]),"")</f>
        <v/>
      </c>
      <c r="B350" s="63" t="s">
        <v>1121</v>
      </c>
      <c r="C350" s="148" t="s">
        <v>172</v>
      </c>
      <c r="D350" s="113" t="s">
        <v>173</v>
      </c>
      <c r="E350" s="129"/>
      <c r="F350" s="129">
        <v>40848</v>
      </c>
      <c r="G350" s="69" t="str">
        <f>IF(stdProdLT(Main[[#This Row],[Comments]])=0.1,"N/A",IF(stdProdLT(Main[[#This Row],[Comments]])=0,"",stdProdLT(Main[[#This Row],[Comments]])))</f>
        <v/>
      </c>
      <c r="H350" s="138" t="str">
        <f>IF(Main[[#This Row],[In Stock Date]]="N/A", "N/A",IF(AND(Main[[#This Row],[In Stock Date]]&lt;&gt;"",Main[[#This Row],[Revised Due Date]]&lt;&gt;"",Main[[#This Row],[In Stock Date]]&lt;&gt;""),Main[[#This Row],[In Stock Date]]-Main[[#This Row],[Revised Due Date]],""))</f>
        <v/>
      </c>
      <c r="I350" s="139" t="s">
        <v>4</v>
      </c>
      <c r="J350" s="139" t="s">
        <v>51</v>
      </c>
      <c r="K350" s="140" t="s">
        <v>4</v>
      </c>
      <c r="L350" s="129"/>
      <c r="M350" s="114" t="str">
        <f>IF(Main[[#This Row],[Tech Start Date]]&lt;1/1/1990,"",IF(Main[[#This Row],[Class]]="C",WORKDAY(Main[[#This Row],[Tech Start Date]],9),IF(Main[[#This Row],[Class]]="B", WORKDAY(Main[[#This Row],[Tech Start Date]],6),IF(Main[[#This Row],[Class]]="A",WORKDAY(Main[[#This Row],[Tech Start Date]],2),""))))</f>
        <v/>
      </c>
      <c r="N350" s="114" t="str">
        <f>IF(Main[[#This Row],[Tech Start Date]]&lt;1/1/1990,"",IF(Main[[#This Row],[Class]]="C",WORKDAY(Main[[#This Row],[Tech Start Date]],19),IF(Main[[#This Row],[Class]]="B", WORKDAY(Main[[#This Row],[Tech Start Date]],12),IF(Main[[#This Row],[Class]]="A",WORKDAY(Main[[#This Row],[Tech Start Date]],4),""))))</f>
        <v/>
      </c>
      <c r="O350" s="114" t="str">
        <f>IF(Main[[#This Row],[Tech Start Date]]&lt;1/1/1990,"",IF(Main[[#This Row],[Class]]="C",WORKDAY(Main[[#This Row],[Tech Start Date]],23),IF(Main[[#This Row],[Class]]="B", WORKDAY(Main[[#This Row],[Tech Start Date]],15),IF(Main[[#This Row],[Class]]="A",WORKDAY(Main[[#This Row],[Tech Start Date]],5),""))))</f>
        <v/>
      </c>
      <c r="P350" s="114" t="str">
        <f>IF(Main[[#This Row],[Tech Start Date]]&lt;1/1/1990,"",IF(Main[[#This Row],[Class]]="C",WORKDAY(Main[[#This Row],[Tech Start Date]],28),IF(Main[[#This Row],[Class]]="B", WORKDAY(Main[[#This Row],[Tech Start Date]],19),IF(Main[[#This Row],[Class]]="A",WORKDAY(Main[[#This Row],[Tech Start Date]],9),""))))</f>
        <v/>
      </c>
      <c r="Q350" s="129">
        <v>40648</v>
      </c>
      <c r="R350" s="129"/>
      <c r="S350" s="139" t="s">
        <v>11</v>
      </c>
      <c r="T350" s="115" t="s">
        <v>4</v>
      </c>
      <c r="U350" s="139" t="s">
        <v>12</v>
      </c>
      <c r="V350" s="139" t="s">
        <v>1914</v>
      </c>
      <c r="W350" s="139" t="s">
        <v>1920</v>
      </c>
      <c r="X350" s="139" t="s">
        <v>50</v>
      </c>
      <c r="Y350" s="112" t="s">
        <v>2943</v>
      </c>
      <c r="Z350" s="112" t="s">
        <v>3160</v>
      </c>
      <c r="AA350" s="139" t="s">
        <v>2824</v>
      </c>
    </row>
    <row r="351" spans="1:27" ht="17.25" customHeight="1">
      <c r="A351" s="69" t="str">
        <f>IF(priority(Main[[#This Row],[Comments]])&lt;&gt;0, priority(Main[[#This Row],[Comments]]),"")</f>
        <v/>
      </c>
      <c r="B351" s="63" t="s">
        <v>2536</v>
      </c>
      <c r="C351" s="148" t="s">
        <v>2352</v>
      </c>
      <c r="D351" s="113" t="s">
        <v>2537</v>
      </c>
      <c r="E351" s="129"/>
      <c r="F351" s="129">
        <v>41030</v>
      </c>
      <c r="G351" s="69" t="str">
        <f>IF(stdProdLT(Main[[#This Row],[Comments]])=0.1,"N/A",IF(stdProdLT(Main[[#This Row],[Comments]])=0,"",stdProdLT(Main[[#This Row],[Comments]])))</f>
        <v/>
      </c>
      <c r="H351" s="138" t="str">
        <f>IF(Main[[#This Row],[In Stock Date]]="N/A", "N/A",IF(AND(Main[[#This Row],[In Stock Date]]&lt;&gt;"",Main[[#This Row],[Revised Due Date]]&lt;&gt;"",Main[[#This Row],[In Stock Date]]&lt;&gt;""),Main[[#This Row],[In Stock Date]]-Main[[#This Row],[Revised Due Date]],""))</f>
        <v/>
      </c>
      <c r="I351" s="139" t="s">
        <v>4</v>
      </c>
      <c r="J351" s="139" t="s">
        <v>75</v>
      </c>
      <c r="K351" s="139" t="s">
        <v>4</v>
      </c>
      <c r="L351" s="129"/>
      <c r="M351" s="114" t="str">
        <f>IF(Main[[#This Row],[Tech Start Date]]&lt;1/1/1990,"",IF(Main[[#This Row],[Class]]="C",WORKDAY(Main[[#This Row],[Tech Start Date]],9),IF(Main[[#This Row],[Class]]="B", WORKDAY(Main[[#This Row],[Tech Start Date]],6),IF(Main[[#This Row],[Class]]="A",WORKDAY(Main[[#This Row],[Tech Start Date]],2),""))))</f>
        <v/>
      </c>
      <c r="N351" s="114" t="str">
        <f>IF(Main[[#This Row],[Tech Start Date]]&lt;1/1/1990,"",IF(Main[[#This Row],[Class]]="C",WORKDAY(Main[[#This Row],[Tech Start Date]],19),IF(Main[[#This Row],[Class]]="B", WORKDAY(Main[[#This Row],[Tech Start Date]],12),IF(Main[[#This Row],[Class]]="A",WORKDAY(Main[[#This Row],[Tech Start Date]],4),""))))</f>
        <v/>
      </c>
      <c r="O351" s="114" t="str">
        <f>IF(Main[[#This Row],[Tech Start Date]]&lt;1/1/1990,"",IF(Main[[#This Row],[Class]]="C",WORKDAY(Main[[#This Row],[Tech Start Date]],23),IF(Main[[#This Row],[Class]]="B", WORKDAY(Main[[#This Row],[Tech Start Date]],15),IF(Main[[#This Row],[Class]]="A",WORKDAY(Main[[#This Row],[Tech Start Date]],5),""))))</f>
        <v/>
      </c>
      <c r="P351" s="114" t="str">
        <f>IF(Main[[#This Row],[Tech Start Date]]&lt;1/1/1990,"",IF(Main[[#This Row],[Class]]="C",WORKDAY(Main[[#This Row],[Tech Start Date]],28),IF(Main[[#This Row],[Class]]="B", WORKDAY(Main[[#This Row],[Tech Start Date]],19),IF(Main[[#This Row],[Class]]="A",WORKDAY(Main[[#This Row],[Tech Start Date]],9),""))))</f>
        <v/>
      </c>
      <c r="Q351" s="129">
        <v>40923</v>
      </c>
      <c r="R351" s="129"/>
      <c r="S351" s="139" t="s">
        <v>11</v>
      </c>
      <c r="T351" s="115" t="s">
        <v>4</v>
      </c>
      <c r="U351" s="139" t="s">
        <v>14</v>
      </c>
      <c r="V351" s="139" t="s">
        <v>1924</v>
      </c>
      <c r="W351" s="139" t="s">
        <v>1920</v>
      </c>
      <c r="X351" s="139" t="s">
        <v>2848</v>
      </c>
      <c r="Y351" s="112" t="s">
        <v>2979</v>
      </c>
      <c r="Z351" s="112" t="s">
        <v>530</v>
      </c>
      <c r="AA351" s="139" t="s">
        <v>2848</v>
      </c>
    </row>
    <row r="352" spans="1:27" ht="17.25" customHeight="1">
      <c r="A352" s="69" t="str">
        <f>IF(priority(Main[[#This Row],[Comments]])&lt;&gt;0, priority(Main[[#This Row],[Comments]]),"")</f>
        <v/>
      </c>
      <c r="B352" s="63" t="s">
        <v>1122</v>
      </c>
      <c r="C352" s="148" t="s">
        <v>4</v>
      </c>
      <c r="D352" s="113" t="s">
        <v>174</v>
      </c>
      <c r="E352" s="129">
        <v>40681.639328703706</v>
      </c>
      <c r="F352" s="129"/>
      <c r="G352" s="69" t="str">
        <f>IF(stdProdLT(Main[[#This Row],[Comments]])=0.1,"N/A",IF(stdProdLT(Main[[#This Row],[Comments]])=0,"",stdProdLT(Main[[#This Row],[Comments]])))</f>
        <v/>
      </c>
      <c r="H352" s="138" t="str">
        <f>IF(Main[[#This Row],[In Stock Date]]="N/A", "N/A",IF(AND(Main[[#This Row],[In Stock Date]]&lt;&gt;"",Main[[#This Row],[Revised Due Date]]&lt;&gt;"",Main[[#This Row],[In Stock Date]]&lt;&gt;""),Main[[#This Row],[In Stock Date]]-Main[[#This Row],[Revised Due Date]],""))</f>
        <v/>
      </c>
      <c r="I352" s="139" t="s">
        <v>4</v>
      </c>
      <c r="J352" s="139" t="s">
        <v>4</v>
      </c>
      <c r="K352" s="139" t="s">
        <v>4</v>
      </c>
      <c r="L352" s="129"/>
      <c r="M352" s="114" t="str">
        <f>IF(Main[[#This Row],[Tech Start Date]]&lt;1/1/1990,"",IF(Main[[#This Row],[Class]]="C",WORKDAY(Main[[#This Row],[Tech Start Date]],9),IF(Main[[#This Row],[Class]]="B", WORKDAY(Main[[#This Row],[Tech Start Date]],6),IF(Main[[#This Row],[Class]]="A",WORKDAY(Main[[#This Row],[Tech Start Date]],2),""))))</f>
        <v/>
      </c>
      <c r="N352" s="114" t="str">
        <f>IF(Main[[#This Row],[Tech Start Date]]&lt;1/1/1990,"",IF(Main[[#This Row],[Class]]="C",WORKDAY(Main[[#This Row],[Tech Start Date]],19),IF(Main[[#This Row],[Class]]="B", WORKDAY(Main[[#This Row],[Tech Start Date]],12),IF(Main[[#This Row],[Class]]="A",WORKDAY(Main[[#This Row],[Tech Start Date]],4),""))))</f>
        <v/>
      </c>
      <c r="O352" s="114" t="str">
        <f>IF(Main[[#This Row],[Tech Start Date]]&lt;1/1/1990,"",IF(Main[[#This Row],[Class]]="C",WORKDAY(Main[[#This Row],[Tech Start Date]],23),IF(Main[[#This Row],[Class]]="B", WORKDAY(Main[[#This Row],[Tech Start Date]],15),IF(Main[[#This Row],[Class]]="A",WORKDAY(Main[[#This Row],[Tech Start Date]],5),""))))</f>
        <v/>
      </c>
      <c r="P352" s="114" t="str">
        <f>IF(Main[[#This Row],[Tech Start Date]]&lt;1/1/1990,"",IF(Main[[#This Row],[Class]]="C",WORKDAY(Main[[#This Row],[Tech Start Date]],28),IF(Main[[#This Row],[Class]]="B", WORKDAY(Main[[#This Row],[Tech Start Date]],19),IF(Main[[#This Row],[Class]]="A",WORKDAY(Main[[#This Row],[Tech Start Date]],9),""))))</f>
        <v/>
      </c>
      <c r="Q352" s="129">
        <v>40702</v>
      </c>
      <c r="R352" s="129"/>
      <c r="S352" s="139" t="s">
        <v>6</v>
      </c>
      <c r="T352" s="115" t="s">
        <v>4</v>
      </c>
      <c r="U352" s="139" t="s">
        <v>7</v>
      </c>
      <c r="V352" s="139" t="s">
        <v>1914</v>
      </c>
      <c r="W352" s="139" t="s">
        <v>1922</v>
      </c>
      <c r="X352" s="139" t="s">
        <v>2821</v>
      </c>
      <c r="Y352" s="112" t="s">
        <v>2936</v>
      </c>
      <c r="Z352" s="112" t="s">
        <v>4</v>
      </c>
      <c r="AA352" s="139" t="s">
        <v>2821</v>
      </c>
    </row>
    <row r="353" spans="1:27" ht="17.25" customHeight="1">
      <c r="A353" s="69" t="str">
        <f>IF(priority(Main[[#This Row],[Comments]])&lt;&gt;0, priority(Main[[#This Row],[Comments]]),"")</f>
        <v/>
      </c>
      <c r="B353" s="63" t="s">
        <v>1183</v>
      </c>
      <c r="C353" s="148" t="s">
        <v>243</v>
      </c>
      <c r="D353" s="113" t="s">
        <v>244</v>
      </c>
      <c r="E353" s="129"/>
      <c r="F353" s="129">
        <v>40299</v>
      </c>
      <c r="G353" s="69" t="str">
        <f>IF(stdProdLT(Main[[#This Row],[Comments]])=0.1,"N/A",IF(stdProdLT(Main[[#This Row],[Comments]])=0,"",stdProdLT(Main[[#This Row],[Comments]])))</f>
        <v/>
      </c>
      <c r="H353" s="138" t="str">
        <f>IF(Main[[#This Row],[In Stock Date]]="N/A", "N/A",IF(AND(Main[[#This Row],[In Stock Date]]&lt;&gt;"",Main[[#This Row],[Revised Due Date]]&lt;&gt;"",Main[[#This Row],[In Stock Date]]&lt;&gt;""),Main[[#This Row],[In Stock Date]]-Main[[#This Row],[Revised Due Date]],""))</f>
        <v/>
      </c>
      <c r="I353" s="139" t="s">
        <v>4</v>
      </c>
      <c r="J353" s="139" t="s">
        <v>4</v>
      </c>
      <c r="K353" s="139" t="s">
        <v>4</v>
      </c>
      <c r="L353" s="129"/>
      <c r="M353" s="114" t="str">
        <f>IF(Main[[#This Row],[Tech Start Date]]&lt;1/1/1990,"",IF(Main[[#This Row],[Class]]="C",WORKDAY(Main[[#This Row],[Tech Start Date]],9),IF(Main[[#This Row],[Class]]="B", WORKDAY(Main[[#This Row],[Tech Start Date]],6),IF(Main[[#This Row],[Class]]="A",WORKDAY(Main[[#This Row],[Tech Start Date]],2),""))))</f>
        <v/>
      </c>
      <c r="N353" s="114" t="str">
        <f>IF(Main[[#This Row],[Tech Start Date]]&lt;1/1/1990,"",IF(Main[[#This Row],[Class]]="C",WORKDAY(Main[[#This Row],[Tech Start Date]],19),IF(Main[[#This Row],[Class]]="B", WORKDAY(Main[[#This Row],[Tech Start Date]],12),IF(Main[[#This Row],[Class]]="A",WORKDAY(Main[[#This Row],[Tech Start Date]],4),""))))</f>
        <v/>
      </c>
      <c r="O353" s="114" t="str">
        <f>IF(Main[[#This Row],[Tech Start Date]]&lt;1/1/1990,"",IF(Main[[#This Row],[Class]]="C",WORKDAY(Main[[#This Row],[Tech Start Date]],23),IF(Main[[#This Row],[Class]]="B", WORKDAY(Main[[#This Row],[Tech Start Date]],15),IF(Main[[#This Row],[Class]]="A",WORKDAY(Main[[#This Row],[Tech Start Date]],5),""))))</f>
        <v/>
      </c>
      <c r="P353" s="114" t="str">
        <f>IF(Main[[#This Row],[Tech Start Date]]&lt;1/1/1990,"",IF(Main[[#This Row],[Class]]="C",WORKDAY(Main[[#This Row],[Tech Start Date]],28),IF(Main[[#This Row],[Class]]="B", WORKDAY(Main[[#This Row],[Tech Start Date]],19),IF(Main[[#This Row],[Class]]="A",WORKDAY(Main[[#This Row],[Tech Start Date]],9),""))))</f>
        <v/>
      </c>
      <c r="Q353" s="129">
        <v>40241</v>
      </c>
      <c r="R353" s="129"/>
      <c r="S353" s="139" t="s">
        <v>11</v>
      </c>
      <c r="T353" s="115" t="s">
        <v>4</v>
      </c>
      <c r="U353" s="139" t="s">
        <v>14</v>
      </c>
      <c r="V353" s="139" t="s">
        <v>1924</v>
      </c>
      <c r="W353" s="139" t="s">
        <v>1922</v>
      </c>
      <c r="X353" s="139" t="s">
        <v>2868</v>
      </c>
      <c r="Y353" s="112" t="s">
        <v>3012</v>
      </c>
      <c r="Z353" s="112" t="s">
        <v>4</v>
      </c>
      <c r="AA353" s="139" t="s">
        <v>2868</v>
      </c>
    </row>
    <row r="354" spans="1:27" ht="17.25" customHeight="1">
      <c r="A354" s="69" t="str">
        <f>IF(priority(Main[[#This Row],[Comments]])&lt;&gt;0, priority(Main[[#This Row],[Comments]]),"")</f>
        <v/>
      </c>
      <c r="B354" s="63" t="s">
        <v>3550</v>
      </c>
      <c r="C354" s="148" t="s">
        <v>2204</v>
      </c>
      <c r="D354" s="113" t="s">
        <v>3551</v>
      </c>
      <c r="E354" s="129"/>
      <c r="F354" s="129"/>
      <c r="G354" s="69" t="str">
        <f>IF(stdProdLT(Main[[#This Row],[Comments]])=0.1,"N/A",IF(stdProdLT(Main[[#This Row],[Comments]])=0,"",stdProdLT(Main[[#This Row],[Comments]])))</f>
        <v/>
      </c>
      <c r="H354" s="138" t="str">
        <f>IF(Main[[#This Row],[In Stock Date]]="N/A", "N/A",IF(AND(Main[[#This Row],[In Stock Date]]&lt;&gt;"",Main[[#This Row],[Revised Due Date]]&lt;&gt;"",Main[[#This Row],[In Stock Date]]&lt;&gt;""),Main[[#This Row],[In Stock Date]]-Main[[#This Row],[Revised Due Date]],""))</f>
        <v/>
      </c>
      <c r="I354" s="139" t="s">
        <v>4</v>
      </c>
      <c r="J354" s="139" t="s">
        <v>4</v>
      </c>
      <c r="K354" s="139" t="s">
        <v>4</v>
      </c>
      <c r="L354" s="129"/>
      <c r="M354" s="114" t="str">
        <f>IF(Main[[#This Row],[Tech Start Date]]&lt;1/1/1990,"",IF(Main[[#This Row],[Class]]="C",WORKDAY(Main[[#This Row],[Tech Start Date]],9),IF(Main[[#This Row],[Class]]="B", WORKDAY(Main[[#This Row],[Tech Start Date]],6),IF(Main[[#This Row],[Class]]="A",WORKDAY(Main[[#This Row],[Tech Start Date]],2),""))))</f>
        <v/>
      </c>
      <c r="N354" s="114" t="str">
        <f>IF(Main[[#This Row],[Tech Start Date]]&lt;1/1/1990,"",IF(Main[[#This Row],[Class]]="C",WORKDAY(Main[[#This Row],[Tech Start Date]],19),IF(Main[[#This Row],[Class]]="B", WORKDAY(Main[[#This Row],[Tech Start Date]],12),IF(Main[[#This Row],[Class]]="A",WORKDAY(Main[[#This Row],[Tech Start Date]],4),""))))</f>
        <v/>
      </c>
      <c r="O354" s="114" t="str">
        <f>IF(Main[[#This Row],[Tech Start Date]]&lt;1/1/1990,"",IF(Main[[#This Row],[Class]]="C",WORKDAY(Main[[#This Row],[Tech Start Date]],23),IF(Main[[#This Row],[Class]]="B", WORKDAY(Main[[#This Row],[Tech Start Date]],15),IF(Main[[#This Row],[Class]]="A",WORKDAY(Main[[#This Row],[Tech Start Date]],5),""))))</f>
        <v/>
      </c>
      <c r="P354" s="114" t="str">
        <f>IF(Main[[#This Row],[Tech Start Date]]&lt;1/1/1990,"",IF(Main[[#This Row],[Class]]="C",WORKDAY(Main[[#This Row],[Tech Start Date]],28),IF(Main[[#This Row],[Class]]="B", WORKDAY(Main[[#This Row],[Tech Start Date]],19),IF(Main[[#This Row],[Class]]="A",WORKDAY(Main[[#This Row],[Tech Start Date]],9),""))))</f>
        <v/>
      </c>
      <c r="Q354" s="129">
        <v>40984</v>
      </c>
      <c r="R354" s="129"/>
      <c r="S354" s="139" t="s">
        <v>11</v>
      </c>
      <c r="T354" s="115" t="s">
        <v>4</v>
      </c>
      <c r="U354" s="139" t="s">
        <v>14</v>
      </c>
      <c r="V354" s="139" t="s">
        <v>1914</v>
      </c>
      <c r="W354" s="139" t="s">
        <v>1922</v>
      </c>
      <c r="X354" s="139" t="s">
        <v>2911</v>
      </c>
      <c r="Y354" s="112" t="s">
        <v>4</v>
      </c>
      <c r="Z354" s="112" t="s">
        <v>4</v>
      </c>
      <c r="AA354" s="139" t="s">
        <v>3461</v>
      </c>
    </row>
    <row r="355" spans="1:27" ht="17.25" customHeight="1">
      <c r="A355" s="69" t="str">
        <f>IF(priority(Main[[#This Row],[Comments]])&lt;&gt;0, priority(Main[[#This Row],[Comments]]),"")</f>
        <v/>
      </c>
      <c r="B355" s="63" t="s">
        <v>1184</v>
      </c>
      <c r="C355" s="148" t="s">
        <v>4</v>
      </c>
      <c r="D355" s="113" t="s">
        <v>39</v>
      </c>
      <c r="E355" s="129"/>
      <c r="F355" s="129"/>
      <c r="G355" s="69" t="str">
        <f>IF(stdProdLT(Main[[#This Row],[Comments]])=0.1,"N/A",IF(stdProdLT(Main[[#This Row],[Comments]])=0,"",stdProdLT(Main[[#This Row],[Comments]])))</f>
        <v/>
      </c>
      <c r="H355" s="138" t="str">
        <f>IF(Main[[#This Row],[In Stock Date]]="N/A", "N/A",IF(AND(Main[[#This Row],[In Stock Date]]&lt;&gt;"",Main[[#This Row],[Revised Due Date]]&lt;&gt;"",Main[[#This Row],[In Stock Date]]&lt;&gt;""),Main[[#This Row],[In Stock Date]]-Main[[#This Row],[Revised Due Date]],""))</f>
        <v/>
      </c>
      <c r="I355" s="139" t="s">
        <v>4</v>
      </c>
      <c r="J355" s="139" t="s">
        <v>4</v>
      </c>
      <c r="K355" s="139" t="s">
        <v>4</v>
      </c>
      <c r="L355" s="129"/>
      <c r="M355" s="114" t="str">
        <f>IF(Main[[#This Row],[Tech Start Date]]&lt;1/1/1990,"",IF(Main[[#This Row],[Class]]="C",WORKDAY(Main[[#This Row],[Tech Start Date]],9),IF(Main[[#This Row],[Class]]="B", WORKDAY(Main[[#This Row],[Tech Start Date]],6),IF(Main[[#This Row],[Class]]="A",WORKDAY(Main[[#This Row],[Tech Start Date]],2),""))))</f>
        <v/>
      </c>
      <c r="N355" s="114" t="str">
        <f>IF(Main[[#This Row],[Tech Start Date]]&lt;1/1/1990,"",IF(Main[[#This Row],[Class]]="C",WORKDAY(Main[[#This Row],[Tech Start Date]],19),IF(Main[[#This Row],[Class]]="B", WORKDAY(Main[[#This Row],[Tech Start Date]],12),IF(Main[[#This Row],[Class]]="A",WORKDAY(Main[[#This Row],[Tech Start Date]],4),""))))</f>
        <v/>
      </c>
      <c r="O355" s="114" t="str">
        <f>IF(Main[[#This Row],[Tech Start Date]]&lt;1/1/1990,"",IF(Main[[#This Row],[Class]]="C",WORKDAY(Main[[#This Row],[Tech Start Date]],23),IF(Main[[#This Row],[Class]]="B", WORKDAY(Main[[#This Row],[Tech Start Date]],15),IF(Main[[#This Row],[Class]]="A",WORKDAY(Main[[#This Row],[Tech Start Date]],5),""))))</f>
        <v/>
      </c>
      <c r="P355" s="114" t="str">
        <f>IF(Main[[#This Row],[Tech Start Date]]&lt;1/1/1990,"",IF(Main[[#This Row],[Class]]="C",WORKDAY(Main[[#This Row],[Tech Start Date]],28),IF(Main[[#This Row],[Class]]="B", WORKDAY(Main[[#This Row],[Tech Start Date]],19),IF(Main[[#This Row],[Class]]="A",WORKDAY(Main[[#This Row],[Tech Start Date]],9),""))))</f>
        <v/>
      </c>
      <c r="Q355" s="129">
        <v>40669</v>
      </c>
      <c r="R355" s="129"/>
      <c r="S355" s="139" t="s">
        <v>6</v>
      </c>
      <c r="T355" s="115" t="s">
        <v>4</v>
      </c>
      <c r="U355" s="139" t="s">
        <v>14</v>
      </c>
      <c r="V355" s="139" t="s">
        <v>1917</v>
      </c>
      <c r="W355" s="139" t="s">
        <v>4</v>
      </c>
      <c r="X355" s="139" t="s">
        <v>2818</v>
      </c>
      <c r="Y355" s="112" t="s">
        <v>2929</v>
      </c>
      <c r="Z355" s="112" t="s">
        <v>4</v>
      </c>
      <c r="AA355" s="139" t="s">
        <v>2818</v>
      </c>
    </row>
    <row r="356" spans="1:27" ht="17.25" customHeight="1">
      <c r="A356" s="69" t="str">
        <f>IF(priority(Main[[#This Row],[Comments]])&lt;&gt;0, priority(Main[[#This Row],[Comments]]),"")</f>
        <v/>
      </c>
      <c r="B356" s="63" t="s">
        <v>2071</v>
      </c>
      <c r="C356" s="148" t="s">
        <v>4</v>
      </c>
      <c r="D356" s="113" t="s">
        <v>2072</v>
      </c>
      <c r="E356" s="129">
        <v>40774.330196759256</v>
      </c>
      <c r="F356" s="129"/>
      <c r="G356" s="69" t="str">
        <f>IF(stdProdLT(Main[[#This Row],[Comments]])=0.1,"N/A",IF(stdProdLT(Main[[#This Row],[Comments]])=0,"",stdProdLT(Main[[#This Row],[Comments]])))</f>
        <v/>
      </c>
      <c r="H356" s="138" t="str">
        <f>IF(Main[[#This Row],[In Stock Date]]="N/A", "N/A",IF(AND(Main[[#This Row],[In Stock Date]]&lt;&gt;"",Main[[#This Row],[Revised Due Date]]&lt;&gt;"",Main[[#This Row],[In Stock Date]]&lt;&gt;""),Main[[#This Row],[In Stock Date]]-Main[[#This Row],[Revised Due Date]],""))</f>
        <v/>
      </c>
      <c r="I356" s="139" t="s">
        <v>4</v>
      </c>
      <c r="J356" s="139" t="s">
        <v>4</v>
      </c>
      <c r="K356" s="139" t="s">
        <v>4</v>
      </c>
      <c r="L356" s="129"/>
      <c r="M356" s="114" t="str">
        <f>IF(Main[[#This Row],[Tech Start Date]]&lt;1/1/1990,"",IF(Main[[#This Row],[Class]]="C",WORKDAY(Main[[#This Row],[Tech Start Date]],9),IF(Main[[#This Row],[Class]]="B", WORKDAY(Main[[#This Row],[Tech Start Date]],6),IF(Main[[#This Row],[Class]]="A",WORKDAY(Main[[#This Row],[Tech Start Date]],2),""))))</f>
        <v/>
      </c>
      <c r="N356" s="114" t="str">
        <f>IF(Main[[#This Row],[Tech Start Date]]&lt;1/1/1990,"",IF(Main[[#This Row],[Class]]="C",WORKDAY(Main[[#This Row],[Tech Start Date]],19),IF(Main[[#This Row],[Class]]="B", WORKDAY(Main[[#This Row],[Tech Start Date]],12),IF(Main[[#This Row],[Class]]="A",WORKDAY(Main[[#This Row],[Tech Start Date]],4),""))))</f>
        <v/>
      </c>
      <c r="O356" s="114" t="str">
        <f>IF(Main[[#This Row],[Tech Start Date]]&lt;1/1/1990,"",IF(Main[[#This Row],[Class]]="C",WORKDAY(Main[[#This Row],[Tech Start Date]],23),IF(Main[[#This Row],[Class]]="B", WORKDAY(Main[[#This Row],[Tech Start Date]],15),IF(Main[[#This Row],[Class]]="A",WORKDAY(Main[[#This Row],[Tech Start Date]],5),""))))</f>
        <v/>
      </c>
      <c r="P356" s="114" t="str">
        <f>IF(Main[[#This Row],[Tech Start Date]]&lt;1/1/1990,"",IF(Main[[#This Row],[Class]]="C",WORKDAY(Main[[#This Row],[Tech Start Date]],28),IF(Main[[#This Row],[Class]]="B", WORKDAY(Main[[#This Row],[Tech Start Date]],19),IF(Main[[#This Row],[Class]]="A",WORKDAY(Main[[#This Row],[Tech Start Date]],9),""))))</f>
        <v/>
      </c>
      <c r="Q356" s="129">
        <v>40788</v>
      </c>
      <c r="R356" s="129"/>
      <c r="S356" s="139" t="s">
        <v>6</v>
      </c>
      <c r="T356" s="115" t="s">
        <v>4</v>
      </c>
      <c r="U356" s="139" t="s">
        <v>7</v>
      </c>
      <c r="V356" s="139" t="s">
        <v>1914</v>
      </c>
      <c r="W356" s="139" t="s">
        <v>4</v>
      </c>
      <c r="X356" s="139" t="s">
        <v>2851</v>
      </c>
      <c r="Y356" s="112" t="s">
        <v>2986</v>
      </c>
      <c r="Z356" s="112" t="s">
        <v>4</v>
      </c>
      <c r="AA356" s="139" t="s">
        <v>2851</v>
      </c>
    </row>
    <row r="357" spans="1:27" ht="17.25" customHeight="1">
      <c r="A357" s="69" t="str">
        <f>IF(priority(Main[[#This Row],[Comments]])&lt;&gt;0, priority(Main[[#This Row],[Comments]]),"")</f>
        <v/>
      </c>
      <c r="B357" s="63" t="s">
        <v>1185</v>
      </c>
      <c r="C357" s="148" t="s">
        <v>245</v>
      </c>
      <c r="D357" s="113" t="s">
        <v>246</v>
      </c>
      <c r="E357" s="129"/>
      <c r="F357" s="129"/>
      <c r="G357" s="69" t="str">
        <f>IF(stdProdLT(Main[[#This Row],[Comments]])=0.1,"N/A",IF(stdProdLT(Main[[#This Row],[Comments]])=0,"",stdProdLT(Main[[#This Row],[Comments]])))</f>
        <v/>
      </c>
      <c r="H357" s="138" t="str">
        <f>IF(Main[[#This Row],[In Stock Date]]="N/A", "N/A",IF(AND(Main[[#This Row],[In Stock Date]]&lt;&gt;"",Main[[#This Row],[Revised Due Date]]&lt;&gt;"",Main[[#This Row],[In Stock Date]]&lt;&gt;""),Main[[#This Row],[In Stock Date]]-Main[[#This Row],[Revised Due Date]],""))</f>
        <v/>
      </c>
      <c r="I357" s="139" t="s">
        <v>4</v>
      </c>
      <c r="J357" s="139" t="s">
        <v>4</v>
      </c>
      <c r="K357" s="139" t="s">
        <v>4</v>
      </c>
      <c r="L357" s="129"/>
      <c r="M357" s="114" t="str">
        <f>IF(Main[[#This Row],[Tech Start Date]]&lt;1/1/1990,"",IF(Main[[#This Row],[Class]]="C",WORKDAY(Main[[#This Row],[Tech Start Date]],9),IF(Main[[#This Row],[Class]]="B", WORKDAY(Main[[#This Row],[Tech Start Date]],6),IF(Main[[#This Row],[Class]]="A",WORKDAY(Main[[#This Row],[Tech Start Date]],2),""))))</f>
        <v/>
      </c>
      <c r="N357" s="114" t="str">
        <f>IF(Main[[#This Row],[Tech Start Date]]&lt;1/1/1990,"",IF(Main[[#This Row],[Class]]="C",WORKDAY(Main[[#This Row],[Tech Start Date]],19),IF(Main[[#This Row],[Class]]="B", WORKDAY(Main[[#This Row],[Tech Start Date]],12),IF(Main[[#This Row],[Class]]="A",WORKDAY(Main[[#This Row],[Tech Start Date]],4),""))))</f>
        <v/>
      </c>
      <c r="O357" s="114" t="str">
        <f>IF(Main[[#This Row],[Tech Start Date]]&lt;1/1/1990,"",IF(Main[[#This Row],[Class]]="C",WORKDAY(Main[[#This Row],[Tech Start Date]],23),IF(Main[[#This Row],[Class]]="B", WORKDAY(Main[[#This Row],[Tech Start Date]],15),IF(Main[[#This Row],[Class]]="A",WORKDAY(Main[[#This Row],[Tech Start Date]],5),""))))</f>
        <v/>
      </c>
      <c r="P357" s="114" t="str">
        <f>IF(Main[[#This Row],[Tech Start Date]]&lt;1/1/1990,"",IF(Main[[#This Row],[Class]]="C",WORKDAY(Main[[#This Row],[Tech Start Date]],28),IF(Main[[#This Row],[Class]]="B", WORKDAY(Main[[#This Row],[Tech Start Date]],19),IF(Main[[#This Row],[Class]]="A",WORKDAY(Main[[#This Row],[Tech Start Date]],9),""))))</f>
        <v/>
      </c>
      <c r="Q357" s="129">
        <v>40325</v>
      </c>
      <c r="R357" s="129"/>
      <c r="S357" s="139" t="s">
        <v>11</v>
      </c>
      <c r="T357" s="115" t="s">
        <v>4</v>
      </c>
      <c r="U357" s="139" t="s">
        <v>12</v>
      </c>
      <c r="V357" s="139" t="s">
        <v>1915</v>
      </c>
      <c r="W357" s="139" t="s">
        <v>1920</v>
      </c>
      <c r="X357" s="139" t="s">
        <v>50</v>
      </c>
      <c r="Y357" s="112" t="s">
        <v>3013</v>
      </c>
      <c r="Z357" s="112" t="s">
        <v>4</v>
      </c>
      <c r="AA357" s="139" t="s">
        <v>3399</v>
      </c>
    </row>
    <row r="358" spans="1:27" ht="17.25" customHeight="1">
      <c r="A358" s="69" t="str">
        <f>IF(priority(Main[[#This Row],[Comments]])&lt;&gt;0, priority(Main[[#This Row],[Comments]]),"")</f>
        <v/>
      </c>
      <c r="B358" s="63" t="s">
        <v>3512</v>
      </c>
      <c r="C358" s="148" t="s">
        <v>3260</v>
      </c>
      <c r="D358" s="113" t="s">
        <v>3513</v>
      </c>
      <c r="E358" s="129"/>
      <c r="F358" s="129">
        <v>41068</v>
      </c>
      <c r="G358" s="69" t="str">
        <f>IF(stdProdLT(Main[[#This Row],[Comments]])=0.1,"N/A",IF(stdProdLT(Main[[#This Row],[Comments]])=0,"",stdProdLT(Main[[#This Row],[Comments]])))</f>
        <v/>
      </c>
      <c r="H358" s="138" t="str">
        <f>IF(Main[[#This Row],[In Stock Date]]="N/A", "N/A",IF(AND(Main[[#This Row],[In Stock Date]]&lt;&gt;"",Main[[#This Row],[Revised Due Date]]&lt;&gt;"",Main[[#This Row],[In Stock Date]]&lt;&gt;""),Main[[#This Row],[In Stock Date]]-Main[[#This Row],[Revised Due Date]],""))</f>
        <v/>
      </c>
      <c r="I358" s="139" t="s">
        <v>4</v>
      </c>
      <c r="J358" s="139" t="s">
        <v>4</v>
      </c>
      <c r="K358" s="139" t="s">
        <v>4</v>
      </c>
      <c r="L358" s="129"/>
      <c r="M358" s="114" t="str">
        <f>IF(Main[[#This Row],[Tech Start Date]]&lt;1/1/1990,"",IF(Main[[#This Row],[Class]]="C",WORKDAY(Main[[#This Row],[Tech Start Date]],9),IF(Main[[#This Row],[Class]]="B", WORKDAY(Main[[#This Row],[Tech Start Date]],6),IF(Main[[#This Row],[Class]]="A",WORKDAY(Main[[#This Row],[Tech Start Date]],2),""))))</f>
        <v/>
      </c>
      <c r="N358" s="114" t="str">
        <f>IF(Main[[#This Row],[Tech Start Date]]&lt;1/1/1990,"",IF(Main[[#This Row],[Class]]="C",WORKDAY(Main[[#This Row],[Tech Start Date]],19),IF(Main[[#This Row],[Class]]="B", WORKDAY(Main[[#This Row],[Tech Start Date]],12),IF(Main[[#This Row],[Class]]="A",WORKDAY(Main[[#This Row],[Tech Start Date]],4),""))))</f>
        <v/>
      </c>
      <c r="O358" s="114" t="str">
        <f>IF(Main[[#This Row],[Tech Start Date]]&lt;1/1/1990,"",IF(Main[[#This Row],[Class]]="C",WORKDAY(Main[[#This Row],[Tech Start Date]],23),IF(Main[[#This Row],[Class]]="B", WORKDAY(Main[[#This Row],[Tech Start Date]],15),IF(Main[[#This Row],[Class]]="A",WORKDAY(Main[[#This Row],[Tech Start Date]],5),""))))</f>
        <v/>
      </c>
      <c r="P358" s="114" t="str">
        <f>IF(Main[[#This Row],[Tech Start Date]]&lt;1/1/1990,"",IF(Main[[#This Row],[Class]]="C",WORKDAY(Main[[#This Row],[Tech Start Date]],28),IF(Main[[#This Row],[Class]]="B", WORKDAY(Main[[#This Row],[Tech Start Date]],19),IF(Main[[#This Row],[Class]]="A",WORKDAY(Main[[#This Row],[Tech Start Date]],9),""))))</f>
        <v/>
      </c>
      <c r="Q358" s="129">
        <v>40956</v>
      </c>
      <c r="R358" s="129"/>
      <c r="S358" s="139" t="s">
        <v>11</v>
      </c>
      <c r="T358" s="115" t="s">
        <v>4</v>
      </c>
      <c r="U358" s="139" t="s">
        <v>14</v>
      </c>
      <c r="V358" s="139" t="s">
        <v>1924</v>
      </c>
      <c r="W358" s="139" t="s">
        <v>1922</v>
      </c>
      <c r="X358" s="139" t="s">
        <v>2829</v>
      </c>
      <c r="Y358" s="112" t="s">
        <v>2951</v>
      </c>
      <c r="Z358" s="112" t="s">
        <v>4</v>
      </c>
      <c r="AA358" s="139" t="s">
        <v>2829</v>
      </c>
    </row>
    <row r="359" spans="1:27" ht="17.25" customHeight="1">
      <c r="A359" s="69" t="str">
        <f>IF(priority(Main[[#This Row],[Comments]])&lt;&gt;0, priority(Main[[#This Row],[Comments]]),"")</f>
        <v/>
      </c>
      <c r="B359" s="63" t="s">
        <v>1685</v>
      </c>
      <c r="C359" s="148" t="s">
        <v>79</v>
      </c>
      <c r="D359" s="113" t="s">
        <v>739</v>
      </c>
      <c r="E359" s="129">
        <v>40458.641226851854</v>
      </c>
      <c r="F359" s="129"/>
      <c r="G359" s="69" t="str">
        <f>IF(stdProdLT(Main[[#This Row],[Comments]])=0.1,"N/A",IF(stdProdLT(Main[[#This Row],[Comments]])=0,"",stdProdLT(Main[[#This Row],[Comments]])))</f>
        <v/>
      </c>
      <c r="H359" s="138" t="str">
        <f>IF(Main[[#This Row],[In Stock Date]]="N/A", "N/A",IF(AND(Main[[#This Row],[In Stock Date]]&lt;&gt;"",Main[[#This Row],[Revised Due Date]]&lt;&gt;"",Main[[#This Row],[In Stock Date]]&lt;&gt;""),Main[[#This Row],[In Stock Date]]-Main[[#This Row],[Revised Due Date]],""))</f>
        <v/>
      </c>
      <c r="I359" s="139" t="s">
        <v>4</v>
      </c>
      <c r="J359" s="139" t="s">
        <v>28</v>
      </c>
      <c r="K359" s="139" t="s">
        <v>1926</v>
      </c>
      <c r="L359" s="129"/>
      <c r="M359" s="114" t="str">
        <f>IF(Main[[#This Row],[Tech Start Date]]&lt;1/1/1990,"",IF(Main[[#This Row],[Class]]="C",WORKDAY(Main[[#This Row],[Tech Start Date]],9),IF(Main[[#This Row],[Class]]="B", WORKDAY(Main[[#This Row],[Tech Start Date]],6),IF(Main[[#This Row],[Class]]="A",WORKDAY(Main[[#This Row],[Tech Start Date]],2),""))))</f>
        <v/>
      </c>
      <c r="N359" s="114" t="str">
        <f>IF(Main[[#This Row],[Tech Start Date]]&lt;1/1/1990,"",IF(Main[[#This Row],[Class]]="C",WORKDAY(Main[[#This Row],[Tech Start Date]],19),IF(Main[[#This Row],[Class]]="B", WORKDAY(Main[[#This Row],[Tech Start Date]],12),IF(Main[[#This Row],[Class]]="A",WORKDAY(Main[[#This Row],[Tech Start Date]],4),""))))</f>
        <v/>
      </c>
      <c r="O359" s="114" t="str">
        <f>IF(Main[[#This Row],[Tech Start Date]]&lt;1/1/1990,"",IF(Main[[#This Row],[Class]]="C",WORKDAY(Main[[#This Row],[Tech Start Date]],23),IF(Main[[#This Row],[Class]]="B", WORKDAY(Main[[#This Row],[Tech Start Date]],15),IF(Main[[#This Row],[Class]]="A",WORKDAY(Main[[#This Row],[Tech Start Date]],5),""))))</f>
        <v/>
      </c>
      <c r="P359" s="114" t="str">
        <f>IF(Main[[#This Row],[Tech Start Date]]&lt;1/1/1990,"",IF(Main[[#This Row],[Class]]="C",WORKDAY(Main[[#This Row],[Tech Start Date]],28),IF(Main[[#This Row],[Class]]="B", WORKDAY(Main[[#This Row],[Tech Start Date]],19),IF(Main[[#This Row],[Class]]="A",WORKDAY(Main[[#This Row],[Tech Start Date]],9),""))))</f>
        <v/>
      </c>
      <c r="Q359" s="129">
        <v>40486</v>
      </c>
      <c r="R359" s="129"/>
      <c r="S359" s="139" t="s">
        <v>17</v>
      </c>
      <c r="T359" s="115" t="s">
        <v>4</v>
      </c>
      <c r="U359" s="139" t="s">
        <v>7</v>
      </c>
      <c r="V359" s="139" t="s">
        <v>1914</v>
      </c>
      <c r="W359" s="139" t="s">
        <v>1919</v>
      </c>
      <c r="X359" s="139" t="s">
        <v>2821</v>
      </c>
      <c r="Y359" s="112" t="s">
        <v>2936</v>
      </c>
      <c r="Z359" s="112" t="s">
        <v>129</v>
      </c>
      <c r="AA359" s="139" t="s">
        <v>2821</v>
      </c>
    </row>
    <row r="360" spans="1:27" ht="17.25" customHeight="1">
      <c r="A360" s="69" t="str">
        <f>IF(priority(Main[[#This Row],[Comments]])&lt;&gt;0, priority(Main[[#This Row],[Comments]]),"")</f>
        <v/>
      </c>
      <c r="B360" s="63" t="s">
        <v>2040</v>
      </c>
      <c r="C360" s="148" t="s">
        <v>4</v>
      </c>
      <c r="D360" s="113" t="s">
        <v>2041</v>
      </c>
      <c r="E360" s="129"/>
      <c r="F360" s="129"/>
      <c r="G360" s="69" t="str">
        <f>IF(stdProdLT(Main[[#This Row],[Comments]])=0.1,"N/A",IF(stdProdLT(Main[[#This Row],[Comments]])=0,"",stdProdLT(Main[[#This Row],[Comments]])))</f>
        <v/>
      </c>
      <c r="H360" s="138" t="str">
        <f>IF(Main[[#This Row],[In Stock Date]]="N/A", "N/A",IF(AND(Main[[#This Row],[In Stock Date]]&lt;&gt;"",Main[[#This Row],[Revised Due Date]]&lt;&gt;"",Main[[#This Row],[In Stock Date]]&lt;&gt;""),Main[[#This Row],[In Stock Date]]-Main[[#This Row],[Revised Due Date]],""))</f>
        <v/>
      </c>
      <c r="I360" s="139" t="s">
        <v>4</v>
      </c>
      <c r="J360" s="139" t="s">
        <v>4</v>
      </c>
      <c r="K360" s="139" t="s">
        <v>4</v>
      </c>
      <c r="L360" s="129"/>
      <c r="M360" s="114" t="str">
        <f>IF(Main[[#This Row],[Tech Start Date]]&lt;1/1/1990,"",IF(Main[[#This Row],[Class]]="C",WORKDAY(Main[[#This Row],[Tech Start Date]],9),IF(Main[[#This Row],[Class]]="B", WORKDAY(Main[[#This Row],[Tech Start Date]],6),IF(Main[[#This Row],[Class]]="A",WORKDAY(Main[[#This Row],[Tech Start Date]],2),""))))</f>
        <v/>
      </c>
      <c r="N360" s="114" t="str">
        <f>IF(Main[[#This Row],[Tech Start Date]]&lt;1/1/1990,"",IF(Main[[#This Row],[Class]]="C",WORKDAY(Main[[#This Row],[Tech Start Date]],19),IF(Main[[#This Row],[Class]]="B", WORKDAY(Main[[#This Row],[Tech Start Date]],12),IF(Main[[#This Row],[Class]]="A",WORKDAY(Main[[#This Row],[Tech Start Date]],4),""))))</f>
        <v/>
      </c>
      <c r="O360" s="114" t="str">
        <f>IF(Main[[#This Row],[Tech Start Date]]&lt;1/1/1990,"",IF(Main[[#This Row],[Class]]="C",WORKDAY(Main[[#This Row],[Tech Start Date]],23),IF(Main[[#This Row],[Class]]="B", WORKDAY(Main[[#This Row],[Tech Start Date]],15),IF(Main[[#This Row],[Class]]="A",WORKDAY(Main[[#This Row],[Tech Start Date]],5),""))))</f>
        <v/>
      </c>
      <c r="P360" s="114" t="str">
        <f>IF(Main[[#This Row],[Tech Start Date]]&lt;1/1/1990,"",IF(Main[[#This Row],[Class]]="C",WORKDAY(Main[[#This Row],[Tech Start Date]],28),IF(Main[[#This Row],[Class]]="B", WORKDAY(Main[[#This Row],[Tech Start Date]],19),IF(Main[[#This Row],[Class]]="A",WORKDAY(Main[[#This Row],[Tech Start Date]],9),""))))</f>
        <v/>
      </c>
      <c r="Q360" s="129"/>
      <c r="R360" s="129"/>
      <c r="S360" s="139" t="s">
        <v>6</v>
      </c>
      <c r="T360" s="115" t="s">
        <v>4</v>
      </c>
      <c r="U360" s="139" t="s">
        <v>14</v>
      </c>
      <c r="V360" s="139" t="s">
        <v>1917</v>
      </c>
      <c r="W360" s="139" t="s">
        <v>1918</v>
      </c>
      <c r="X360" s="139" t="s">
        <v>306</v>
      </c>
      <c r="Y360" s="112" t="s">
        <v>4</v>
      </c>
      <c r="Z360" s="112" t="s">
        <v>4</v>
      </c>
      <c r="AA360" s="139" t="s">
        <v>4</v>
      </c>
    </row>
    <row r="361" spans="1:27" ht="17.25" customHeight="1">
      <c r="A361" s="69" t="str">
        <f>IF(priority(Main[[#This Row],[Comments]])&lt;&gt;0, priority(Main[[#This Row],[Comments]]),"")</f>
        <v/>
      </c>
      <c r="B361" s="63" t="s">
        <v>1187</v>
      </c>
      <c r="C361" s="148" t="s">
        <v>33</v>
      </c>
      <c r="D361" s="113" t="s">
        <v>248</v>
      </c>
      <c r="E361" s="129"/>
      <c r="F361" s="129"/>
      <c r="G361" s="69" t="str">
        <f>IF(stdProdLT(Main[[#This Row],[Comments]])=0.1,"N/A",IF(stdProdLT(Main[[#This Row],[Comments]])=0,"",stdProdLT(Main[[#This Row],[Comments]])))</f>
        <v/>
      </c>
      <c r="H361" s="138" t="str">
        <f>IF(Main[[#This Row],[In Stock Date]]="N/A", "N/A",IF(AND(Main[[#This Row],[In Stock Date]]&lt;&gt;"",Main[[#This Row],[Revised Due Date]]&lt;&gt;"",Main[[#This Row],[In Stock Date]]&lt;&gt;""),Main[[#This Row],[In Stock Date]]-Main[[#This Row],[Revised Due Date]],""))</f>
        <v/>
      </c>
      <c r="I361" s="139" t="s">
        <v>4</v>
      </c>
      <c r="J361" s="139" t="s">
        <v>4</v>
      </c>
      <c r="K361" s="139" t="s">
        <v>4</v>
      </c>
      <c r="L361" s="129"/>
      <c r="M361" s="114" t="str">
        <f>IF(Main[[#This Row],[Tech Start Date]]&lt;1/1/1990,"",IF(Main[[#This Row],[Class]]="C",WORKDAY(Main[[#This Row],[Tech Start Date]],9),IF(Main[[#This Row],[Class]]="B", WORKDAY(Main[[#This Row],[Tech Start Date]],6),IF(Main[[#This Row],[Class]]="A",WORKDAY(Main[[#This Row],[Tech Start Date]],2),""))))</f>
        <v/>
      </c>
      <c r="N361" s="114" t="str">
        <f>IF(Main[[#This Row],[Tech Start Date]]&lt;1/1/1990,"",IF(Main[[#This Row],[Class]]="C",WORKDAY(Main[[#This Row],[Tech Start Date]],19),IF(Main[[#This Row],[Class]]="B", WORKDAY(Main[[#This Row],[Tech Start Date]],12),IF(Main[[#This Row],[Class]]="A",WORKDAY(Main[[#This Row],[Tech Start Date]],4),""))))</f>
        <v/>
      </c>
      <c r="O361" s="114" t="str">
        <f>IF(Main[[#This Row],[Tech Start Date]]&lt;1/1/1990,"",IF(Main[[#This Row],[Class]]="C",WORKDAY(Main[[#This Row],[Tech Start Date]],23),IF(Main[[#This Row],[Class]]="B", WORKDAY(Main[[#This Row],[Tech Start Date]],15),IF(Main[[#This Row],[Class]]="A",WORKDAY(Main[[#This Row],[Tech Start Date]],5),""))))</f>
        <v/>
      </c>
      <c r="P361" s="114" t="str">
        <f>IF(Main[[#This Row],[Tech Start Date]]&lt;1/1/1990,"",IF(Main[[#This Row],[Class]]="C",WORKDAY(Main[[#This Row],[Tech Start Date]],28),IF(Main[[#This Row],[Class]]="B", WORKDAY(Main[[#This Row],[Tech Start Date]],19),IF(Main[[#This Row],[Class]]="A",WORKDAY(Main[[#This Row],[Tech Start Date]],9),""))))</f>
        <v/>
      </c>
      <c r="Q361" s="129">
        <v>40269</v>
      </c>
      <c r="R361" s="129"/>
      <c r="S361" s="139" t="s">
        <v>11</v>
      </c>
      <c r="T361" s="115" t="s">
        <v>4</v>
      </c>
      <c r="U361" s="139" t="s">
        <v>14</v>
      </c>
      <c r="V361" s="139" t="s">
        <v>1917</v>
      </c>
      <c r="W361" s="139" t="s">
        <v>1916</v>
      </c>
      <c r="X361" s="139" t="s">
        <v>2869</v>
      </c>
      <c r="Y361" s="112" t="s">
        <v>4</v>
      </c>
      <c r="Z361" s="112" t="s">
        <v>4</v>
      </c>
      <c r="AA361" s="139" t="s">
        <v>2869</v>
      </c>
    </row>
    <row r="362" spans="1:27" ht="17.25" customHeight="1">
      <c r="A362" s="69" t="str">
        <f>IF(priority(Main[[#This Row],[Comments]])&lt;&gt;0, priority(Main[[#This Row],[Comments]]),"")</f>
        <v/>
      </c>
      <c r="B362" s="63" t="s">
        <v>1188</v>
      </c>
      <c r="C362" s="148" t="s">
        <v>249</v>
      </c>
      <c r="D362" s="113" t="s">
        <v>250</v>
      </c>
      <c r="E362" s="129"/>
      <c r="F362" s="129"/>
      <c r="G362" s="69" t="str">
        <f>IF(stdProdLT(Main[[#This Row],[Comments]])=0.1,"N/A",IF(stdProdLT(Main[[#This Row],[Comments]])=0,"",stdProdLT(Main[[#This Row],[Comments]])))</f>
        <v/>
      </c>
      <c r="H362" s="138" t="str">
        <f>IF(Main[[#This Row],[In Stock Date]]="N/A", "N/A",IF(AND(Main[[#This Row],[In Stock Date]]&lt;&gt;"",Main[[#This Row],[Revised Due Date]]&lt;&gt;"",Main[[#This Row],[In Stock Date]]&lt;&gt;""),Main[[#This Row],[In Stock Date]]-Main[[#This Row],[Revised Due Date]],""))</f>
        <v/>
      </c>
      <c r="I362" s="139" t="s">
        <v>4</v>
      </c>
      <c r="J362" s="139" t="s">
        <v>28</v>
      </c>
      <c r="K362" s="139" t="s">
        <v>4</v>
      </c>
      <c r="L362" s="129"/>
      <c r="M362" s="114" t="str">
        <f>IF(Main[[#This Row],[Tech Start Date]]&lt;1/1/1990,"",IF(Main[[#This Row],[Class]]="C",WORKDAY(Main[[#This Row],[Tech Start Date]],9),IF(Main[[#This Row],[Class]]="B", WORKDAY(Main[[#This Row],[Tech Start Date]],6),IF(Main[[#This Row],[Class]]="A",WORKDAY(Main[[#This Row],[Tech Start Date]],2),""))))</f>
        <v/>
      </c>
      <c r="N362" s="114" t="str">
        <f>IF(Main[[#This Row],[Tech Start Date]]&lt;1/1/1990,"",IF(Main[[#This Row],[Class]]="C",WORKDAY(Main[[#This Row],[Tech Start Date]],19),IF(Main[[#This Row],[Class]]="B", WORKDAY(Main[[#This Row],[Tech Start Date]],12),IF(Main[[#This Row],[Class]]="A",WORKDAY(Main[[#This Row],[Tech Start Date]],4),""))))</f>
        <v/>
      </c>
      <c r="O362" s="114" t="str">
        <f>IF(Main[[#This Row],[Tech Start Date]]&lt;1/1/1990,"",IF(Main[[#This Row],[Class]]="C",WORKDAY(Main[[#This Row],[Tech Start Date]],23),IF(Main[[#This Row],[Class]]="B", WORKDAY(Main[[#This Row],[Tech Start Date]],15),IF(Main[[#This Row],[Class]]="A",WORKDAY(Main[[#This Row],[Tech Start Date]],5),""))))</f>
        <v/>
      </c>
      <c r="P362" s="114" t="str">
        <f>IF(Main[[#This Row],[Tech Start Date]]&lt;1/1/1990,"",IF(Main[[#This Row],[Class]]="C",WORKDAY(Main[[#This Row],[Tech Start Date]],28),IF(Main[[#This Row],[Class]]="B", WORKDAY(Main[[#This Row],[Tech Start Date]],19),IF(Main[[#This Row],[Class]]="A",WORKDAY(Main[[#This Row],[Tech Start Date]],9),""))))</f>
        <v/>
      </c>
      <c r="Q362" s="129"/>
      <c r="R362" s="129"/>
      <c r="S362" s="139" t="s">
        <v>6</v>
      </c>
      <c r="T362" s="115" t="s">
        <v>4</v>
      </c>
      <c r="U362" s="139" t="s">
        <v>14</v>
      </c>
      <c r="V362" s="139" t="s">
        <v>1914</v>
      </c>
      <c r="W362" s="139" t="s">
        <v>1922</v>
      </c>
      <c r="X362" s="139" t="s">
        <v>889</v>
      </c>
      <c r="Y362" s="112" t="s">
        <v>3014</v>
      </c>
      <c r="Z362" s="112" t="s">
        <v>129</v>
      </c>
      <c r="AA362" s="139" t="s">
        <v>3372</v>
      </c>
    </row>
    <row r="363" spans="1:27" ht="17.25" customHeight="1">
      <c r="A363" s="69" t="str">
        <f>IF(priority(Main[[#This Row],[Comments]])&lt;&gt;0, priority(Main[[#This Row],[Comments]]),"")</f>
        <v/>
      </c>
      <c r="B363" s="63" t="s">
        <v>1189</v>
      </c>
      <c r="C363" s="148" t="s">
        <v>4</v>
      </c>
      <c r="D363" s="113" t="s">
        <v>251</v>
      </c>
      <c r="E363" s="129"/>
      <c r="F363" s="129"/>
      <c r="G363" s="69" t="str">
        <f>IF(stdProdLT(Main[[#This Row],[Comments]])=0.1,"N/A",IF(stdProdLT(Main[[#This Row],[Comments]])=0,"",stdProdLT(Main[[#This Row],[Comments]])))</f>
        <v/>
      </c>
      <c r="H363" s="138" t="str">
        <f>IF(Main[[#This Row],[In Stock Date]]="N/A", "N/A",IF(AND(Main[[#This Row],[In Stock Date]]&lt;&gt;"",Main[[#This Row],[Revised Due Date]]&lt;&gt;"",Main[[#This Row],[In Stock Date]]&lt;&gt;""),Main[[#This Row],[In Stock Date]]-Main[[#This Row],[Revised Due Date]],""))</f>
        <v/>
      </c>
      <c r="I363" s="139" t="s">
        <v>4</v>
      </c>
      <c r="J363" s="139" t="s">
        <v>4</v>
      </c>
      <c r="K363" s="139" t="s">
        <v>4</v>
      </c>
      <c r="L363" s="129"/>
      <c r="M363" s="114" t="str">
        <f>IF(Main[[#This Row],[Tech Start Date]]&lt;1/1/1990,"",IF(Main[[#This Row],[Class]]="C",WORKDAY(Main[[#This Row],[Tech Start Date]],9),IF(Main[[#This Row],[Class]]="B", WORKDAY(Main[[#This Row],[Tech Start Date]],6),IF(Main[[#This Row],[Class]]="A",WORKDAY(Main[[#This Row],[Tech Start Date]],2),""))))</f>
        <v/>
      </c>
      <c r="N363" s="114" t="str">
        <f>IF(Main[[#This Row],[Tech Start Date]]&lt;1/1/1990,"",IF(Main[[#This Row],[Class]]="C",WORKDAY(Main[[#This Row],[Tech Start Date]],19),IF(Main[[#This Row],[Class]]="B", WORKDAY(Main[[#This Row],[Tech Start Date]],12),IF(Main[[#This Row],[Class]]="A",WORKDAY(Main[[#This Row],[Tech Start Date]],4),""))))</f>
        <v/>
      </c>
      <c r="O363" s="114" t="str">
        <f>IF(Main[[#This Row],[Tech Start Date]]&lt;1/1/1990,"",IF(Main[[#This Row],[Class]]="C",WORKDAY(Main[[#This Row],[Tech Start Date]],23),IF(Main[[#This Row],[Class]]="B", WORKDAY(Main[[#This Row],[Tech Start Date]],15),IF(Main[[#This Row],[Class]]="A",WORKDAY(Main[[#This Row],[Tech Start Date]],5),""))))</f>
        <v/>
      </c>
      <c r="P363" s="114" t="str">
        <f>IF(Main[[#This Row],[Tech Start Date]]&lt;1/1/1990,"",IF(Main[[#This Row],[Class]]="C",WORKDAY(Main[[#This Row],[Tech Start Date]],28),IF(Main[[#This Row],[Class]]="B", WORKDAY(Main[[#This Row],[Tech Start Date]],19),IF(Main[[#This Row],[Class]]="A",WORKDAY(Main[[#This Row],[Tech Start Date]],9),""))))</f>
        <v/>
      </c>
      <c r="Q363" s="129"/>
      <c r="R363" s="129"/>
      <c r="S363" s="139" t="s">
        <v>6</v>
      </c>
      <c r="T363" s="115" t="s">
        <v>4</v>
      </c>
      <c r="U363" s="139" t="s">
        <v>14</v>
      </c>
      <c r="V363" s="139" t="s">
        <v>1917</v>
      </c>
      <c r="W363" s="139" t="s">
        <v>1918</v>
      </c>
      <c r="X363" s="139" t="s">
        <v>306</v>
      </c>
      <c r="Y363" s="112" t="s">
        <v>4</v>
      </c>
      <c r="Z363" s="112" t="s">
        <v>4</v>
      </c>
      <c r="AA363" s="139" t="s">
        <v>415</v>
      </c>
    </row>
    <row r="364" spans="1:27" ht="17.25" customHeight="1">
      <c r="A364" s="69" t="str">
        <f>IF(priority(Main[[#This Row],[Comments]])&lt;&gt;0, priority(Main[[#This Row],[Comments]]),"")</f>
        <v/>
      </c>
      <c r="B364" s="63" t="s">
        <v>1190</v>
      </c>
      <c r="C364" s="148" t="s">
        <v>113</v>
      </c>
      <c r="D364" s="113" t="s">
        <v>136</v>
      </c>
      <c r="E364" s="129"/>
      <c r="F364" s="129"/>
      <c r="G364" s="69" t="str">
        <f>IF(stdProdLT(Main[[#This Row],[Comments]])=0.1,"N/A",IF(stdProdLT(Main[[#This Row],[Comments]])=0,"",stdProdLT(Main[[#This Row],[Comments]])))</f>
        <v/>
      </c>
      <c r="H364" s="138" t="str">
        <f>IF(Main[[#This Row],[In Stock Date]]="N/A", "N/A",IF(AND(Main[[#This Row],[In Stock Date]]&lt;&gt;"",Main[[#This Row],[Revised Due Date]]&lt;&gt;"",Main[[#This Row],[In Stock Date]]&lt;&gt;""),Main[[#This Row],[In Stock Date]]-Main[[#This Row],[Revised Due Date]],""))</f>
        <v/>
      </c>
      <c r="I364" s="139" t="s">
        <v>4</v>
      </c>
      <c r="J364" s="139" t="s">
        <v>4</v>
      </c>
      <c r="K364" s="139" t="s">
        <v>4</v>
      </c>
      <c r="L364" s="129"/>
      <c r="M364" s="114" t="str">
        <f>IF(Main[[#This Row],[Tech Start Date]]&lt;1/1/1990,"",IF(Main[[#This Row],[Class]]="C",WORKDAY(Main[[#This Row],[Tech Start Date]],9),IF(Main[[#This Row],[Class]]="B", WORKDAY(Main[[#This Row],[Tech Start Date]],6),IF(Main[[#This Row],[Class]]="A",WORKDAY(Main[[#This Row],[Tech Start Date]],2),""))))</f>
        <v/>
      </c>
      <c r="N364" s="114" t="str">
        <f>IF(Main[[#This Row],[Tech Start Date]]&lt;1/1/1990,"",IF(Main[[#This Row],[Class]]="C",WORKDAY(Main[[#This Row],[Tech Start Date]],19),IF(Main[[#This Row],[Class]]="B", WORKDAY(Main[[#This Row],[Tech Start Date]],12),IF(Main[[#This Row],[Class]]="A",WORKDAY(Main[[#This Row],[Tech Start Date]],4),""))))</f>
        <v/>
      </c>
      <c r="O364" s="114" t="str">
        <f>IF(Main[[#This Row],[Tech Start Date]]&lt;1/1/1990,"",IF(Main[[#This Row],[Class]]="C",WORKDAY(Main[[#This Row],[Tech Start Date]],23),IF(Main[[#This Row],[Class]]="B", WORKDAY(Main[[#This Row],[Tech Start Date]],15),IF(Main[[#This Row],[Class]]="A",WORKDAY(Main[[#This Row],[Tech Start Date]],5),""))))</f>
        <v/>
      </c>
      <c r="P364" s="114" t="str">
        <f>IF(Main[[#This Row],[Tech Start Date]]&lt;1/1/1990,"",IF(Main[[#This Row],[Class]]="C",WORKDAY(Main[[#This Row],[Tech Start Date]],28),IF(Main[[#This Row],[Class]]="B", WORKDAY(Main[[#This Row],[Tech Start Date]],19),IF(Main[[#This Row],[Class]]="A",WORKDAY(Main[[#This Row],[Tech Start Date]],9),""))))</f>
        <v/>
      </c>
      <c r="Q364" s="129">
        <v>40641</v>
      </c>
      <c r="R364" s="129"/>
      <c r="S364" s="139" t="s">
        <v>11</v>
      </c>
      <c r="T364" s="115" t="s">
        <v>4</v>
      </c>
      <c r="U364" s="139" t="s">
        <v>14</v>
      </c>
      <c r="V364" s="139" t="s">
        <v>1914</v>
      </c>
      <c r="W364" s="139" t="s">
        <v>1922</v>
      </c>
      <c r="X364" s="139" t="s">
        <v>2839</v>
      </c>
      <c r="Y364" s="112" t="s">
        <v>2981</v>
      </c>
      <c r="Z364" s="112" t="s">
        <v>4</v>
      </c>
      <c r="AA364" s="139" t="s">
        <v>2839</v>
      </c>
    </row>
    <row r="365" spans="1:27" ht="17.25" customHeight="1">
      <c r="A365" s="69" t="str">
        <f>IF(priority(Main[[#This Row],[Comments]])&lt;&gt;0, priority(Main[[#This Row],[Comments]]),"")</f>
        <v/>
      </c>
      <c r="B365" s="63" t="s">
        <v>1133</v>
      </c>
      <c r="C365" s="148" t="s">
        <v>4</v>
      </c>
      <c r="D365" s="113" t="s">
        <v>186</v>
      </c>
      <c r="E365" s="129">
        <v>40585.675416666665</v>
      </c>
      <c r="F365" s="129">
        <v>40606</v>
      </c>
      <c r="G365" s="69" t="str">
        <f>IF(stdProdLT(Main[[#This Row],[Comments]])=0.1,"N/A",IF(stdProdLT(Main[[#This Row],[Comments]])=0,"",stdProdLT(Main[[#This Row],[Comments]])))</f>
        <v/>
      </c>
      <c r="H365" s="138" t="str">
        <f>IF(Main[[#This Row],[In Stock Date]]="N/A", "N/A",IF(AND(Main[[#This Row],[In Stock Date]]&lt;&gt;"",Main[[#This Row],[Revised Due Date]]&lt;&gt;"",Main[[#This Row],[In Stock Date]]&lt;&gt;""),Main[[#This Row],[In Stock Date]]-Main[[#This Row],[Revised Due Date]],""))</f>
        <v/>
      </c>
      <c r="I365" s="139" t="s">
        <v>4</v>
      </c>
      <c r="J365" s="139" t="s">
        <v>28</v>
      </c>
      <c r="K365" s="140" t="s">
        <v>1926</v>
      </c>
      <c r="L365" s="129"/>
      <c r="M365" s="114" t="str">
        <f>IF(Main[[#This Row],[Tech Start Date]]&lt;1/1/1990,"",IF(Main[[#This Row],[Class]]="C",WORKDAY(Main[[#This Row],[Tech Start Date]],9),IF(Main[[#This Row],[Class]]="B", WORKDAY(Main[[#This Row],[Tech Start Date]],6),IF(Main[[#This Row],[Class]]="A",WORKDAY(Main[[#This Row],[Tech Start Date]],2),""))))</f>
        <v/>
      </c>
      <c r="N365" s="114" t="str">
        <f>IF(Main[[#This Row],[Tech Start Date]]&lt;1/1/1990,"",IF(Main[[#This Row],[Class]]="C",WORKDAY(Main[[#This Row],[Tech Start Date]],19),IF(Main[[#This Row],[Class]]="B", WORKDAY(Main[[#This Row],[Tech Start Date]],12),IF(Main[[#This Row],[Class]]="A",WORKDAY(Main[[#This Row],[Tech Start Date]],4),""))))</f>
        <v/>
      </c>
      <c r="O365" s="114" t="str">
        <f>IF(Main[[#This Row],[Tech Start Date]]&lt;1/1/1990,"",IF(Main[[#This Row],[Class]]="C",WORKDAY(Main[[#This Row],[Tech Start Date]],23),IF(Main[[#This Row],[Class]]="B", WORKDAY(Main[[#This Row],[Tech Start Date]],15),IF(Main[[#This Row],[Class]]="A",WORKDAY(Main[[#This Row],[Tech Start Date]],5),""))))</f>
        <v/>
      </c>
      <c r="P365" s="114" t="str">
        <f>IF(Main[[#This Row],[Tech Start Date]]&lt;1/1/1990,"",IF(Main[[#This Row],[Class]]="C",WORKDAY(Main[[#This Row],[Tech Start Date]],28),IF(Main[[#This Row],[Class]]="B", WORKDAY(Main[[#This Row],[Tech Start Date]],19),IF(Main[[#This Row],[Class]]="A",WORKDAY(Main[[#This Row],[Tech Start Date]],9),""))))</f>
        <v/>
      </c>
      <c r="Q365" s="129">
        <v>40606</v>
      </c>
      <c r="R365" s="129"/>
      <c r="S365" s="139" t="s">
        <v>17</v>
      </c>
      <c r="T365" s="115" t="s">
        <v>4</v>
      </c>
      <c r="U365" s="139" t="s">
        <v>7</v>
      </c>
      <c r="V365" s="139" t="s">
        <v>1914</v>
      </c>
      <c r="W365" s="139" t="s">
        <v>1922</v>
      </c>
      <c r="X365" s="139" t="s">
        <v>2828</v>
      </c>
      <c r="Y365" s="112" t="s">
        <v>2950</v>
      </c>
      <c r="Z365" s="112" t="s">
        <v>129</v>
      </c>
      <c r="AA365" s="139" t="s">
        <v>2828</v>
      </c>
    </row>
    <row r="366" spans="1:27" ht="17.25" customHeight="1">
      <c r="A366" s="69" t="str">
        <f>IF(priority(Main[[#This Row],[Comments]])&lt;&gt;0, priority(Main[[#This Row],[Comments]]),"")</f>
        <v/>
      </c>
      <c r="B366" s="63" t="s">
        <v>1191</v>
      </c>
      <c r="C366" s="148" t="s">
        <v>4</v>
      </c>
      <c r="D366" s="113" t="s">
        <v>2356</v>
      </c>
      <c r="E366" s="129">
        <v>40620.555636574078</v>
      </c>
      <c r="F366" s="129"/>
      <c r="G366" s="69" t="str">
        <f>IF(stdProdLT(Main[[#This Row],[Comments]])=0.1,"N/A",IF(stdProdLT(Main[[#This Row],[Comments]])=0,"",stdProdLT(Main[[#This Row],[Comments]])))</f>
        <v/>
      </c>
      <c r="H366" s="138" t="str">
        <f>IF(Main[[#This Row],[In Stock Date]]="N/A", "N/A",IF(AND(Main[[#This Row],[In Stock Date]]&lt;&gt;"",Main[[#This Row],[Revised Due Date]]&lt;&gt;"",Main[[#This Row],[In Stock Date]]&lt;&gt;""),Main[[#This Row],[In Stock Date]]-Main[[#This Row],[Revised Due Date]],""))</f>
        <v/>
      </c>
      <c r="I366" s="139" t="s">
        <v>30</v>
      </c>
      <c r="J366" s="139" t="s">
        <v>75</v>
      </c>
      <c r="K366" s="140" t="s">
        <v>1923</v>
      </c>
      <c r="L366" s="129"/>
      <c r="M366" s="114" t="str">
        <f>IF(Main[[#This Row],[Tech Start Date]]&lt;1/1/1990,"",IF(Main[[#This Row],[Class]]="C",WORKDAY(Main[[#This Row],[Tech Start Date]],9),IF(Main[[#This Row],[Class]]="B", WORKDAY(Main[[#This Row],[Tech Start Date]],6),IF(Main[[#This Row],[Class]]="A",WORKDAY(Main[[#This Row],[Tech Start Date]],2),""))))</f>
        <v/>
      </c>
      <c r="N366" s="114" t="str">
        <f>IF(Main[[#This Row],[Tech Start Date]]&lt;1/1/1990,"",IF(Main[[#This Row],[Class]]="C",WORKDAY(Main[[#This Row],[Tech Start Date]],19),IF(Main[[#This Row],[Class]]="B", WORKDAY(Main[[#This Row],[Tech Start Date]],12),IF(Main[[#This Row],[Class]]="A",WORKDAY(Main[[#This Row],[Tech Start Date]],4),""))))</f>
        <v/>
      </c>
      <c r="O366" s="114" t="str">
        <f>IF(Main[[#This Row],[Tech Start Date]]&lt;1/1/1990,"",IF(Main[[#This Row],[Class]]="C",WORKDAY(Main[[#This Row],[Tech Start Date]],23),IF(Main[[#This Row],[Class]]="B", WORKDAY(Main[[#This Row],[Tech Start Date]],15),IF(Main[[#This Row],[Class]]="A",WORKDAY(Main[[#This Row],[Tech Start Date]],5),""))))</f>
        <v/>
      </c>
      <c r="P366" s="114" t="str">
        <f>IF(Main[[#This Row],[Tech Start Date]]&lt;1/1/1990,"",IF(Main[[#This Row],[Class]]="C",WORKDAY(Main[[#This Row],[Tech Start Date]],28),IF(Main[[#This Row],[Class]]="B", WORKDAY(Main[[#This Row],[Tech Start Date]],19),IF(Main[[#This Row],[Class]]="A",WORKDAY(Main[[#This Row],[Tech Start Date]],9),""))))</f>
        <v/>
      </c>
      <c r="Q366" s="129">
        <v>40662</v>
      </c>
      <c r="R366" s="129"/>
      <c r="S366" s="139" t="s">
        <v>6</v>
      </c>
      <c r="T366" s="115" t="s">
        <v>4</v>
      </c>
      <c r="U366" s="139" t="s">
        <v>29</v>
      </c>
      <c r="V366" s="139" t="s">
        <v>1917</v>
      </c>
      <c r="W366" s="139" t="s">
        <v>1918</v>
      </c>
      <c r="X366" s="139" t="s">
        <v>30</v>
      </c>
      <c r="Y366" s="112" t="s">
        <v>3015</v>
      </c>
      <c r="Z366" s="112" t="s">
        <v>30</v>
      </c>
      <c r="AA366" s="139" t="s">
        <v>3400</v>
      </c>
    </row>
    <row r="367" spans="1:27" ht="17.25" customHeight="1">
      <c r="A367" s="69" t="str">
        <f>IF(priority(Main[[#This Row],[Comments]])&lt;&gt;0, priority(Main[[#This Row],[Comments]]),"")</f>
        <v/>
      </c>
      <c r="B367" s="63" t="s">
        <v>1228</v>
      </c>
      <c r="C367" s="148" t="s">
        <v>4</v>
      </c>
      <c r="D367" s="113" t="s">
        <v>289</v>
      </c>
      <c r="E367" s="129">
        <v>40379.350532407407</v>
      </c>
      <c r="F367" s="129"/>
      <c r="G367" s="69" t="str">
        <f>IF(stdProdLT(Main[[#This Row],[Comments]])=0.1,"N/A",IF(stdProdLT(Main[[#This Row],[Comments]])=0,"",stdProdLT(Main[[#This Row],[Comments]])))</f>
        <v/>
      </c>
      <c r="H367" s="138" t="str">
        <f>IF(Main[[#This Row],[In Stock Date]]="N/A", "N/A",IF(AND(Main[[#This Row],[In Stock Date]]&lt;&gt;"",Main[[#This Row],[Revised Due Date]]&lt;&gt;"",Main[[#This Row],[In Stock Date]]&lt;&gt;""),Main[[#This Row],[In Stock Date]]-Main[[#This Row],[Revised Due Date]],""))</f>
        <v/>
      </c>
      <c r="I367" s="139" t="s">
        <v>4</v>
      </c>
      <c r="J367" s="139" t="s">
        <v>28</v>
      </c>
      <c r="K367" s="139" t="s">
        <v>4</v>
      </c>
      <c r="L367" s="129"/>
      <c r="M367" s="114" t="str">
        <f>IF(Main[[#This Row],[Tech Start Date]]&lt;1/1/1990,"",IF(Main[[#This Row],[Class]]="C",WORKDAY(Main[[#This Row],[Tech Start Date]],9),IF(Main[[#This Row],[Class]]="B", WORKDAY(Main[[#This Row],[Tech Start Date]],6),IF(Main[[#This Row],[Class]]="A",WORKDAY(Main[[#This Row],[Tech Start Date]],2),""))))</f>
        <v/>
      </c>
      <c r="N367" s="114" t="str">
        <f>IF(Main[[#This Row],[Tech Start Date]]&lt;1/1/1990,"",IF(Main[[#This Row],[Class]]="C",WORKDAY(Main[[#This Row],[Tech Start Date]],19),IF(Main[[#This Row],[Class]]="B", WORKDAY(Main[[#This Row],[Tech Start Date]],12),IF(Main[[#This Row],[Class]]="A",WORKDAY(Main[[#This Row],[Tech Start Date]],4),""))))</f>
        <v/>
      </c>
      <c r="O367" s="114" t="str">
        <f>IF(Main[[#This Row],[Tech Start Date]]&lt;1/1/1990,"",IF(Main[[#This Row],[Class]]="C",WORKDAY(Main[[#This Row],[Tech Start Date]],23),IF(Main[[#This Row],[Class]]="B", WORKDAY(Main[[#This Row],[Tech Start Date]],15),IF(Main[[#This Row],[Class]]="A",WORKDAY(Main[[#This Row],[Tech Start Date]],5),""))))</f>
        <v/>
      </c>
      <c r="P367" s="114" t="str">
        <f>IF(Main[[#This Row],[Tech Start Date]]&lt;1/1/1990,"",IF(Main[[#This Row],[Class]]="C",WORKDAY(Main[[#This Row],[Tech Start Date]],28),IF(Main[[#This Row],[Class]]="B", WORKDAY(Main[[#This Row],[Tech Start Date]],19),IF(Main[[#This Row],[Class]]="A",WORKDAY(Main[[#This Row],[Tech Start Date]],9),""))))</f>
        <v/>
      </c>
      <c r="Q367" s="129">
        <v>40413</v>
      </c>
      <c r="R367" s="129"/>
      <c r="S367" s="139" t="s">
        <v>6</v>
      </c>
      <c r="T367" s="115" t="s">
        <v>4</v>
      </c>
      <c r="U367" s="139" t="s">
        <v>7</v>
      </c>
      <c r="V367" s="139" t="s">
        <v>1914</v>
      </c>
      <c r="W367" s="139" t="s">
        <v>1916</v>
      </c>
      <c r="X367" s="139" t="s">
        <v>2818</v>
      </c>
      <c r="Y367" s="112" t="s">
        <v>2929</v>
      </c>
      <c r="Z367" s="112" t="s">
        <v>129</v>
      </c>
      <c r="AA367" s="139" t="s">
        <v>2818</v>
      </c>
    </row>
    <row r="368" spans="1:27" ht="17.25" customHeight="1">
      <c r="A368" s="69" t="str">
        <f>IF(priority(Main[[#This Row],[Comments]])&lt;&gt;0, priority(Main[[#This Row],[Comments]]),"")</f>
        <v/>
      </c>
      <c r="B368" s="63" t="s">
        <v>1229</v>
      </c>
      <c r="C368" s="148" t="s">
        <v>290</v>
      </c>
      <c r="D368" s="113" t="s">
        <v>291</v>
      </c>
      <c r="E368" s="129"/>
      <c r="F368" s="129"/>
      <c r="G368" s="69" t="str">
        <f>IF(stdProdLT(Main[[#This Row],[Comments]])=0.1,"N/A",IF(stdProdLT(Main[[#This Row],[Comments]])=0,"",stdProdLT(Main[[#This Row],[Comments]])))</f>
        <v/>
      </c>
      <c r="H368" s="138" t="str">
        <f>IF(Main[[#This Row],[In Stock Date]]="N/A", "N/A",IF(AND(Main[[#This Row],[In Stock Date]]&lt;&gt;"",Main[[#This Row],[Revised Due Date]]&lt;&gt;"",Main[[#This Row],[In Stock Date]]&lt;&gt;""),Main[[#This Row],[In Stock Date]]-Main[[#This Row],[Revised Due Date]],""))</f>
        <v/>
      </c>
      <c r="I368" s="139" t="s">
        <v>4</v>
      </c>
      <c r="J368" s="139" t="s">
        <v>4</v>
      </c>
      <c r="K368" s="139" t="s">
        <v>4</v>
      </c>
      <c r="L368" s="129"/>
      <c r="M368" s="114" t="str">
        <f>IF(Main[[#This Row],[Tech Start Date]]&lt;1/1/1990,"",IF(Main[[#This Row],[Class]]="C",WORKDAY(Main[[#This Row],[Tech Start Date]],9),IF(Main[[#This Row],[Class]]="B", WORKDAY(Main[[#This Row],[Tech Start Date]],6),IF(Main[[#This Row],[Class]]="A",WORKDAY(Main[[#This Row],[Tech Start Date]],2),""))))</f>
        <v/>
      </c>
      <c r="N368" s="114" t="str">
        <f>IF(Main[[#This Row],[Tech Start Date]]&lt;1/1/1990,"",IF(Main[[#This Row],[Class]]="C",WORKDAY(Main[[#This Row],[Tech Start Date]],19),IF(Main[[#This Row],[Class]]="B", WORKDAY(Main[[#This Row],[Tech Start Date]],12),IF(Main[[#This Row],[Class]]="A",WORKDAY(Main[[#This Row],[Tech Start Date]],4),""))))</f>
        <v/>
      </c>
      <c r="O368" s="114" t="str">
        <f>IF(Main[[#This Row],[Tech Start Date]]&lt;1/1/1990,"",IF(Main[[#This Row],[Class]]="C",WORKDAY(Main[[#This Row],[Tech Start Date]],23),IF(Main[[#This Row],[Class]]="B", WORKDAY(Main[[#This Row],[Tech Start Date]],15),IF(Main[[#This Row],[Class]]="A",WORKDAY(Main[[#This Row],[Tech Start Date]],5),""))))</f>
        <v/>
      </c>
      <c r="P368" s="114" t="str">
        <f>IF(Main[[#This Row],[Tech Start Date]]&lt;1/1/1990,"",IF(Main[[#This Row],[Class]]="C",WORKDAY(Main[[#This Row],[Tech Start Date]],28),IF(Main[[#This Row],[Class]]="B", WORKDAY(Main[[#This Row],[Tech Start Date]],19),IF(Main[[#This Row],[Class]]="A",WORKDAY(Main[[#This Row],[Tech Start Date]],9),""))))</f>
        <v/>
      </c>
      <c r="Q368" s="129">
        <v>40052</v>
      </c>
      <c r="R368" s="129"/>
      <c r="S368" s="139" t="s">
        <v>11</v>
      </c>
      <c r="T368" s="115" t="s">
        <v>4</v>
      </c>
      <c r="U368" s="139" t="s">
        <v>14</v>
      </c>
      <c r="V368" s="139" t="s">
        <v>1917</v>
      </c>
      <c r="W368" s="139" t="s">
        <v>1916</v>
      </c>
      <c r="X368" s="139" t="s">
        <v>2834</v>
      </c>
      <c r="Y368" s="112" t="s">
        <v>4</v>
      </c>
      <c r="Z368" s="112" t="s">
        <v>4</v>
      </c>
      <c r="AA368" s="139" t="s">
        <v>2834</v>
      </c>
    </row>
    <row r="369" spans="1:27" ht="17.25" customHeight="1">
      <c r="A369" s="69" t="str">
        <f>IF(priority(Main[[#This Row],[Comments]])&lt;&gt;0, priority(Main[[#This Row],[Comments]]),"")</f>
        <v/>
      </c>
      <c r="B369" s="63" t="s">
        <v>2707</v>
      </c>
      <c r="C369" s="148" t="s">
        <v>2708</v>
      </c>
      <c r="D369" s="113" t="s">
        <v>2709</v>
      </c>
      <c r="E369" s="129"/>
      <c r="F369" s="129">
        <v>40900</v>
      </c>
      <c r="G369" s="69" t="str">
        <f>IF(stdProdLT(Main[[#This Row],[Comments]])=0.1,"N/A",IF(stdProdLT(Main[[#This Row],[Comments]])=0,"",stdProdLT(Main[[#This Row],[Comments]])))</f>
        <v/>
      </c>
      <c r="H369" s="138" t="str">
        <f>IF(Main[[#This Row],[In Stock Date]]="N/A", "N/A",IF(AND(Main[[#This Row],[In Stock Date]]&lt;&gt;"",Main[[#This Row],[Revised Due Date]]&lt;&gt;"",Main[[#This Row],[In Stock Date]]&lt;&gt;""),Main[[#This Row],[In Stock Date]]-Main[[#This Row],[Revised Due Date]],""))</f>
        <v/>
      </c>
      <c r="I369" s="139" t="s">
        <v>4</v>
      </c>
      <c r="J369" s="139" t="s">
        <v>4</v>
      </c>
      <c r="K369" s="139" t="s">
        <v>4</v>
      </c>
      <c r="L369" s="129"/>
      <c r="M369" s="114" t="str">
        <f>IF(Main[[#This Row],[Tech Start Date]]&lt;1/1/1990,"",IF(Main[[#This Row],[Class]]="C",WORKDAY(Main[[#This Row],[Tech Start Date]],9),IF(Main[[#This Row],[Class]]="B", WORKDAY(Main[[#This Row],[Tech Start Date]],6),IF(Main[[#This Row],[Class]]="A",WORKDAY(Main[[#This Row],[Tech Start Date]],2),""))))</f>
        <v/>
      </c>
      <c r="N369" s="114" t="str">
        <f>IF(Main[[#This Row],[Tech Start Date]]&lt;1/1/1990,"",IF(Main[[#This Row],[Class]]="C",WORKDAY(Main[[#This Row],[Tech Start Date]],19),IF(Main[[#This Row],[Class]]="B", WORKDAY(Main[[#This Row],[Tech Start Date]],12),IF(Main[[#This Row],[Class]]="A",WORKDAY(Main[[#This Row],[Tech Start Date]],4),""))))</f>
        <v/>
      </c>
      <c r="O369" s="114" t="str">
        <f>IF(Main[[#This Row],[Tech Start Date]]&lt;1/1/1990,"",IF(Main[[#This Row],[Class]]="C",WORKDAY(Main[[#This Row],[Tech Start Date]],23),IF(Main[[#This Row],[Class]]="B", WORKDAY(Main[[#This Row],[Tech Start Date]],15),IF(Main[[#This Row],[Class]]="A",WORKDAY(Main[[#This Row],[Tech Start Date]],5),""))))</f>
        <v/>
      </c>
      <c r="P369" s="114" t="str">
        <f>IF(Main[[#This Row],[Tech Start Date]]&lt;1/1/1990,"",IF(Main[[#This Row],[Class]]="C",WORKDAY(Main[[#This Row],[Tech Start Date]],28),IF(Main[[#This Row],[Class]]="B", WORKDAY(Main[[#This Row],[Tech Start Date]],19),IF(Main[[#This Row],[Class]]="A",WORKDAY(Main[[#This Row],[Tech Start Date]],9),""))))</f>
        <v/>
      </c>
      <c r="Q369" s="129">
        <v>40899</v>
      </c>
      <c r="R369" s="129"/>
      <c r="S369" s="139" t="s">
        <v>11</v>
      </c>
      <c r="T369" s="115" t="s">
        <v>4</v>
      </c>
      <c r="U369" s="139" t="s">
        <v>14</v>
      </c>
      <c r="V369" s="139" t="s">
        <v>1917</v>
      </c>
      <c r="W369" s="139" t="s">
        <v>1920</v>
      </c>
      <c r="X369" s="139" t="s">
        <v>2870</v>
      </c>
      <c r="Y369" s="112" t="s">
        <v>3016</v>
      </c>
      <c r="Z369" s="112" t="s">
        <v>4</v>
      </c>
      <c r="AA369" s="139" t="s">
        <v>2870</v>
      </c>
    </row>
    <row r="370" spans="1:27" ht="17.25" customHeight="1">
      <c r="A370" s="69" t="str">
        <f>IF(priority(Main[[#This Row],[Comments]])&lt;&gt;0, priority(Main[[#This Row],[Comments]]),"")</f>
        <v/>
      </c>
      <c r="B370" s="63" t="s">
        <v>3592</v>
      </c>
      <c r="C370" s="148" t="s">
        <v>4</v>
      </c>
      <c r="D370" s="113" t="s">
        <v>3593</v>
      </c>
      <c r="E370" s="129">
        <v>40959.340949074074</v>
      </c>
      <c r="F370" s="129"/>
      <c r="G370" s="69" t="str">
        <f>IF(stdProdLT(Main[[#This Row],[Comments]])=0.1,"N/A",IF(stdProdLT(Main[[#This Row],[Comments]])=0,"",stdProdLT(Main[[#This Row],[Comments]])))</f>
        <v/>
      </c>
      <c r="H370" s="138" t="str">
        <f>IF(Main[[#This Row],[In Stock Date]]="N/A", "N/A",IF(AND(Main[[#This Row],[In Stock Date]]&lt;&gt;"",Main[[#This Row],[Revised Due Date]]&lt;&gt;"",Main[[#This Row],[In Stock Date]]&lt;&gt;""),Main[[#This Row],[In Stock Date]]-Main[[#This Row],[Revised Due Date]],""))</f>
        <v/>
      </c>
      <c r="I370" s="139" t="s">
        <v>4</v>
      </c>
      <c r="J370" s="139" t="s">
        <v>4</v>
      </c>
      <c r="K370" s="139" t="s">
        <v>4</v>
      </c>
      <c r="L370" s="129"/>
      <c r="M370" s="114" t="str">
        <f>IF(Main[[#This Row],[Tech Start Date]]&lt;1/1/1990,"",IF(Main[[#This Row],[Class]]="C",WORKDAY(Main[[#This Row],[Tech Start Date]],9),IF(Main[[#This Row],[Class]]="B", WORKDAY(Main[[#This Row],[Tech Start Date]],6),IF(Main[[#This Row],[Class]]="A",WORKDAY(Main[[#This Row],[Tech Start Date]],2),""))))</f>
        <v/>
      </c>
      <c r="N370" s="114" t="str">
        <f>IF(Main[[#This Row],[Tech Start Date]]&lt;1/1/1990,"",IF(Main[[#This Row],[Class]]="C",WORKDAY(Main[[#This Row],[Tech Start Date]],19),IF(Main[[#This Row],[Class]]="B", WORKDAY(Main[[#This Row],[Tech Start Date]],12),IF(Main[[#This Row],[Class]]="A",WORKDAY(Main[[#This Row],[Tech Start Date]],4),""))))</f>
        <v/>
      </c>
      <c r="O370" s="114" t="str">
        <f>IF(Main[[#This Row],[Tech Start Date]]&lt;1/1/1990,"",IF(Main[[#This Row],[Class]]="C",WORKDAY(Main[[#This Row],[Tech Start Date]],23),IF(Main[[#This Row],[Class]]="B", WORKDAY(Main[[#This Row],[Tech Start Date]],15),IF(Main[[#This Row],[Class]]="A",WORKDAY(Main[[#This Row],[Tech Start Date]],5),""))))</f>
        <v/>
      </c>
      <c r="P370" s="114" t="str">
        <f>IF(Main[[#This Row],[Tech Start Date]]&lt;1/1/1990,"",IF(Main[[#This Row],[Class]]="C",WORKDAY(Main[[#This Row],[Tech Start Date]],28),IF(Main[[#This Row],[Class]]="B", WORKDAY(Main[[#This Row],[Tech Start Date]],19),IF(Main[[#This Row],[Class]]="A",WORKDAY(Main[[#This Row],[Tech Start Date]],9),""))))</f>
        <v/>
      </c>
      <c r="Q370" s="129"/>
      <c r="R370" s="129"/>
      <c r="S370" s="139" t="s">
        <v>6</v>
      </c>
      <c r="T370" s="115" t="s">
        <v>4</v>
      </c>
      <c r="U370" s="139" t="s">
        <v>7</v>
      </c>
      <c r="V370" s="139" t="s">
        <v>1915</v>
      </c>
      <c r="W370" s="139" t="s">
        <v>1916</v>
      </c>
      <c r="X370" s="139" t="s">
        <v>306</v>
      </c>
      <c r="Y370" s="112" t="s">
        <v>4</v>
      </c>
      <c r="Z370" s="112" t="s">
        <v>2211</v>
      </c>
      <c r="AA370" s="139" t="s">
        <v>4</v>
      </c>
    </row>
    <row r="371" spans="1:27" ht="17.25" customHeight="1">
      <c r="A371" s="69" t="str">
        <f>IF(priority(Main[[#This Row],[Comments]])&lt;&gt;0, priority(Main[[#This Row],[Comments]]),"")</f>
        <v/>
      </c>
      <c r="B371" s="63" t="s">
        <v>2362</v>
      </c>
      <c r="C371" s="148" t="s">
        <v>4</v>
      </c>
      <c r="D371" s="113" t="s">
        <v>2363</v>
      </c>
      <c r="E371" s="129"/>
      <c r="F371" s="129"/>
      <c r="G371" s="69" t="str">
        <f>IF(stdProdLT(Main[[#This Row],[Comments]])=0.1,"N/A",IF(stdProdLT(Main[[#This Row],[Comments]])=0,"",stdProdLT(Main[[#This Row],[Comments]])))</f>
        <v/>
      </c>
      <c r="H371" s="138" t="str">
        <f>IF(Main[[#This Row],[In Stock Date]]="N/A", "N/A",IF(AND(Main[[#This Row],[In Stock Date]]&lt;&gt;"",Main[[#This Row],[Revised Due Date]]&lt;&gt;"",Main[[#This Row],[In Stock Date]]&lt;&gt;""),Main[[#This Row],[In Stock Date]]-Main[[#This Row],[Revised Due Date]],""))</f>
        <v/>
      </c>
      <c r="I371" s="139" t="s">
        <v>4</v>
      </c>
      <c r="J371" s="139" t="s">
        <v>4</v>
      </c>
      <c r="K371" s="140" t="s">
        <v>4</v>
      </c>
      <c r="L371" s="129"/>
      <c r="M371" s="114" t="str">
        <f>IF(Main[[#This Row],[Tech Start Date]]&lt;1/1/1990,"",IF(Main[[#This Row],[Class]]="C",WORKDAY(Main[[#This Row],[Tech Start Date]],9),IF(Main[[#This Row],[Class]]="B", WORKDAY(Main[[#This Row],[Tech Start Date]],6),IF(Main[[#This Row],[Class]]="A",WORKDAY(Main[[#This Row],[Tech Start Date]],2),""))))</f>
        <v/>
      </c>
      <c r="N371" s="114" t="str">
        <f>IF(Main[[#This Row],[Tech Start Date]]&lt;1/1/1990,"",IF(Main[[#This Row],[Class]]="C",WORKDAY(Main[[#This Row],[Tech Start Date]],19),IF(Main[[#This Row],[Class]]="B", WORKDAY(Main[[#This Row],[Tech Start Date]],12),IF(Main[[#This Row],[Class]]="A",WORKDAY(Main[[#This Row],[Tech Start Date]],4),""))))</f>
        <v/>
      </c>
      <c r="O371" s="114" t="str">
        <f>IF(Main[[#This Row],[Tech Start Date]]&lt;1/1/1990,"",IF(Main[[#This Row],[Class]]="C",WORKDAY(Main[[#This Row],[Tech Start Date]],23),IF(Main[[#This Row],[Class]]="B", WORKDAY(Main[[#This Row],[Tech Start Date]],15),IF(Main[[#This Row],[Class]]="A",WORKDAY(Main[[#This Row],[Tech Start Date]],5),""))))</f>
        <v/>
      </c>
      <c r="P371" s="114" t="str">
        <f>IF(Main[[#This Row],[Tech Start Date]]&lt;1/1/1990,"",IF(Main[[#This Row],[Class]]="C",WORKDAY(Main[[#This Row],[Tech Start Date]],28),IF(Main[[#This Row],[Class]]="B", WORKDAY(Main[[#This Row],[Tech Start Date]],19),IF(Main[[#This Row],[Class]]="A",WORKDAY(Main[[#This Row],[Tech Start Date]],9),""))))</f>
        <v/>
      </c>
      <c r="Q371" s="129"/>
      <c r="R371" s="129"/>
      <c r="S371" s="139" t="s">
        <v>11</v>
      </c>
      <c r="T371" s="115" t="s">
        <v>4</v>
      </c>
      <c r="U371" s="139" t="s">
        <v>14</v>
      </c>
      <c r="V371" s="139" t="s">
        <v>1915</v>
      </c>
      <c r="W371" s="139" t="s">
        <v>4</v>
      </c>
      <c r="X371" s="139" t="s">
        <v>2249</v>
      </c>
      <c r="Y371" s="112" t="s">
        <v>4</v>
      </c>
      <c r="Z371" s="112" t="s">
        <v>4</v>
      </c>
      <c r="AA371" s="139" t="s">
        <v>4</v>
      </c>
    </row>
    <row r="372" spans="1:27" ht="17.25" customHeight="1">
      <c r="A372" s="69" t="str">
        <f>IF(priority(Main[[#This Row],[Comments]])&lt;&gt;0, priority(Main[[#This Row],[Comments]]),"")</f>
        <v/>
      </c>
      <c r="B372" s="63" t="s">
        <v>3321</v>
      </c>
      <c r="C372" s="148" t="s">
        <v>4</v>
      </c>
      <c r="D372" s="113" t="s">
        <v>3322</v>
      </c>
      <c r="E372" s="129">
        <v>40938.460057870368</v>
      </c>
      <c r="F372" s="129"/>
      <c r="G372" s="69" t="str">
        <f>IF(stdProdLT(Main[[#This Row],[Comments]])=0.1,"N/A",IF(stdProdLT(Main[[#This Row],[Comments]])=0,"",stdProdLT(Main[[#This Row],[Comments]])))</f>
        <v/>
      </c>
      <c r="H372" s="138" t="str">
        <f>IF(Main[[#This Row],[In Stock Date]]="N/A", "N/A",IF(AND(Main[[#This Row],[In Stock Date]]&lt;&gt;"",Main[[#This Row],[Revised Due Date]]&lt;&gt;"",Main[[#This Row],[In Stock Date]]&lt;&gt;""),Main[[#This Row],[In Stock Date]]-Main[[#This Row],[Revised Due Date]],""))</f>
        <v/>
      </c>
      <c r="I372" s="139" t="s">
        <v>4</v>
      </c>
      <c r="J372" s="139" t="s">
        <v>4</v>
      </c>
      <c r="K372" s="139" t="s">
        <v>4</v>
      </c>
      <c r="L372" s="129"/>
      <c r="M372" s="114" t="str">
        <f>IF(Main[[#This Row],[Tech Start Date]]&lt;1/1/1990,"",IF(Main[[#This Row],[Class]]="C",WORKDAY(Main[[#This Row],[Tech Start Date]],9),IF(Main[[#This Row],[Class]]="B", WORKDAY(Main[[#This Row],[Tech Start Date]],6),IF(Main[[#This Row],[Class]]="A",WORKDAY(Main[[#This Row],[Tech Start Date]],2),""))))</f>
        <v/>
      </c>
      <c r="N372" s="114" t="str">
        <f>IF(Main[[#This Row],[Tech Start Date]]&lt;1/1/1990,"",IF(Main[[#This Row],[Class]]="C",WORKDAY(Main[[#This Row],[Tech Start Date]],19),IF(Main[[#This Row],[Class]]="B", WORKDAY(Main[[#This Row],[Tech Start Date]],12),IF(Main[[#This Row],[Class]]="A",WORKDAY(Main[[#This Row],[Tech Start Date]],4),""))))</f>
        <v/>
      </c>
      <c r="O372" s="114" t="str">
        <f>IF(Main[[#This Row],[Tech Start Date]]&lt;1/1/1990,"",IF(Main[[#This Row],[Class]]="C",WORKDAY(Main[[#This Row],[Tech Start Date]],23),IF(Main[[#This Row],[Class]]="B", WORKDAY(Main[[#This Row],[Tech Start Date]],15),IF(Main[[#This Row],[Class]]="A",WORKDAY(Main[[#This Row],[Tech Start Date]],5),""))))</f>
        <v/>
      </c>
      <c r="P372" s="114" t="str">
        <f>IF(Main[[#This Row],[Tech Start Date]]&lt;1/1/1990,"",IF(Main[[#This Row],[Class]]="C",WORKDAY(Main[[#This Row],[Tech Start Date]],28),IF(Main[[#This Row],[Class]]="B", WORKDAY(Main[[#This Row],[Tech Start Date]],19),IF(Main[[#This Row],[Class]]="A",WORKDAY(Main[[#This Row],[Tech Start Date]],9),""))))</f>
        <v/>
      </c>
      <c r="Q372" s="129"/>
      <c r="R372" s="129"/>
      <c r="S372" s="139" t="s">
        <v>6</v>
      </c>
      <c r="T372" s="115" t="s">
        <v>4</v>
      </c>
      <c r="U372" s="139" t="s">
        <v>7</v>
      </c>
      <c r="V372" s="139" t="s">
        <v>1929</v>
      </c>
      <c r="W372" s="139" t="s">
        <v>1918</v>
      </c>
      <c r="X372" s="139" t="s">
        <v>922</v>
      </c>
      <c r="Y372" s="112" t="s">
        <v>2982</v>
      </c>
      <c r="Z372" s="112" t="s">
        <v>4</v>
      </c>
      <c r="AA372" s="139" t="s">
        <v>922</v>
      </c>
    </row>
    <row r="373" spans="1:27" ht="17.25" customHeight="1">
      <c r="A373" s="69" t="str">
        <f>IF(priority(Main[[#This Row],[Comments]])&lt;&gt;0, priority(Main[[#This Row],[Comments]]),"")</f>
        <v/>
      </c>
      <c r="B373" s="63" t="s">
        <v>1836</v>
      </c>
      <c r="C373" s="148" t="s">
        <v>891</v>
      </c>
      <c r="D373" s="113" t="s">
        <v>892</v>
      </c>
      <c r="E373" s="129"/>
      <c r="F373" s="129"/>
      <c r="G373" s="69" t="str">
        <f>IF(stdProdLT(Main[[#This Row],[Comments]])=0.1,"N/A",IF(stdProdLT(Main[[#This Row],[Comments]])=0,"",stdProdLT(Main[[#This Row],[Comments]])))</f>
        <v/>
      </c>
      <c r="H373" s="138" t="str">
        <f>IF(Main[[#This Row],[In Stock Date]]="N/A", "N/A",IF(AND(Main[[#This Row],[In Stock Date]]&lt;&gt;"",Main[[#This Row],[Revised Due Date]]&lt;&gt;"",Main[[#This Row],[In Stock Date]]&lt;&gt;""),Main[[#This Row],[In Stock Date]]-Main[[#This Row],[Revised Due Date]],""))</f>
        <v/>
      </c>
      <c r="I373" s="139" t="s">
        <v>4</v>
      </c>
      <c r="J373" s="139" t="s">
        <v>4</v>
      </c>
      <c r="K373" s="139" t="s">
        <v>1927</v>
      </c>
      <c r="L373" s="129"/>
      <c r="M373" s="114" t="str">
        <f>IF(Main[[#This Row],[Tech Start Date]]&lt;1/1/1990,"",IF(Main[[#This Row],[Class]]="C",WORKDAY(Main[[#This Row],[Tech Start Date]],9),IF(Main[[#This Row],[Class]]="B", WORKDAY(Main[[#This Row],[Tech Start Date]],6),IF(Main[[#This Row],[Class]]="A",WORKDAY(Main[[#This Row],[Tech Start Date]],2),""))))</f>
        <v/>
      </c>
      <c r="N373" s="114" t="str">
        <f>IF(Main[[#This Row],[Tech Start Date]]&lt;1/1/1990,"",IF(Main[[#This Row],[Class]]="C",WORKDAY(Main[[#This Row],[Tech Start Date]],19),IF(Main[[#This Row],[Class]]="B", WORKDAY(Main[[#This Row],[Tech Start Date]],12),IF(Main[[#This Row],[Class]]="A",WORKDAY(Main[[#This Row],[Tech Start Date]],4),""))))</f>
        <v/>
      </c>
      <c r="O373" s="114" t="str">
        <f>IF(Main[[#This Row],[Tech Start Date]]&lt;1/1/1990,"",IF(Main[[#This Row],[Class]]="C",WORKDAY(Main[[#This Row],[Tech Start Date]],23),IF(Main[[#This Row],[Class]]="B", WORKDAY(Main[[#This Row],[Tech Start Date]],15),IF(Main[[#This Row],[Class]]="A",WORKDAY(Main[[#This Row],[Tech Start Date]],5),""))))</f>
        <v/>
      </c>
      <c r="P373" s="114" t="str">
        <f>IF(Main[[#This Row],[Tech Start Date]]&lt;1/1/1990,"",IF(Main[[#This Row],[Class]]="C",WORKDAY(Main[[#This Row],[Tech Start Date]],28),IF(Main[[#This Row],[Class]]="B", WORKDAY(Main[[#This Row],[Tech Start Date]],19),IF(Main[[#This Row],[Class]]="A",WORKDAY(Main[[#This Row],[Tech Start Date]],9),""))))</f>
        <v/>
      </c>
      <c r="Q373" s="129">
        <v>40436</v>
      </c>
      <c r="R373" s="129">
        <v>40436</v>
      </c>
      <c r="S373" s="139" t="s">
        <v>11</v>
      </c>
      <c r="T373" s="115" t="s">
        <v>4</v>
      </c>
      <c r="U373" s="139" t="s">
        <v>14</v>
      </c>
      <c r="V373" s="139" t="s">
        <v>1915</v>
      </c>
      <c r="W373" s="139" t="s">
        <v>1916</v>
      </c>
      <c r="X373" s="139" t="s">
        <v>2854</v>
      </c>
      <c r="Y373" s="112" t="s">
        <v>4</v>
      </c>
      <c r="Z373" s="112" t="s">
        <v>4</v>
      </c>
      <c r="AA373" s="139" t="s">
        <v>2854</v>
      </c>
    </row>
    <row r="374" spans="1:27" ht="17.25" customHeight="1">
      <c r="A374" s="69" t="str">
        <f>IF(priority(Main[[#This Row],[Comments]])&lt;&gt;0, priority(Main[[#This Row],[Comments]]),"")</f>
        <v/>
      </c>
      <c r="B374" s="63" t="s">
        <v>1230</v>
      </c>
      <c r="C374" s="148" t="s">
        <v>113</v>
      </c>
      <c r="D374" s="113" t="s">
        <v>292</v>
      </c>
      <c r="E374" s="129"/>
      <c r="F374" s="129">
        <v>40193</v>
      </c>
      <c r="G374" s="69" t="str">
        <f>IF(stdProdLT(Main[[#This Row],[Comments]])=0.1,"N/A",IF(stdProdLT(Main[[#This Row],[Comments]])=0,"",stdProdLT(Main[[#This Row],[Comments]])))</f>
        <v/>
      </c>
      <c r="H374" s="138" t="str">
        <f>IF(Main[[#This Row],[In Stock Date]]="N/A", "N/A",IF(AND(Main[[#This Row],[In Stock Date]]&lt;&gt;"",Main[[#This Row],[Revised Due Date]]&lt;&gt;"",Main[[#This Row],[In Stock Date]]&lt;&gt;""),Main[[#This Row],[In Stock Date]]-Main[[#This Row],[Revised Due Date]],""))</f>
        <v/>
      </c>
      <c r="I374" s="139" t="s">
        <v>4</v>
      </c>
      <c r="J374" s="139" t="s">
        <v>4</v>
      </c>
      <c r="K374" s="139" t="s">
        <v>4</v>
      </c>
      <c r="L374" s="129"/>
      <c r="M374" s="114" t="str">
        <f>IF(Main[[#This Row],[Tech Start Date]]&lt;1/1/1990,"",IF(Main[[#This Row],[Class]]="C",WORKDAY(Main[[#This Row],[Tech Start Date]],9),IF(Main[[#This Row],[Class]]="B", WORKDAY(Main[[#This Row],[Tech Start Date]],6),IF(Main[[#This Row],[Class]]="A",WORKDAY(Main[[#This Row],[Tech Start Date]],2),""))))</f>
        <v/>
      </c>
      <c r="N374" s="114" t="str">
        <f>IF(Main[[#This Row],[Tech Start Date]]&lt;1/1/1990,"",IF(Main[[#This Row],[Class]]="C",WORKDAY(Main[[#This Row],[Tech Start Date]],19),IF(Main[[#This Row],[Class]]="B", WORKDAY(Main[[#This Row],[Tech Start Date]],12),IF(Main[[#This Row],[Class]]="A",WORKDAY(Main[[#This Row],[Tech Start Date]],4),""))))</f>
        <v/>
      </c>
      <c r="O374" s="114" t="str">
        <f>IF(Main[[#This Row],[Tech Start Date]]&lt;1/1/1990,"",IF(Main[[#This Row],[Class]]="C",WORKDAY(Main[[#This Row],[Tech Start Date]],23),IF(Main[[#This Row],[Class]]="B", WORKDAY(Main[[#This Row],[Tech Start Date]],15),IF(Main[[#This Row],[Class]]="A",WORKDAY(Main[[#This Row],[Tech Start Date]],5),""))))</f>
        <v/>
      </c>
      <c r="P374" s="114" t="str">
        <f>IF(Main[[#This Row],[Tech Start Date]]&lt;1/1/1990,"",IF(Main[[#This Row],[Class]]="C",WORKDAY(Main[[#This Row],[Tech Start Date]],28),IF(Main[[#This Row],[Class]]="B", WORKDAY(Main[[#This Row],[Tech Start Date]],19),IF(Main[[#This Row],[Class]]="A",WORKDAY(Main[[#This Row],[Tech Start Date]],9),""))))</f>
        <v/>
      </c>
      <c r="Q374" s="129"/>
      <c r="R374" s="129"/>
      <c r="S374" s="139" t="s">
        <v>11</v>
      </c>
      <c r="T374" s="115" t="s">
        <v>4</v>
      </c>
      <c r="U374" s="139" t="s">
        <v>14</v>
      </c>
      <c r="V374" s="139" t="s">
        <v>1924</v>
      </c>
      <c r="W374" s="139" t="s">
        <v>1920</v>
      </c>
      <c r="X374" s="139" t="s">
        <v>2844</v>
      </c>
      <c r="Y374" s="112" t="s">
        <v>2977</v>
      </c>
      <c r="Z374" s="112" t="s">
        <v>4</v>
      </c>
      <c r="AA374" s="139" t="s">
        <v>2844</v>
      </c>
    </row>
    <row r="375" spans="1:27" ht="17.25" customHeight="1">
      <c r="A375" s="69" t="str">
        <f>IF(priority(Main[[#This Row],[Comments]])&lt;&gt;0, priority(Main[[#This Row],[Comments]]),"")</f>
        <v/>
      </c>
      <c r="B375" s="63" t="s">
        <v>1231</v>
      </c>
      <c r="C375" s="148" t="s">
        <v>4</v>
      </c>
      <c r="D375" s="113" t="s">
        <v>293</v>
      </c>
      <c r="E375" s="129"/>
      <c r="F375" s="129"/>
      <c r="G375" s="69" t="str">
        <f>IF(stdProdLT(Main[[#This Row],[Comments]])=0.1,"N/A",IF(stdProdLT(Main[[#This Row],[Comments]])=0,"",stdProdLT(Main[[#This Row],[Comments]])))</f>
        <v/>
      </c>
      <c r="H375" s="138" t="str">
        <f>IF(Main[[#This Row],[In Stock Date]]="N/A", "N/A",IF(AND(Main[[#This Row],[In Stock Date]]&lt;&gt;"",Main[[#This Row],[Revised Due Date]]&lt;&gt;"",Main[[#This Row],[In Stock Date]]&lt;&gt;""),Main[[#This Row],[In Stock Date]]-Main[[#This Row],[Revised Due Date]],""))</f>
        <v/>
      </c>
      <c r="I375" s="139" t="s">
        <v>4</v>
      </c>
      <c r="J375" s="139" t="s">
        <v>28</v>
      </c>
      <c r="K375" s="140" t="s">
        <v>4</v>
      </c>
      <c r="L375" s="129"/>
      <c r="M375" s="114" t="str">
        <f>IF(Main[[#This Row],[Tech Start Date]]&lt;1/1/1990,"",IF(Main[[#This Row],[Class]]="C",WORKDAY(Main[[#This Row],[Tech Start Date]],9),IF(Main[[#This Row],[Class]]="B", WORKDAY(Main[[#This Row],[Tech Start Date]],6),IF(Main[[#This Row],[Class]]="A",WORKDAY(Main[[#This Row],[Tech Start Date]],2),""))))</f>
        <v/>
      </c>
      <c r="N375" s="114" t="str">
        <f>IF(Main[[#This Row],[Tech Start Date]]&lt;1/1/1990,"",IF(Main[[#This Row],[Class]]="C",WORKDAY(Main[[#This Row],[Tech Start Date]],19),IF(Main[[#This Row],[Class]]="B", WORKDAY(Main[[#This Row],[Tech Start Date]],12),IF(Main[[#This Row],[Class]]="A",WORKDAY(Main[[#This Row],[Tech Start Date]],4),""))))</f>
        <v/>
      </c>
      <c r="O375" s="114" t="str">
        <f>IF(Main[[#This Row],[Tech Start Date]]&lt;1/1/1990,"",IF(Main[[#This Row],[Class]]="C",WORKDAY(Main[[#This Row],[Tech Start Date]],23),IF(Main[[#This Row],[Class]]="B", WORKDAY(Main[[#This Row],[Tech Start Date]],15),IF(Main[[#This Row],[Class]]="A",WORKDAY(Main[[#This Row],[Tech Start Date]],5),""))))</f>
        <v/>
      </c>
      <c r="P375" s="114" t="str">
        <f>IF(Main[[#This Row],[Tech Start Date]]&lt;1/1/1990,"",IF(Main[[#This Row],[Class]]="C",WORKDAY(Main[[#This Row],[Tech Start Date]],28),IF(Main[[#This Row],[Class]]="B", WORKDAY(Main[[#This Row],[Tech Start Date]],19),IF(Main[[#This Row],[Class]]="A",WORKDAY(Main[[#This Row],[Tech Start Date]],9),""))))</f>
        <v/>
      </c>
      <c r="Q375" s="129">
        <v>40471</v>
      </c>
      <c r="R375" s="129"/>
      <c r="S375" s="139" t="s">
        <v>6</v>
      </c>
      <c r="T375" s="115" t="s">
        <v>4</v>
      </c>
      <c r="U375" s="139" t="s">
        <v>14</v>
      </c>
      <c r="V375" s="139" t="s">
        <v>1924</v>
      </c>
      <c r="W375" s="139" t="s">
        <v>1916</v>
      </c>
      <c r="X375" s="139" t="s">
        <v>2847</v>
      </c>
      <c r="Y375" s="112" t="s">
        <v>2978</v>
      </c>
      <c r="Z375" s="112" t="s">
        <v>530</v>
      </c>
      <c r="AA375" s="139" t="s">
        <v>2847</v>
      </c>
    </row>
    <row r="376" spans="1:27" ht="17.25" customHeight="1">
      <c r="A376" s="69" t="str">
        <f>IF(priority(Main[[#This Row],[Comments]])&lt;&gt;0, priority(Main[[#This Row],[Comments]]),"")</f>
        <v/>
      </c>
      <c r="B376" s="63" t="s">
        <v>1232</v>
      </c>
      <c r="C376" s="148" t="s">
        <v>4</v>
      </c>
      <c r="D376" s="113" t="s">
        <v>97</v>
      </c>
      <c r="E376" s="129"/>
      <c r="F376" s="129"/>
      <c r="G376" s="69" t="str">
        <f>IF(stdProdLT(Main[[#This Row],[Comments]])=0.1,"N/A",IF(stdProdLT(Main[[#This Row],[Comments]])=0,"",stdProdLT(Main[[#This Row],[Comments]])))</f>
        <v/>
      </c>
      <c r="H376" s="138" t="str">
        <f>IF(Main[[#This Row],[In Stock Date]]="N/A", "N/A",IF(AND(Main[[#This Row],[In Stock Date]]&lt;&gt;"",Main[[#This Row],[Revised Due Date]]&lt;&gt;"",Main[[#This Row],[In Stock Date]]&lt;&gt;""),Main[[#This Row],[In Stock Date]]-Main[[#This Row],[Revised Due Date]],""))</f>
        <v/>
      </c>
      <c r="I376" s="139" t="s">
        <v>4</v>
      </c>
      <c r="J376" s="139" t="s">
        <v>4</v>
      </c>
      <c r="K376" s="140" t="s">
        <v>4</v>
      </c>
      <c r="L376" s="129"/>
      <c r="M376" s="114" t="str">
        <f>IF(Main[[#This Row],[Tech Start Date]]&lt;1/1/1990,"",IF(Main[[#This Row],[Class]]="C",WORKDAY(Main[[#This Row],[Tech Start Date]],9),IF(Main[[#This Row],[Class]]="B", WORKDAY(Main[[#This Row],[Tech Start Date]],6),IF(Main[[#This Row],[Class]]="A",WORKDAY(Main[[#This Row],[Tech Start Date]],2),""))))</f>
        <v/>
      </c>
      <c r="N376" s="114" t="str">
        <f>IF(Main[[#This Row],[Tech Start Date]]&lt;1/1/1990,"",IF(Main[[#This Row],[Class]]="C",WORKDAY(Main[[#This Row],[Tech Start Date]],19),IF(Main[[#This Row],[Class]]="B", WORKDAY(Main[[#This Row],[Tech Start Date]],12),IF(Main[[#This Row],[Class]]="A",WORKDAY(Main[[#This Row],[Tech Start Date]],4),""))))</f>
        <v/>
      </c>
      <c r="O376" s="114" t="str">
        <f>IF(Main[[#This Row],[Tech Start Date]]&lt;1/1/1990,"",IF(Main[[#This Row],[Class]]="C",WORKDAY(Main[[#This Row],[Tech Start Date]],23),IF(Main[[#This Row],[Class]]="B", WORKDAY(Main[[#This Row],[Tech Start Date]],15),IF(Main[[#This Row],[Class]]="A",WORKDAY(Main[[#This Row],[Tech Start Date]],5),""))))</f>
        <v/>
      </c>
      <c r="P376" s="114" t="str">
        <f>IF(Main[[#This Row],[Tech Start Date]]&lt;1/1/1990,"",IF(Main[[#This Row],[Class]]="C",WORKDAY(Main[[#This Row],[Tech Start Date]],28),IF(Main[[#This Row],[Class]]="B", WORKDAY(Main[[#This Row],[Tech Start Date]],19),IF(Main[[#This Row],[Class]]="A",WORKDAY(Main[[#This Row],[Tech Start Date]],9),""))))</f>
        <v/>
      </c>
      <c r="Q376" s="129">
        <v>40858</v>
      </c>
      <c r="R376" s="129"/>
      <c r="S376" s="139" t="s">
        <v>17</v>
      </c>
      <c r="T376" s="115" t="s">
        <v>4</v>
      </c>
      <c r="U376" s="139" t="s">
        <v>14</v>
      </c>
      <c r="V376" s="139" t="s">
        <v>1914</v>
      </c>
      <c r="W376" s="139" t="s">
        <v>1919</v>
      </c>
      <c r="X376" s="139" t="s">
        <v>50</v>
      </c>
      <c r="Y376" s="112" t="s">
        <v>2959</v>
      </c>
      <c r="Z376" s="112" t="s">
        <v>4</v>
      </c>
      <c r="AA376" s="139" t="s">
        <v>2828</v>
      </c>
    </row>
    <row r="377" spans="1:27" ht="17.25" customHeight="1">
      <c r="A377" s="69" t="str">
        <f>IF(priority(Main[[#This Row],[Comments]])&lt;&gt;0, priority(Main[[#This Row],[Comments]]),"")</f>
        <v/>
      </c>
      <c r="B377" s="63" t="s">
        <v>1234</v>
      </c>
      <c r="C377" s="148" t="s">
        <v>4</v>
      </c>
      <c r="D377" s="113" t="s">
        <v>295</v>
      </c>
      <c r="E377" s="129"/>
      <c r="F377" s="129"/>
      <c r="G377" s="69" t="str">
        <f>IF(stdProdLT(Main[[#This Row],[Comments]])=0.1,"N/A",IF(stdProdLT(Main[[#This Row],[Comments]])=0,"",stdProdLT(Main[[#This Row],[Comments]])))</f>
        <v/>
      </c>
      <c r="H377" s="138" t="str">
        <f>IF(Main[[#This Row],[In Stock Date]]="N/A", "N/A",IF(AND(Main[[#This Row],[In Stock Date]]&lt;&gt;"",Main[[#This Row],[Revised Due Date]]&lt;&gt;"",Main[[#This Row],[In Stock Date]]&lt;&gt;""),Main[[#This Row],[In Stock Date]]-Main[[#This Row],[Revised Due Date]],""))</f>
        <v/>
      </c>
      <c r="I377" s="139" t="s">
        <v>4</v>
      </c>
      <c r="J377" s="139" t="s">
        <v>28</v>
      </c>
      <c r="K377" s="139" t="s">
        <v>4</v>
      </c>
      <c r="L377" s="129"/>
      <c r="M377" s="114" t="str">
        <f>IF(Main[[#This Row],[Tech Start Date]]&lt;1/1/1990,"",IF(Main[[#This Row],[Class]]="C",WORKDAY(Main[[#This Row],[Tech Start Date]],9),IF(Main[[#This Row],[Class]]="B", WORKDAY(Main[[#This Row],[Tech Start Date]],6),IF(Main[[#This Row],[Class]]="A",WORKDAY(Main[[#This Row],[Tech Start Date]],2),""))))</f>
        <v/>
      </c>
      <c r="N377" s="114" t="str">
        <f>IF(Main[[#This Row],[Tech Start Date]]&lt;1/1/1990,"",IF(Main[[#This Row],[Class]]="C",WORKDAY(Main[[#This Row],[Tech Start Date]],19),IF(Main[[#This Row],[Class]]="B", WORKDAY(Main[[#This Row],[Tech Start Date]],12),IF(Main[[#This Row],[Class]]="A",WORKDAY(Main[[#This Row],[Tech Start Date]],4),""))))</f>
        <v/>
      </c>
      <c r="O377" s="114" t="str">
        <f>IF(Main[[#This Row],[Tech Start Date]]&lt;1/1/1990,"",IF(Main[[#This Row],[Class]]="C",WORKDAY(Main[[#This Row],[Tech Start Date]],23),IF(Main[[#This Row],[Class]]="B", WORKDAY(Main[[#This Row],[Tech Start Date]],15),IF(Main[[#This Row],[Class]]="A",WORKDAY(Main[[#This Row],[Tech Start Date]],5),""))))</f>
        <v/>
      </c>
      <c r="P377" s="114" t="str">
        <f>IF(Main[[#This Row],[Tech Start Date]]&lt;1/1/1990,"",IF(Main[[#This Row],[Class]]="C",WORKDAY(Main[[#This Row],[Tech Start Date]],28),IF(Main[[#This Row],[Class]]="B", WORKDAY(Main[[#This Row],[Tech Start Date]],19),IF(Main[[#This Row],[Class]]="A",WORKDAY(Main[[#This Row],[Tech Start Date]],9),""))))</f>
        <v/>
      </c>
      <c r="Q377" s="129">
        <v>40471</v>
      </c>
      <c r="R377" s="129"/>
      <c r="S377" s="139" t="s">
        <v>296</v>
      </c>
      <c r="T377" s="115" t="s">
        <v>4</v>
      </c>
      <c r="U377" s="139" t="s">
        <v>14</v>
      </c>
      <c r="V377" s="139" t="s">
        <v>1924</v>
      </c>
      <c r="W377" s="139" t="s">
        <v>1916</v>
      </c>
      <c r="X377" s="139" t="s">
        <v>2847</v>
      </c>
      <c r="Y377" s="112" t="s">
        <v>2978</v>
      </c>
      <c r="Z377" s="112" t="s">
        <v>530</v>
      </c>
      <c r="AA377" s="139" t="s">
        <v>2847</v>
      </c>
    </row>
    <row r="378" spans="1:27" ht="17.25" customHeight="1">
      <c r="A378" s="69" t="str">
        <f>IF(priority(Main[[#This Row],[Comments]])&lt;&gt;0, priority(Main[[#This Row],[Comments]]),"")</f>
        <v/>
      </c>
      <c r="B378" s="63" t="s">
        <v>1235</v>
      </c>
      <c r="C378" s="148" t="s">
        <v>93</v>
      </c>
      <c r="D378" s="113" t="s">
        <v>297</v>
      </c>
      <c r="E378" s="129"/>
      <c r="F378" s="129">
        <v>40210</v>
      </c>
      <c r="G378" s="69" t="str">
        <f>IF(stdProdLT(Main[[#This Row],[Comments]])=0.1,"N/A",IF(stdProdLT(Main[[#This Row],[Comments]])=0,"",stdProdLT(Main[[#This Row],[Comments]])))</f>
        <v/>
      </c>
      <c r="H378" s="138" t="str">
        <f>IF(Main[[#This Row],[In Stock Date]]="N/A", "N/A",IF(AND(Main[[#This Row],[In Stock Date]]&lt;&gt;"",Main[[#This Row],[Revised Due Date]]&lt;&gt;"",Main[[#This Row],[In Stock Date]]&lt;&gt;""),Main[[#This Row],[In Stock Date]]-Main[[#This Row],[Revised Due Date]],""))</f>
        <v/>
      </c>
      <c r="I378" s="139" t="s">
        <v>4</v>
      </c>
      <c r="J378" s="139" t="s">
        <v>4</v>
      </c>
      <c r="K378" s="139" t="s">
        <v>4</v>
      </c>
      <c r="L378" s="129"/>
      <c r="M378" s="114" t="str">
        <f>IF(Main[[#This Row],[Tech Start Date]]&lt;1/1/1990,"",IF(Main[[#This Row],[Class]]="C",WORKDAY(Main[[#This Row],[Tech Start Date]],9),IF(Main[[#This Row],[Class]]="B", WORKDAY(Main[[#This Row],[Tech Start Date]],6),IF(Main[[#This Row],[Class]]="A",WORKDAY(Main[[#This Row],[Tech Start Date]],2),""))))</f>
        <v/>
      </c>
      <c r="N378" s="114" t="str">
        <f>IF(Main[[#This Row],[Tech Start Date]]&lt;1/1/1990,"",IF(Main[[#This Row],[Class]]="C",WORKDAY(Main[[#This Row],[Tech Start Date]],19),IF(Main[[#This Row],[Class]]="B", WORKDAY(Main[[#This Row],[Tech Start Date]],12),IF(Main[[#This Row],[Class]]="A",WORKDAY(Main[[#This Row],[Tech Start Date]],4),""))))</f>
        <v/>
      </c>
      <c r="O378" s="114" t="str">
        <f>IF(Main[[#This Row],[Tech Start Date]]&lt;1/1/1990,"",IF(Main[[#This Row],[Class]]="C",WORKDAY(Main[[#This Row],[Tech Start Date]],23),IF(Main[[#This Row],[Class]]="B", WORKDAY(Main[[#This Row],[Tech Start Date]],15),IF(Main[[#This Row],[Class]]="A",WORKDAY(Main[[#This Row],[Tech Start Date]],5),""))))</f>
        <v/>
      </c>
      <c r="P378" s="114" t="str">
        <f>IF(Main[[#This Row],[Tech Start Date]]&lt;1/1/1990,"",IF(Main[[#This Row],[Class]]="C",WORKDAY(Main[[#This Row],[Tech Start Date]],28),IF(Main[[#This Row],[Class]]="B", WORKDAY(Main[[#This Row],[Tech Start Date]],19),IF(Main[[#This Row],[Class]]="A",WORKDAY(Main[[#This Row],[Tech Start Date]],9),""))))</f>
        <v/>
      </c>
      <c r="Q378" s="129">
        <v>40145</v>
      </c>
      <c r="R378" s="129"/>
      <c r="S378" s="139" t="s">
        <v>11</v>
      </c>
      <c r="T378" s="115" t="s">
        <v>4</v>
      </c>
      <c r="U378" s="139" t="s">
        <v>14</v>
      </c>
      <c r="V378" s="139" t="s">
        <v>1914</v>
      </c>
      <c r="W378" s="139" t="s">
        <v>1920</v>
      </c>
      <c r="X378" s="139" t="s">
        <v>2871</v>
      </c>
      <c r="Y378" s="112" t="s">
        <v>4</v>
      </c>
      <c r="Z378" s="112" t="s">
        <v>4</v>
      </c>
      <c r="AA378" s="139" t="s">
        <v>2871</v>
      </c>
    </row>
    <row r="379" spans="1:27" ht="17.25" customHeight="1">
      <c r="A379" s="69" t="str">
        <f>IF(priority(Main[[#This Row],[Comments]])&lt;&gt;0, priority(Main[[#This Row],[Comments]]),"")</f>
        <v/>
      </c>
      <c r="B379" s="63" t="s">
        <v>1236</v>
      </c>
      <c r="C379" s="148" t="s">
        <v>63</v>
      </c>
      <c r="D379" s="113" t="s">
        <v>298</v>
      </c>
      <c r="E379" s="129"/>
      <c r="F379" s="129">
        <v>40513</v>
      </c>
      <c r="G379" s="69" t="str">
        <f>IF(stdProdLT(Main[[#This Row],[Comments]])=0.1,"N/A",IF(stdProdLT(Main[[#This Row],[Comments]])=0,"",stdProdLT(Main[[#This Row],[Comments]])))</f>
        <v/>
      </c>
      <c r="H379" s="138" t="str">
        <f>IF(Main[[#This Row],[In Stock Date]]="N/A", "N/A",IF(AND(Main[[#This Row],[In Stock Date]]&lt;&gt;"",Main[[#This Row],[Revised Due Date]]&lt;&gt;"",Main[[#This Row],[In Stock Date]]&lt;&gt;""),Main[[#This Row],[In Stock Date]]-Main[[#This Row],[Revised Due Date]],""))</f>
        <v/>
      </c>
      <c r="I379" s="139" t="s">
        <v>65</v>
      </c>
      <c r="J379" s="139" t="s">
        <v>28</v>
      </c>
      <c r="K379" s="139" t="s">
        <v>4</v>
      </c>
      <c r="L379" s="129"/>
      <c r="M379" s="114" t="str">
        <f>IF(Main[[#This Row],[Tech Start Date]]&lt;1/1/1990,"",IF(Main[[#This Row],[Class]]="C",WORKDAY(Main[[#This Row],[Tech Start Date]],9),IF(Main[[#This Row],[Class]]="B", WORKDAY(Main[[#This Row],[Tech Start Date]],6),IF(Main[[#This Row],[Class]]="A",WORKDAY(Main[[#This Row],[Tech Start Date]],2),""))))</f>
        <v/>
      </c>
      <c r="N379" s="114" t="str">
        <f>IF(Main[[#This Row],[Tech Start Date]]&lt;1/1/1990,"",IF(Main[[#This Row],[Class]]="C",WORKDAY(Main[[#This Row],[Tech Start Date]],19),IF(Main[[#This Row],[Class]]="B", WORKDAY(Main[[#This Row],[Tech Start Date]],12),IF(Main[[#This Row],[Class]]="A",WORKDAY(Main[[#This Row],[Tech Start Date]],4),""))))</f>
        <v/>
      </c>
      <c r="O379" s="114" t="str">
        <f>IF(Main[[#This Row],[Tech Start Date]]&lt;1/1/1990,"",IF(Main[[#This Row],[Class]]="C",WORKDAY(Main[[#This Row],[Tech Start Date]],23),IF(Main[[#This Row],[Class]]="B", WORKDAY(Main[[#This Row],[Tech Start Date]],15),IF(Main[[#This Row],[Class]]="A",WORKDAY(Main[[#This Row],[Tech Start Date]],5),""))))</f>
        <v/>
      </c>
      <c r="P379" s="114" t="str">
        <f>IF(Main[[#This Row],[Tech Start Date]]&lt;1/1/1990,"",IF(Main[[#This Row],[Class]]="C",WORKDAY(Main[[#This Row],[Tech Start Date]],28),IF(Main[[#This Row],[Class]]="B", WORKDAY(Main[[#This Row],[Tech Start Date]],19),IF(Main[[#This Row],[Class]]="A",WORKDAY(Main[[#This Row],[Tech Start Date]],9),""))))</f>
        <v/>
      </c>
      <c r="Q379" s="129">
        <v>40513</v>
      </c>
      <c r="R379" s="129"/>
      <c r="S379" s="139" t="s">
        <v>11</v>
      </c>
      <c r="T379" s="115" t="s">
        <v>4</v>
      </c>
      <c r="U379" s="139" t="s">
        <v>14</v>
      </c>
      <c r="V379" s="139" t="s">
        <v>1917</v>
      </c>
      <c r="W379" s="139" t="s">
        <v>1922</v>
      </c>
      <c r="X379" s="139" t="s">
        <v>2815</v>
      </c>
      <c r="Y379" s="112" t="s">
        <v>2927</v>
      </c>
      <c r="Z379" s="112" t="s">
        <v>530</v>
      </c>
      <c r="AA379" s="139" t="s">
        <v>2815</v>
      </c>
    </row>
    <row r="380" spans="1:27" ht="17.25" customHeight="1">
      <c r="A380" s="69" t="str">
        <f>IF(priority(Main[[#This Row],[Comments]])&lt;&gt;0, priority(Main[[#This Row],[Comments]]),"")</f>
        <v/>
      </c>
      <c r="B380" s="63" t="s">
        <v>1237</v>
      </c>
      <c r="C380" s="148" t="s">
        <v>4</v>
      </c>
      <c r="D380" s="113" t="s">
        <v>300</v>
      </c>
      <c r="E380" s="129"/>
      <c r="F380" s="129"/>
      <c r="G380" s="69" t="str">
        <f>IF(stdProdLT(Main[[#This Row],[Comments]])=0.1,"N/A",IF(stdProdLT(Main[[#This Row],[Comments]])=0,"",stdProdLT(Main[[#This Row],[Comments]])))</f>
        <v/>
      </c>
      <c r="H380" s="138" t="str">
        <f>IF(Main[[#This Row],[In Stock Date]]="N/A", "N/A",IF(AND(Main[[#This Row],[In Stock Date]]&lt;&gt;"",Main[[#This Row],[Revised Due Date]]&lt;&gt;"",Main[[#This Row],[In Stock Date]]&lt;&gt;""),Main[[#This Row],[In Stock Date]]-Main[[#This Row],[Revised Due Date]],""))</f>
        <v/>
      </c>
      <c r="I380" s="139" t="s">
        <v>4</v>
      </c>
      <c r="J380" s="139" t="s">
        <v>28</v>
      </c>
      <c r="K380" s="139" t="s">
        <v>1923</v>
      </c>
      <c r="L380" s="129"/>
      <c r="M380" s="114" t="str">
        <f>IF(Main[[#This Row],[Tech Start Date]]&lt;1/1/1990,"",IF(Main[[#This Row],[Class]]="C",WORKDAY(Main[[#This Row],[Tech Start Date]],9),IF(Main[[#This Row],[Class]]="B", WORKDAY(Main[[#This Row],[Tech Start Date]],6),IF(Main[[#This Row],[Class]]="A",WORKDAY(Main[[#This Row],[Tech Start Date]],2),""))))</f>
        <v/>
      </c>
      <c r="N380" s="114" t="str">
        <f>IF(Main[[#This Row],[Tech Start Date]]&lt;1/1/1990,"",IF(Main[[#This Row],[Class]]="C",WORKDAY(Main[[#This Row],[Tech Start Date]],19),IF(Main[[#This Row],[Class]]="B", WORKDAY(Main[[#This Row],[Tech Start Date]],12),IF(Main[[#This Row],[Class]]="A",WORKDAY(Main[[#This Row],[Tech Start Date]],4),""))))</f>
        <v/>
      </c>
      <c r="O380" s="114" t="str">
        <f>IF(Main[[#This Row],[Tech Start Date]]&lt;1/1/1990,"",IF(Main[[#This Row],[Class]]="C",WORKDAY(Main[[#This Row],[Tech Start Date]],23),IF(Main[[#This Row],[Class]]="B", WORKDAY(Main[[#This Row],[Tech Start Date]],15),IF(Main[[#This Row],[Class]]="A",WORKDAY(Main[[#This Row],[Tech Start Date]],5),""))))</f>
        <v/>
      </c>
      <c r="P380" s="114" t="str">
        <f>IF(Main[[#This Row],[Tech Start Date]]&lt;1/1/1990,"",IF(Main[[#This Row],[Class]]="C",WORKDAY(Main[[#This Row],[Tech Start Date]],28),IF(Main[[#This Row],[Class]]="B", WORKDAY(Main[[#This Row],[Tech Start Date]],19),IF(Main[[#This Row],[Class]]="A",WORKDAY(Main[[#This Row],[Tech Start Date]],9),""))))</f>
        <v/>
      </c>
      <c r="Q380" s="129">
        <v>40661</v>
      </c>
      <c r="R380" s="129"/>
      <c r="S380" s="139" t="s">
        <v>6</v>
      </c>
      <c r="T380" s="115" t="s">
        <v>4</v>
      </c>
      <c r="U380" s="139" t="s">
        <v>14</v>
      </c>
      <c r="V380" s="139" t="s">
        <v>1917</v>
      </c>
      <c r="W380" s="139" t="s">
        <v>1918</v>
      </c>
      <c r="X380" s="139" t="s">
        <v>2822</v>
      </c>
      <c r="Y380" s="112" t="s">
        <v>2938</v>
      </c>
      <c r="Z380" s="112" t="s">
        <v>530</v>
      </c>
      <c r="AA380" s="139" t="s">
        <v>2822</v>
      </c>
    </row>
    <row r="381" spans="1:27" ht="17.25" customHeight="1">
      <c r="A381" s="69" t="str">
        <f>IF(priority(Main[[#This Row],[Comments]])&lt;&gt;0, priority(Main[[#This Row],[Comments]]),"")</f>
        <v/>
      </c>
      <c r="B381" s="63" t="s">
        <v>1238</v>
      </c>
      <c r="C381" s="148" t="s">
        <v>4</v>
      </c>
      <c r="D381" s="113" t="s">
        <v>301</v>
      </c>
      <c r="E381" s="129"/>
      <c r="F381" s="129"/>
      <c r="G381" s="69" t="str">
        <f>IF(stdProdLT(Main[[#This Row],[Comments]])=0.1,"N/A",IF(stdProdLT(Main[[#This Row],[Comments]])=0,"",stdProdLT(Main[[#This Row],[Comments]])))</f>
        <v/>
      </c>
      <c r="H381" s="138" t="str">
        <f>IF(Main[[#This Row],[In Stock Date]]="N/A", "N/A",IF(AND(Main[[#This Row],[In Stock Date]]&lt;&gt;"",Main[[#This Row],[Revised Due Date]]&lt;&gt;"",Main[[#This Row],[In Stock Date]]&lt;&gt;""),Main[[#This Row],[In Stock Date]]-Main[[#This Row],[Revised Due Date]],""))</f>
        <v/>
      </c>
      <c r="I381" s="139" t="s">
        <v>4</v>
      </c>
      <c r="J381" s="139" t="s">
        <v>4</v>
      </c>
      <c r="K381" s="139" t="s">
        <v>4</v>
      </c>
      <c r="L381" s="129"/>
      <c r="M381" s="114" t="str">
        <f>IF(Main[[#This Row],[Tech Start Date]]&lt;1/1/1990,"",IF(Main[[#This Row],[Class]]="C",WORKDAY(Main[[#This Row],[Tech Start Date]],9),IF(Main[[#This Row],[Class]]="B", WORKDAY(Main[[#This Row],[Tech Start Date]],6),IF(Main[[#This Row],[Class]]="A",WORKDAY(Main[[#This Row],[Tech Start Date]],2),""))))</f>
        <v/>
      </c>
      <c r="N381" s="114" t="str">
        <f>IF(Main[[#This Row],[Tech Start Date]]&lt;1/1/1990,"",IF(Main[[#This Row],[Class]]="C",WORKDAY(Main[[#This Row],[Tech Start Date]],19),IF(Main[[#This Row],[Class]]="B", WORKDAY(Main[[#This Row],[Tech Start Date]],12),IF(Main[[#This Row],[Class]]="A",WORKDAY(Main[[#This Row],[Tech Start Date]],4),""))))</f>
        <v/>
      </c>
      <c r="O381" s="114" t="str">
        <f>IF(Main[[#This Row],[Tech Start Date]]&lt;1/1/1990,"",IF(Main[[#This Row],[Class]]="C",WORKDAY(Main[[#This Row],[Tech Start Date]],23),IF(Main[[#This Row],[Class]]="B", WORKDAY(Main[[#This Row],[Tech Start Date]],15),IF(Main[[#This Row],[Class]]="A",WORKDAY(Main[[#This Row],[Tech Start Date]],5),""))))</f>
        <v/>
      </c>
      <c r="P381" s="114" t="str">
        <f>IF(Main[[#This Row],[Tech Start Date]]&lt;1/1/1990,"",IF(Main[[#This Row],[Class]]="C",WORKDAY(Main[[#This Row],[Tech Start Date]],28),IF(Main[[#This Row],[Class]]="B", WORKDAY(Main[[#This Row],[Tech Start Date]],19),IF(Main[[#This Row],[Class]]="A",WORKDAY(Main[[#This Row],[Tech Start Date]],9),""))))</f>
        <v/>
      </c>
      <c r="Q381" s="129">
        <v>40287</v>
      </c>
      <c r="R381" s="129"/>
      <c r="S381" s="139" t="s">
        <v>11</v>
      </c>
      <c r="T381" s="115" t="s">
        <v>4</v>
      </c>
      <c r="U381" s="139" t="s">
        <v>14</v>
      </c>
      <c r="V381" s="139" t="s">
        <v>1914</v>
      </c>
      <c r="W381" s="139" t="s">
        <v>1920</v>
      </c>
      <c r="X381" s="139" t="s">
        <v>883</v>
      </c>
      <c r="Y381" s="112" t="s">
        <v>2963</v>
      </c>
      <c r="Z381" s="112" t="s">
        <v>4</v>
      </c>
      <c r="AA381" s="139" t="s">
        <v>883</v>
      </c>
    </row>
    <row r="382" spans="1:27" ht="17.25" customHeight="1">
      <c r="A382" s="69" t="str">
        <f>IF(priority(Main[[#This Row],[Comments]])&lt;&gt;0, priority(Main[[#This Row],[Comments]]),"")</f>
        <v/>
      </c>
      <c r="B382" s="63" t="s">
        <v>1239</v>
      </c>
      <c r="C382" s="148" t="s">
        <v>93</v>
      </c>
      <c r="D382" s="113" t="s">
        <v>302</v>
      </c>
      <c r="E382" s="129"/>
      <c r="F382" s="129">
        <v>40210</v>
      </c>
      <c r="G382" s="69" t="str">
        <f>IF(stdProdLT(Main[[#This Row],[Comments]])=0.1,"N/A",IF(stdProdLT(Main[[#This Row],[Comments]])=0,"",stdProdLT(Main[[#This Row],[Comments]])))</f>
        <v/>
      </c>
      <c r="H382" s="138" t="str">
        <f>IF(Main[[#This Row],[In Stock Date]]="N/A", "N/A",IF(AND(Main[[#This Row],[In Stock Date]]&lt;&gt;"",Main[[#This Row],[Revised Due Date]]&lt;&gt;"",Main[[#This Row],[In Stock Date]]&lt;&gt;""),Main[[#This Row],[In Stock Date]]-Main[[#This Row],[Revised Due Date]],""))</f>
        <v/>
      </c>
      <c r="I382" s="139" t="s">
        <v>4</v>
      </c>
      <c r="J382" s="139" t="s">
        <v>4</v>
      </c>
      <c r="K382" s="139" t="s">
        <v>4</v>
      </c>
      <c r="L382" s="129"/>
      <c r="M382" s="114" t="str">
        <f>IF(Main[[#This Row],[Tech Start Date]]&lt;1/1/1990,"",IF(Main[[#This Row],[Class]]="C",WORKDAY(Main[[#This Row],[Tech Start Date]],9),IF(Main[[#This Row],[Class]]="B", WORKDAY(Main[[#This Row],[Tech Start Date]],6),IF(Main[[#This Row],[Class]]="A",WORKDAY(Main[[#This Row],[Tech Start Date]],2),""))))</f>
        <v/>
      </c>
      <c r="N382" s="114" t="str">
        <f>IF(Main[[#This Row],[Tech Start Date]]&lt;1/1/1990,"",IF(Main[[#This Row],[Class]]="C",WORKDAY(Main[[#This Row],[Tech Start Date]],19),IF(Main[[#This Row],[Class]]="B", WORKDAY(Main[[#This Row],[Tech Start Date]],12),IF(Main[[#This Row],[Class]]="A",WORKDAY(Main[[#This Row],[Tech Start Date]],4),""))))</f>
        <v/>
      </c>
      <c r="O382" s="114" t="str">
        <f>IF(Main[[#This Row],[Tech Start Date]]&lt;1/1/1990,"",IF(Main[[#This Row],[Class]]="C",WORKDAY(Main[[#This Row],[Tech Start Date]],23),IF(Main[[#This Row],[Class]]="B", WORKDAY(Main[[#This Row],[Tech Start Date]],15),IF(Main[[#This Row],[Class]]="A",WORKDAY(Main[[#This Row],[Tech Start Date]],5),""))))</f>
        <v/>
      </c>
      <c r="P382" s="114" t="str">
        <f>IF(Main[[#This Row],[Tech Start Date]]&lt;1/1/1990,"",IF(Main[[#This Row],[Class]]="C",WORKDAY(Main[[#This Row],[Tech Start Date]],28),IF(Main[[#This Row],[Class]]="B", WORKDAY(Main[[#This Row],[Tech Start Date]],19),IF(Main[[#This Row],[Class]]="A",WORKDAY(Main[[#This Row],[Tech Start Date]],9),""))))</f>
        <v/>
      </c>
      <c r="Q382" s="129">
        <v>40210</v>
      </c>
      <c r="R382" s="129"/>
      <c r="S382" s="139" t="s">
        <v>11</v>
      </c>
      <c r="T382" s="115" t="s">
        <v>4</v>
      </c>
      <c r="U382" s="139" t="s">
        <v>12</v>
      </c>
      <c r="V382" s="139" t="s">
        <v>1924</v>
      </c>
      <c r="W382" s="139" t="s">
        <v>1925</v>
      </c>
      <c r="X382" s="139" t="s">
        <v>2845</v>
      </c>
      <c r="Y382" s="112" t="s">
        <v>4</v>
      </c>
      <c r="Z382" s="112" t="s">
        <v>4</v>
      </c>
      <c r="AA382" s="139" t="s">
        <v>2845</v>
      </c>
    </row>
    <row r="383" spans="1:27" ht="17.25" customHeight="1">
      <c r="A383" s="69" t="str">
        <f>IF(priority(Main[[#This Row],[Comments]])&lt;&gt;0, priority(Main[[#This Row],[Comments]]),"")</f>
        <v/>
      </c>
      <c r="B383" s="63" t="s">
        <v>2710</v>
      </c>
      <c r="C383" s="148" t="s">
        <v>4</v>
      </c>
      <c r="D383" s="113" t="s">
        <v>2711</v>
      </c>
      <c r="E383" s="129">
        <v>40897.76525462963</v>
      </c>
      <c r="F383" s="129"/>
      <c r="G383" s="69" t="str">
        <f>IF(stdProdLT(Main[[#This Row],[Comments]])=0.1,"N/A",IF(stdProdLT(Main[[#This Row],[Comments]])=0,"",stdProdLT(Main[[#This Row],[Comments]])))</f>
        <v/>
      </c>
      <c r="H383" s="138" t="str">
        <f>IF(Main[[#This Row],[In Stock Date]]="N/A", "N/A",IF(AND(Main[[#This Row],[In Stock Date]]&lt;&gt;"",Main[[#This Row],[Revised Due Date]]&lt;&gt;"",Main[[#This Row],[In Stock Date]]&lt;&gt;""),Main[[#This Row],[In Stock Date]]-Main[[#This Row],[Revised Due Date]],""))</f>
        <v/>
      </c>
      <c r="I383" s="139" t="s">
        <v>4</v>
      </c>
      <c r="J383" s="139" t="s">
        <v>4</v>
      </c>
      <c r="K383" s="139" t="s">
        <v>4</v>
      </c>
      <c r="L383" s="129"/>
      <c r="M383" s="114" t="str">
        <f>IF(Main[[#This Row],[Tech Start Date]]&lt;1/1/1990,"",IF(Main[[#This Row],[Class]]="C",WORKDAY(Main[[#This Row],[Tech Start Date]],9),IF(Main[[#This Row],[Class]]="B", WORKDAY(Main[[#This Row],[Tech Start Date]],6),IF(Main[[#This Row],[Class]]="A",WORKDAY(Main[[#This Row],[Tech Start Date]],2),""))))</f>
        <v/>
      </c>
      <c r="N383" s="114" t="str">
        <f>IF(Main[[#This Row],[Tech Start Date]]&lt;1/1/1990,"",IF(Main[[#This Row],[Class]]="C",WORKDAY(Main[[#This Row],[Tech Start Date]],19),IF(Main[[#This Row],[Class]]="B", WORKDAY(Main[[#This Row],[Tech Start Date]],12),IF(Main[[#This Row],[Class]]="A",WORKDAY(Main[[#This Row],[Tech Start Date]],4),""))))</f>
        <v/>
      </c>
      <c r="O383" s="114" t="str">
        <f>IF(Main[[#This Row],[Tech Start Date]]&lt;1/1/1990,"",IF(Main[[#This Row],[Class]]="C",WORKDAY(Main[[#This Row],[Tech Start Date]],23),IF(Main[[#This Row],[Class]]="B", WORKDAY(Main[[#This Row],[Tech Start Date]],15),IF(Main[[#This Row],[Class]]="A",WORKDAY(Main[[#This Row],[Tech Start Date]],5),""))))</f>
        <v/>
      </c>
      <c r="P383" s="114" t="str">
        <f>IF(Main[[#This Row],[Tech Start Date]]&lt;1/1/1990,"",IF(Main[[#This Row],[Class]]="C",WORKDAY(Main[[#This Row],[Tech Start Date]],28),IF(Main[[#This Row],[Class]]="B", WORKDAY(Main[[#This Row],[Tech Start Date]],19),IF(Main[[#This Row],[Class]]="A",WORKDAY(Main[[#This Row],[Tech Start Date]],9),""))))</f>
        <v/>
      </c>
      <c r="Q383" s="129">
        <v>40907</v>
      </c>
      <c r="R383" s="129"/>
      <c r="S383" s="139" t="s">
        <v>6</v>
      </c>
      <c r="T383" s="115" t="s">
        <v>4</v>
      </c>
      <c r="U383" s="139" t="s">
        <v>7</v>
      </c>
      <c r="V383" s="139" t="s">
        <v>1914</v>
      </c>
      <c r="W383" s="139" t="s">
        <v>4</v>
      </c>
      <c r="X383" s="139" t="s">
        <v>2819</v>
      </c>
      <c r="Y383" s="112" t="s">
        <v>2932</v>
      </c>
      <c r="Z383" s="112" t="s">
        <v>4</v>
      </c>
      <c r="AA383" s="139" t="s">
        <v>2819</v>
      </c>
    </row>
    <row r="384" spans="1:27" ht="17.25" customHeight="1">
      <c r="A384" s="69" t="str">
        <f>IF(priority(Main[[#This Row],[Comments]])&lt;&gt;0, priority(Main[[#This Row],[Comments]]),"")</f>
        <v/>
      </c>
      <c r="B384" s="63" t="s">
        <v>1240</v>
      </c>
      <c r="C384" s="148" t="s">
        <v>31</v>
      </c>
      <c r="D384" s="113" t="s">
        <v>303</v>
      </c>
      <c r="E384" s="129"/>
      <c r="F384" s="129">
        <v>40269</v>
      </c>
      <c r="G384" s="69" t="str">
        <f>IF(stdProdLT(Main[[#This Row],[Comments]])=0.1,"N/A",IF(stdProdLT(Main[[#This Row],[Comments]])=0,"",stdProdLT(Main[[#This Row],[Comments]])))</f>
        <v/>
      </c>
      <c r="H384" s="138" t="str">
        <f>IF(Main[[#This Row],[In Stock Date]]="N/A", "N/A",IF(AND(Main[[#This Row],[In Stock Date]]&lt;&gt;"",Main[[#This Row],[Revised Due Date]]&lt;&gt;"",Main[[#This Row],[In Stock Date]]&lt;&gt;""),Main[[#This Row],[In Stock Date]]-Main[[#This Row],[Revised Due Date]],""))</f>
        <v/>
      </c>
      <c r="I384" s="139" t="s">
        <v>4</v>
      </c>
      <c r="J384" s="139" t="s">
        <v>4</v>
      </c>
      <c r="K384" s="139" t="s">
        <v>4</v>
      </c>
      <c r="L384" s="129"/>
      <c r="M384" s="114" t="str">
        <f>IF(Main[[#This Row],[Tech Start Date]]&lt;1/1/1990,"",IF(Main[[#This Row],[Class]]="C",WORKDAY(Main[[#This Row],[Tech Start Date]],9),IF(Main[[#This Row],[Class]]="B", WORKDAY(Main[[#This Row],[Tech Start Date]],6),IF(Main[[#This Row],[Class]]="A",WORKDAY(Main[[#This Row],[Tech Start Date]],2),""))))</f>
        <v/>
      </c>
      <c r="N384" s="114" t="str">
        <f>IF(Main[[#This Row],[Tech Start Date]]&lt;1/1/1990,"",IF(Main[[#This Row],[Class]]="C",WORKDAY(Main[[#This Row],[Tech Start Date]],19),IF(Main[[#This Row],[Class]]="B", WORKDAY(Main[[#This Row],[Tech Start Date]],12),IF(Main[[#This Row],[Class]]="A",WORKDAY(Main[[#This Row],[Tech Start Date]],4),""))))</f>
        <v/>
      </c>
      <c r="O384" s="114" t="str">
        <f>IF(Main[[#This Row],[Tech Start Date]]&lt;1/1/1990,"",IF(Main[[#This Row],[Class]]="C",WORKDAY(Main[[#This Row],[Tech Start Date]],23),IF(Main[[#This Row],[Class]]="B", WORKDAY(Main[[#This Row],[Tech Start Date]],15),IF(Main[[#This Row],[Class]]="A",WORKDAY(Main[[#This Row],[Tech Start Date]],5),""))))</f>
        <v/>
      </c>
      <c r="P384" s="114" t="str">
        <f>IF(Main[[#This Row],[Tech Start Date]]&lt;1/1/1990,"",IF(Main[[#This Row],[Class]]="C",WORKDAY(Main[[#This Row],[Tech Start Date]],28),IF(Main[[#This Row],[Class]]="B", WORKDAY(Main[[#This Row],[Tech Start Date]],19),IF(Main[[#This Row],[Class]]="A",WORKDAY(Main[[#This Row],[Tech Start Date]],9),""))))</f>
        <v/>
      </c>
      <c r="Q384" s="129">
        <v>40274</v>
      </c>
      <c r="R384" s="129"/>
      <c r="S384" s="139" t="s">
        <v>11</v>
      </c>
      <c r="T384" s="115" t="s">
        <v>4</v>
      </c>
      <c r="U384" s="139" t="s">
        <v>14</v>
      </c>
      <c r="V384" s="139" t="s">
        <v>1914</v>
      </c>
      <c r="W384" s="139" t="s">
        <v>1920</v>
      </c>
      <c r="X384" s="139" t="s">
        <v>2871</v>
      </c>
      <c r="Y384" s="112" t="s">
        <v>4</v>
      </c>
      <c r="Z384" s="112" t="s">
        <v>4</v>
      </c>
      <c r="AA384" s="139" t="s">
        <v>2871</v>
      </c>
    </row>
    <row r="385" spans="1:27" ht="17.25" customHeight="1">
      <c r="A385" s="69" t="str">
        <f>IF(priority(Main[[#This Row],[Comments]])&lt;&gt;0, priority(Main[[#This Row],[Comments]]),"")</f>
        <v/>
      </c>
      <c r="B385" s="63" t="s">
        <v>1241</v>
      </c>
      <c r="C385" s="148" t="s">
        <v>4</v>
      </c>
      <c r="D385" s="113" t="s">
        <v>304</v>
      </c>
      <c r="E385" s="129"/>
      <c r="F385" s="129">
        <v>40390</v>
      </c>
      <c r="G385" s="69" t="str">
        <f>IF(stdProdLT(Main[[#This Row],[Comments]])=0.1,"N/A",IF(stdProdLT(Main[[#This Row],[Comments]])=0,"",stdProdLT(Main[[#This Row],[Comments]])))</f>
        <v/>
      </c>
      <c r="H385" s="138" t="str">
        <f>IF(Main[[#This Row],[In Stock Date]]="N/A", "N/A",IF(AND(Main[[#This Row],[In Stock Date]]&lt;&gt;"",Main[[#This Row],[Revised Due Date]]&lt;&gt;"",Main[[#This Row],[In Stock Date]]&lt;&gt;""),Main[[#This Row],[In Stock Date]]-Main[[#This Row],[Revised Due Date]],""))</f>
        <v/>
      </c>
      <c r="I385" s="139" t="s">
        <v>4</v>
      </c>
      <c r="J385" s="139" t="s">
        <v>4</v>
      </c>
      <c r="K385" s="139" t="s">
        <v>4</v>
      </c>
      <c r="L385" s="129"/>
      <c r="M385" s="114" t="str">
        <f>IF(Main[[#This Row],[Tech Start Date]]&lt;1/1/1990,"",IF(Main[[#This Row],[Class]]="C",WORKDAY(Main[[#This Row],[Tech Start Date]],9),IF(Main[[#This Row],[Class]]="B", WORKDAY(Main[[#This Row],[Tech Start Date]],6),IF(Main[[#This Row],[Class]]="A",WORKDAY(Main[[#This Row],[Tech Start Date]],2),""))))</f>
        <v/>
      </c>
      <c r="N385" s="114" t="str">
        <f>IF(Main[[#This Row],[Tech Start Date]]&lt;1/1/1990,"",IF(Main[[#This Row],[Class]]="C",WORKDAY(Main[[#This Row],[Tech Start Date]],19),IF(Main[[#This Row],[Class]]="B", WORKDAY(Main[[#This Row],[Tech Start Date]],12),IF(Main[[#This Row],[Class]]="A",WORKDAY(Main[[#This Row],[Tech Start Date]],4),""))))</f>
        <v/>
      </c>
      <c r="O385" s="114" t="str">
        <f>IF(Main[[#This Row],[Tech Start Date]]&lt;1/1/1990,"",IF(Main[[#This Row],[Class]]="C",WORKDAY(Main[[#This Row],[Tech Start Date]],23),IF(Main[[#This Row],[Class]]="B", WORKDAY(Main[[#This Row],[Tech Start Date]],15),IF(Main[[#This Row],[Class]]="A",WORKDAY(Main[[#This Row],[Tech Start Date]],5),""))))</f>
        <v/>
      </c>
      <c r="P385" s="114" t="str">
        <f>IF(Main[[#This Row],[Tech Start Date]]&lt;1/1/1990,"",IF(Main[[#This Row],[Class]]="C",WORKDAY(Main[[#This Row],[Tech Start Date]],28),IF(Main[[#This Row],[Class]]="B", WORKDAY(Main[[#This Row],[Tech Start Date]],19),IF(Main[[#This Row],[Class]]="A",WORKDAY(Main[[#This Row],[Tech Start Date]],9),""))))</f>
        <v/>
      </c>
      <c r="Q385" s="129">
        <v>40329</v>
      </c>
      <c r="R385" s="129"/>
      <c r="S385" s="139" t="s">
        <v>11</v>
      </c>
      <c r="T385" s="115" t="s">
        <v>4</v>
      </c>
      <c r="U385" s="139" t="s">
        <v>12</v>
      </c>
      <c r="V385" s="139" t="s">
        <v>1924</v>
      </c>
      <c r="W385" s="139" t="s">
        <v>1920</v>
      </c>
      <c r="X385" s="139" t="s">
        <v>2872</v>
      </c>
      <c r="Y385" s="112" t="s">
        <v>2996</v>
      </c>
      <c r="Z385" s="112" t="s">
        <v>4</v>
      </c>
      <c r="AA385" s="139" t="s">
        <v>2872</v>
      </c>
    </row>
    <row r="386" spans="1:27" ht="17.25" customHeight="1">
      <c r="A386" s="69" t="str">
        <f>IF(priority(Main[[#This Row],[Comments]])&lt;&gt;0, priority(Main[[#This Row],[Comments]]),"")</f>
        <v/>
      </c>
      <c r="B386" s="63" t="s">
        <v>1242</v>
      </c>
      <c r="C386" s="148" t="s">
        <v>4</v>
      </c>
      <c r="D386" s="113" t="s">
        <v>305</v>
      </c>
      <c r="E386" s="129"/>
      <c r="F386" s="129">
        <v>40574</v>
      </c>
      <c r="G386" s="69" t="str">
        <f>IF(stdProdLT(Main[[#This Row],[Comments]])=0.1,"N/A",IF(stdProdLT(Main[[#This Row],[Comments]])=0,"",stdProdLT(Main[[#This Row],[Comments]])))</f>
        <v/>
      </c>
      <c r="H386" s="138" t="str">
        <f>IF(Main[[#This Row],[In Stock Date]]="N/A", "N/A",IF(AND(Main[[#This Row],[In Stock Date]]&lt;&gt;"",Main[[#This Row],[Revised Due Date]]&lt;&gt;"",Main[[#This Row],[In Stock Date]]&lt;&gt;""),Main[[#This Row],[In Stock Date]]-Main[[#This Row],[Revised Due Date]],""))</f>
        <v/>
      </c>
      <c r="I386" s="139" t="s">
        <v>306</v>
      </c>
      <c r="J386" s="139" t="s">
        <v>75</v>
      </c>
      <c r="K386" s="139" t="s">
        <v>1923</v>
      </c>
      <c r="L386" s="129"/>
      <c r="M386" s="114" t="str">
        <f>IF(Main[[#This Row],[Tech Start Date]]&lt;1/1/1990,"",IF(Main[[#This Row],[Class]]="C",WORKDAY(Main[[#This Row],[Tech Start Date]],9),IF(Main[[#This Row],[Class]]="B", WORKDAY(Main[[#This Row],[Tech Start Date]],6),IF(Main[[#This Row],[Class]]="A",WORKDAY(Main[[#This Row],[Tech Start Date]],2),""))))</f>
        <v/>
      </c>
      <c r="N386" s="114" t="str">
        <f>IF(Main[[#This Row],[Tech Start Date]]&lt;1/1/1990,"",IF(Main[[#This Row],[Class]]="C",WORKDAY(Main[[#This Row],[Tech Start Date]],19),IF(Main[[#This Row],[Class]]="B", WORKDAY(Main[[#This Row],[Tech Start Date]],12),IF(Main[[#This Row],[Class]]="A",WORKDAY(Main[[#This Row],[Tech Start Date]],4),""))))</f>
        <v/>
      </c>
      <c r="O386" s="114" t="str">
        <f>IF(Main[[#This Row],[Tech Start Date]]&lt;1/1/1990,"",IF(Main[[#This Row],[Class]]="C",WORKDAY(Main[[#This Row],[Tech Start Date]],23),IF(Main[[#This Row],[Class]]="B", WORKDAY(Main[[#This Row],[Tech Start Date]],15),IF(Main[[#This Row],[Class]]="A",WORKDAY(Main[[#This Row],[Tech Start Date]],5),""))))</f>
        <v/>
      </c>
      <c r="P386" s="114" t="str">
        <f>IF(Main[[#This Row],[Tech Start Date]]&lt;1/1/1990,"",IF(Main[[#This Row],[Class]]="C",WORKDAY(Main[[#This Row],[Tech Start Date]],28),IF(Main[[#This Row],[Class]]="B", WORKDAY(Main[[#This Row],[Tech Start Date]],19),IF(Main[[#This Row],[Class]]="A",WORKDAY(Main[[#This Row],[Tech Start Date]],9),""))))</f>
        <v/>
      </c>
      <c r="Q386" s="129">
        <v>40574</v>
      </c>
      <c r="R386" s="129"/>
      <c r="S386" s="139" t="s">
        <v>6</v>
      </c>
      <c r="T386" s="115" t="s">
        <v>4</v>
      </c>
      <c r="U386" s="139" t="s">
        <v>14</v>
      </c>
      <c r="V386" s="139" t="s">
        <v>1924</v>
      </c>
      <c r="W386" s="139" t="s">
        <v>1916</v>
      </c>
      <c r="X386" s="139" t="s">
        <v>2818</v>
      </c>
      <c r="Y386" s="112" t="s">
        <v>2929</v>
      </c>
      <c r="Z386" s="112" t="s">
        <v>30</v>
      </c>
      <c r="AA386" s="139" t="s">
        <v>2818</v>
      </c>
    </row>
    <row r="387" spans="1:27" ht="17.25" customHeight="1">
      <c r="A387" s="69" t="str">
        <f>IF(priority(Main[[#This Row],[Comments]])&lt;&gt;0, priority(Main[[#This Row],[Comments]]),"")</f>
        <v/>
      </c>
      <c r="B387" s="63" t="s">
        <v>1243</v>
      </c>
      <c r="C387" s="148" t="s">
        <v>169</v>
      </c>
      <c r="D387" s="113" t="s">
        <v>307</v>
      </c>
      <c r="E387" s="129"/>
      <c r="F387" s="129">
        <v>40237</v>
      </c>
      <c r="G387" s="69" t="str">
        <f>IF(stdProdLT(Main[[#This Row],[Comments]])=0.1,"N/A",IF(stdProdLT(Main[[#This Row],[Comments]])=0,"",stdProdLT(Main[[#This Row],[Comments]])))</f>
        <v/>
      </c>
      <c r="H387" s="138" t="str">
        <f>IF(Main[[#This Row],[In Stock Date]]="N/A", "N/A",IF(AND(Main[[#This Row],[In Stock Date]]&lt;&gt;"",Main[[#This Row],[Revised Due Date]]&lt;&gt;"",Main[[#This Row],[In Stock Date]]&lt;&gt;""),Main[[#This Row],[In Stock Date]]-Main[[#This Row],[Revised Due Date]],""))</f>
        <v/>
      </c>
      <c r="I387" s="139" t="s">
        <v>4</v>
      </c>
      <c r="J387" s="139" t="s">
        <v>4</v>
      </c>
      <c r="K387" s="139" t="s">
        <v>4</v>
      </c>
      <c r="L387" s="129"/>
      <c r="M387" s="114" t="str">
        <f>IF(Main[[#This Row],[Tech Start Date]]&lt;1/1/1990,"",IF(Main[[#This Row],[Class]]="C",WORKDAY(Main[[#This Row],[Tech Start Date]],9),IF(Main[[#This Row],[Class]]="B", WORKDAY(Main[[#This Row],[Tech Start Date]],6),IF(Main[[#This Row],[Class]]="A",WORKDAY(Main[[#This Row],[Tech Start Date]],2),""))))</f>
        <v/>
      </c>
      <c r="N387" s="114" t="str">
        <f>IF(Main[[#This Row],[Tech Start Date]]&lt;1/1/1990,"",IF(Main[[#This Row],[Class]]="C",WORKDAY(Main[[#This Row],[Tech Start Date]],19),IF(Main[[#This Row],[Class]]="B", WORKDAY(Main[[#This Row],[Tech Start Date]],12),IF(Main[[#This Row],[Class]]="A",WORKDAY(Main[[#This Row],[Tech Start Date]],4),""))))</f>
        <v/>
      </c>
      <c r="O387" s="114" t="str">
        <f>IF(Main[[#This Row],[Tech Start Date]]&lt;1/1/1990,"",IF(Main[[#This Row],[Class]]="C",WORKDAY(Main[[#This Row],[Tech Start Date]],23),IF(Main[[#This Row],[Class]]="B", WORKDAY(Main[[#This Row],[Tech Start Date]],15),IF(Main[[#This Row],[Class]]="A",WORKDAY(Main[[#This Row],[Tech Start Date]],5),""))))</f>
        <v/>
      </c>
      <c r="P387" s="114" t="str">
        <f>IF(Main[[#This Row],[Tech Start Date]]&lt;1/1/1990,"",IF(Main[[#This Row],[Class]]="C",WORKDAY(Main[[#This Row],[Tech Start Date]],28),IF(Main[[#This Row],[Class]]="B", WORKDAY(Main[[#This Row],[Tech Start Date]],19),IF(Main[[#This Row],[Class]]="A",WORKDAY(Main[[#This Row],[Tech Start Date]],9),""))))</f>
        <v/>
      </c>
      <c r="Q387" s="129">
        <v>40132</v>
      </c>
      <c r="R387" s="129"/>
      <c r="S387" s="139" t="s">
        <v>11</v>
      </c>
      <c r="T387" s="115" t="s">
        <v>4</v>
      </c>
      <c r="U387" s="139" t="s">
        <v>14</v>
      </c>
      <c r="V387" s="139" t="s">
        <v>1914</v>
      </c>
      <c r="W387" s="139" t="s">
        <v>1919</v>
      </c>
      <c r="X387" s="139" t="s">
        <v>2858</v>
      </c>
      <c r="Y387" s="112" t="s">
        <v>4</v>
      </c>
      <c r="Z387" s="112" t="s">
        <v>4</v>
      </c>
      <c r="AA387" s="139" t="s">
        <v>2858</v>
      </c>
    </row>
    <row r="388" spans="1:27" ht="17.25" customHeight="1">
      <c r="A388" s="69" t="str">
        <f>IF(priority(Main[[#This Row],[Comments]])&lt;&gt;0, priority(Main[[#This Row],[Comments]]),"")</f>
        <v/>
      </c>
      <c r="B388" s="63" t="s">
        <v>1244</v>
      </c>
      <c r="C388" s="148" t="s">
        <v>4</v>
      </c>
      <c r="D388" s="113" t="s">
        <v>308</v>
      </c>
      <c r="E388" s="129"/>
      <c r="F388" s="129"/>
      <c r="G388" s="69" t="str">
        <f>IF(stdProdLT(Main[[#This Row],[Comments]])=0.1,"N/A",IF(stdProdLT(Main[[#This Row],[Comments]])=0,"",stdProdLT(Main[[#This Row],[Comments]])))</f>
        <v/>
      </c>
      <c r="H388" s="138" t="str">
        <f>IF(Main[[#This Row],[In Stock Date]]="N/A", "N/A",IF(AND(Main[[#This Row],[In Stock Date]]&lt;&gt;"",Main[[#This Row],[Revised Due Date]]&lt;&gt;"",Main[[#This Row],[In Stock Date]]&lt;&gt;""),Main[[#This Row],[In Stock Date]]-Main[[#This Row],[Revised Due Date]],""))</f>
        <v/>
      </c>
      <c r="I388" s="139" t="s">
        <v>4</v>
      </c>
      <c r="J388" s="139" t="s">
        <v>4</v>
      </c>
      <c r="K388" s="139" t="s">
        <v>4</v>
      </c>
      <c r="L388" s="129"/>
      <c r="M388" s="114" t="str">
        <f>IF(Main[[#This Row],[Tech Start Date]]&lt;1/1/1990,"",IF(Main[[#This Row],[Class]]="C",WORKDAY(Main[[#This Row],[Tech Start Date]],9),IF(Main[[#This Row],[Class]]="B", WORKDAY(Main[[#This Row],[Tech Start Date]],6),IF(Main[[#This Row],[Class]]="A",WORKDAY(Main[[#This Row],[Tech Start Date]],2),""))))</f>
        <v/>
      </c>
      <c r="N388" s="114" t="str">
        <f>IF(Main[[#This Row],[Tech Start Date]]&lt;1/1/1990,"",IF(Main[[#This Row],[Class]]="C",WORKDAY(Main[[#This Row],[Tech Start Date]],19),IF(Main[[#This Row],[Class]]="B", WORKDAY(Main[[#This Row],[Tech Start Date]],12),IF(Main[[#This Row],[Class]]="A",WORKDAY(Main[[#This Row],[Tech Start Date]],4),""))))</f>
        <v/>
      </c>
      <c r="O388" s="114" t="str">
        <f>IF(Main[[#This Row],[Tech Start Date]]&lt;1/1/1990,"",IF(Main[[#This Row],[Class]]="C",WORKDAY(Main[[#This Row],[Tech Start Date]],23),IF(Main[[#This Row],[Class]]="B", WORKDAY(Main[[#This Row],[Tech Start Date]],15),IF(Main[[#This Row],[Class]]="A",WORKDAY(Main[[#This Row],[Tech Start Date]],5),""))))</f>
        <v/>
      </c>
      <c r="P388" s="114" t="str">
        <f>IF(Main[[#This Row],[Tech Start Date]]&lt;1/1/1990,"",IF(Main[[#This Row],[Class]]="C",WORKDAY(Main[[#This Row],[Tech Start Date]],28),IF(Main[[#This Row],[Class]]="B", WORKDAY(Main[[#This Row],[Tech Start Date]],19),IF(Main[[#This Row],[Class]]="A",WORKDAY(Main[[#This Row],[Tech Start Date]],9),""))))</f>
        <v/>
      </c>
      <c r="Q388" s="129">
        <v>40390</v>
      </c>
      <c r="R388" s="129"/>
      <c r="S388" s="139" t="s">
        <v>6</v>
      </c>
      <c r="T388" s="115" t="s">
        <v>4</v>
      </c>
      <c r="U388" s="139" t="s">
        <v>14</v>
      </c>
      <c r="V388" s="139" t="s">
        <v>1917</v>
      </c>
      <c r="W388" s="139" t="s">
        <v>4</v>
      </c>
      <c r="X388" s="139" t="s">
        <v>2819</v>
      </c>
      <c r="Y388" s="112" t="s">
        <v>2932</v>
      </c>
      <c r="Z388" s="112" t="s">
        <v>4</v>
      </c>
      <c r="AA388" s="139" t="s">
        <v>2819</v>
      </c>
    </row>
    <row r="389" spans="1:27" ht="17.25" customHeight="1">
      <c r="A389" s="69" t="str">
        <f>IF(priority(Main[[#This Row],[Comments]])&lt;&gt;0, priority(Main[[#This Row],[Comments]]),"")</f>
        <v/>
      </c>
      <c r="B389" s="63" t="s">
        <v>1246</v>
      </c>
      <c r="C389" s="148" t="s">
        <v>310</v>
      </c>
      <c r="D389" s="113" t="s">
        <v>311</v>
      </c>
      <c r="E389" s="129"/>
      <c r="F389" s="129">
        <v>40179</v>
      </c>
      <c r="G389" s="69" t="str">
        <f>IF(stdProdLT(Main[[#This Row],[Comments]])=0.1,"N/A",IF(stdProdLT(Main[[#This Row],[Comments]])=0,"",stdProdLT(Main[[#This Row],[Comments]])))</f>
        <v/>
      </c>
      <c r="H389" s="138" t="str">
        <f>IF(Main[[#This Row],[In Stock Date]]="N/A", "N/A",IF(AND(Main[[#This Row],[In Stock Date]]&lt;&gt;"",Main[[#This Row],[Revised Due Date]]&lt;&gt;"",Main[[#This Row],[In Stock Date]]&lt;&gt;""),Main[[#This Row],[In Stock Date]]-Main[[#This Row],[Revised Due Date]],""))</f>
        <v/>
      </c>
      <c r="I389" s="139" t="s">
        <v>4</v>
      </c>
      <c r="J389" s="139" t="s">
        <v>4</v>
      </c>
      <c r="K389" s="140" t="s">
        <v>4</v>
      </c>
      <c r="L389" s="129"/>
      <c r="M389" s="114" t="str">
        <f>IF(Main[[#This Row],[Tech Start Date]]&lt;1/1/1990,"",IF(Main[[#This Row],[Class]]="C",WORKDAY(Main[[#This Row],[Tech Start Date]],9),IF(Main[[#This Row],[Class]]="B", WORKDAY(Main[[#This Row],[Tech Start Date]],6),IF(Main[[#This Row],[Class]]="A",WORKDAY(Main[[#This Row],[Tech Start Date]],2),""))))</f>
        <v/>
      </c>
      <c r="N389" s="114" t="str">
        <f>IF(Main[[#This Row],[Tech Start Date]]&lt;1/1/1990,"",IF(Main[[#This Row],[Class]]="C",WORKDAY(Main[[#This Row],[Tech Start Date]],19),IF(Main[[#This Row],[Class]]="B", WORKDAY(Main[[#This Row],[Tech Start Date]],12),IF(Main[[#This Row],[Class]]="A",WORKDAY(Main[[#This Row],[Tech Start Date]],4),""))))</f>
        <v/>
      </c>
      <c r="O389" s="114" t="str">
        <f>IF(Main[[#This Row],[Tech Start Date]]&lt;1/1/1990,"",IF(Main[[#This Row],[Class]]="C",WORKDAY(Main[[#This Row],[Tech Start Date]],23),IF(Main[[#This Row],[Class]]="B", WORKDAY(Main[[#This Row],[Tech Start Date]],15),IF(Main[[#This Row],[Class]]="A",WORKDAY(Main[[#This Row],[Tech Start Date]],5),""))))</f>
        <v/>
      </c>
      <c r="P389" s="114" t="str">
        <f>IF(Main[[#This Row],[Tech Start Date]]&lt;1/1/1990,"",IF(Main[[#This Row],[Class]]="C",WORKDAY(Main[[#This Row],[Tech Start Date]],28),IF(Main[[#This Row],[Class]]="B", WORKDAY(Main[[#This Row],[Tech Start Date]],19),IF(Main[[#This Row],[Class]]="A",WORKDAY(Main[[#This Row],[Tech Start Date]],9),""))))</f>
        <v/>
      </c>
      <c r="Q389" s="129">
        <v>40174</v>
      </c>
      <c r="R389" s="129"/>
      <c r="S389" s="139" t="s">
        <v>11</v>
      </c>
      <c r="T389" s="115" t="s">
        <v>4</v>
      </c>
      <c r="U389" s="139" t="s">
        <v>12</v>
      </c>
      <c r="V389" s="139" t="s">
        <v>1914</v>
      </c>
      <c r="W389" s="139" t="s">
        <v>1922</v>
      </c>
      <c r="X389" s="139" t="s">
        <v>2873</v>
      </c>
      <c r="Y389" s="112" t="s">
        <v>4</v>
      </c>
      <c r="Z389" s="112" t="s">
        <v>4</v>
      </c>
      <c r="AA389" s="139" t="s">
        <v>2873</v>
      </c>
    </row>
    <row r="390" spans="1:27" ht="17.25" customHeight="1">
      <c r="A390" s="69" t="str">
        <f>IF(priority(Main[[#This Row],[Comments]])&lt;&gt;0, priority(Main[[#This Row],[Comments]]),"")</f>
        <v/>
      </c>
      <c r="B390" s="63" t="s">
        <v>1247</v>
      </c>
      <c r="C390" s="148" t="s">
        <v>4</v>
      </c>
      <c r="D390" s="113" t="s">
        <v>312</v>
      </c>
      <c r="E390" s="129">
        <v>40701.550486111111</v>
      </c>
      <c r="F390" s="129"/>
      <c r="G390" s="69" t="str">
        <f>IF(stdProdLT(Main[[#This Row],[Comments]])=0.1,"N/A",IF(stdProdLT(Main[[#This Row],[Comments]])=0,"",stdProdLT(Main[[#This Row],[Comments]])))</f>
        <v/>
      </c>
      <c r="H390" s="138" t="str">
        <f>IF(Main[[#This Row],[In Stock Date]]="N/A", "N/A",IF(AND(Main[[#This Row],[In Stock Date]]&lt;&gt;"",Main[[#This Row],[Revised Due Date]]&lt;&gt;"",Main[[#This Row],[In Stock Date]]&lt;&gt;""),Main[[#This Row],[In Stock Date]]-Main[[#This Row],[Revised Due Date]],""))</f>
        <v/>
      </c>
      <c r="I390" s="139" t="s">
        <v>4</v>
      </c>
      <c r="J390" s="139" t="s">
        <v>4</v>
      </c>
      <c r="K390" s="139" t="s">
        <v>4</v>
      </c>
      <c r="L390" s="129"/>
      <c r="M390" s="114" t="str">
        <f>IF(Main[[#This Row],[Tech Start Date]]&lt;1/1/1990,"",IF(Main[[#This Row],[Class]]="C",WORKDAY(Main[[#This Row],[Tech Start Date]],9),IF(Main[[#This Row],[Class]]="B", WORKDAY(Main[[#This Row],[Tech Start Date]],6),IF(Main[[#This Row],[Class]]="A",WORKDAY(Main[[#This Row],[Tech Start Date]],2),""))))</f>
        <v/>
      </c>
      <c r="N390" s="114" t="str">
        <f>IF(Main[[#This Row],[Tech Start Date]]&lt;1/1/1990,"",IF(Main[[#This Row],[Class]]="C",WORKDAY(Main[[#This Row],[Tech Start Date]],19),IF(Main[[#This Row],[Class]]="B", WORKDAY(Main[[#This Row],[Tech Start Date]],12),IF(Main[[#This Row],[Class]]="A",WORKDAY(Main[[#This Row],[Tech Start Date]],4),""))))</f>
        <v/>
      </c>
      <c r="O390" s="114" t="str">
        <f>IF(Main[[#This Row],[Tech Start Date]]&lt;1/1/1990,"",IF(Main[[#This Row],[Class]]="C",WORKDAY(Main[[#This Row],[Tech Start Date]],23),IF(Main[[#This Row],[Class]]="B", WORKDAY(Main[[#This Row],[Tech Start Date]],15),IF(Main[[#This Row],[Class]]="A",WORKDAY(Main[[#This Row],[Tech Start Date]],5),""))))</f>
        <v/>
      </c>
      <c r="P390" s="114" t="str">
        <f>IF(Main[[#This Row],[Tech Start Date]]&lt;1/1/1990,"",IF(Main[[#This Row],[Class]]="C",WORKDAY(Main[[#This Row],[Tech Start Date]],28),IF(Main[[#This Row],[Class]]="B", WORKDAY(Main[[#This Row],[Tech Start Date]],19),IF(Main[[#This Row],[Class]]="A",WORKDAY(Main[[#This Row],[Tech Start Date]],9),""))))</f>
        <v/>
      </c>
      <c r="Q390" s="129"/>
      <c r="R390" s="129"/>
      <c r="S390" s="139" t="s">
        <v>6</v>
      </c>
      <c r="T390" s="115" t="s">
        <v>4</v>
      </c>
      <c r="U390" s="139" t="s">
        <v>7</v>
      </c>
      <c r="V390" s="139" t="s">
        <v>1914</v>
      </c>
      <c r="W390" s="139" t="s">
        <v>4</v>
      </c>
      <c r="X390" s="139" t="s">
        <v>907</v>
      </c>
      <c r="Y390" s="112" t="s">
        <v>3017</v>
      </c>
      <c r="Z390" s="112" t="s">
        <v>4</v>
      </c>
      <c r="AA390" s="139" t="s">
        <v>907</v>
      </c>
    </row>
    <row r="391" spans="1:27" ht="17.25" customHeight="1">
      <c r="A391" s="69" t="str">
        <f>IF(priority(Main[[#This Row],[Comments]])&lt;&gt;0, priority(Main[[#This Row],[Comments]]),"")</f>
        <v/>
      </c>
      <c r="B391" s="63" t="s">
        <v>1248</v>
      </c>
      <c r="C391" s="148" t="s">
        <v>4</v>
      </c>
      <c r="D391" s="113" t="s">
        <v>313</v>
      </c>
      <c r="E391" s="129"/>
      <c r="F391" s="129"/>
      <c r="G391" s="69" t="str">
        <f>IF(stdProdLT(Main[[#This Row],[Comments]])=0.1,"N/A",IF(stdProdLT(Main[[#This Row],[Comments]])=0,"",stdProdLT(Main[[#This Row],[Comments]])))</f>
        <v/>
      </c>
      <c r="H391" s="138" t="str">
        <f>IF(Main[[#This Row],[In Stock Date]]="N/A", "N/A",IF(AND(Main[[#This Row],[In Stock Date]]&lt;&gt;"",Main[[#This Row],[Revised Due Date]]&lt;&gt;"",Main[[#This Row],[In Stock Date]]&lt;&gt;""),Main[[#This Row],[In Stock Date]]-Main[[#This Row],[Revised Due Date]],""))</f>
        <v/>
      </c>
      <c r="I391" s="139" t="s">
        <v>4</v>
      </c>
      <c r="J391" s="139" t="s">
        <v>4</v>
      </c>
      <c r="K391" s="139" t="s">
        <v>4</v>
      </c>
      <c r="L391" s="129"/>
      <c r="M391" s="114" t="str">
        <f>IF(Main[[#This Row],[Tech Start Date]]&lt;1/1/1990,"",IF(Main[[#This Row],[Class]]="C",WORKDAY(Main[[#This Row],[Tech Start Date]],9),IF(Main[[#This Row],[Class]]="B", WORKDAY(Main[[#This Row],[Tech Start Date]],6),IF(Main[[#This Row],[Class]]="A",WORKDAY(Main[[#This Row],[Tech Start Date]],2),""))))</f>
        <v/>
      </c>
      <c r="N391" s="114" t="str">
        <f>IF(Main[[#This Row],[Tech Start Date]]&lt;1/1/1990,"",IF(Main[[#This Row],[Class]]="C",WORKDAY(Main[[#This Row],[Tech Start Date]],19),IF(Main[[#This Row],[Class]]="B", WORKDAY(Main[[#This Row],[Tech Start Date]],12),IF(Main[[#This Row],[Class]]="A",WORKDAY(Main[[#This Row],[Tech Start Date]],4),""))))</f>
        <v/>
      </c>
      <c r="O391" s="114" t="str">
        <f>IF(Main[[#This Row],[Tech Start Date]]&lt;1/1/1990,"",IF(Main[[#This Row],[Class]]="C",WORKDAY(Main[[#This Row],[Tech Start Date]],23),IF(Main[[#This Row],[Class]]="B", WORKDAY(Main[[#This Row],[Tech Start Date]],15),IF(Main[[#This Row],[Class]]="A",WORKDAY(Main[[#This Row],[Tech Start Date]],5),""))))</f>
        <v/>
      </c>
      <c r="P391" s="114" t="str">
        <f>IF(Main[[#This Row],[Tech Start Date]]&lt;1/1/1990,"",IF(Main[[#This Row],[Class]]="C",WORKDAY(Main[[#This Row],[Tech Start Date]],28),IF(Main[[#This Row],[Class]]="B", WORKDAY(Main[[#This Row],[Tech Start Date]],19),IF(Main[[#This Row],[Class]]="A",WORKDAY(Main[[#This Row],[Tech Start Date]],9),""))))</f>
        <v/>
      </c>
      <c r="Q391" s="129">
        <v>40374</v>
      </c>
      <c r="R391" s="129"/>
      <c r="S391" s="139" t="s">
        <v>11</v>
      </c>
      <c r="T391" s="115" t="s">
        <v>4</v>
      </c>
      <c r="U391" s="139" t="s">
        <v>12</v>
      </c>
      <c r="V391" s="139" t="s">
        <v>1915</v>
      </c>
      <c r="W391" s="139" t="s">
        <v>1916</v>
      </c>
      <c r="X391" s="139" t="s">
        <v>2872</v>
      </c>
      <c r="Y391" s="112" t="s">
        <v>2996</v>
      </c>
      <c r="Z391" s="112" t="s">
        <v>4</v>
      </c>
      <c r="AA391" s="139" t="s">
        <v>2872</v>
      </c>
    </row>
    <row r="392" spans="1:27" ht="17.25" customHeight="1">
      <c r="A392" s="69" t="str">
        <f>IF(priority(Main[[#This Row],[Comments]])&lt;&gt;0, priority(Main[[#This Row],[Comments]]),"")</f>
        <v/>
      </c>
      <c r="B392" s="63" t="s">
        <v>1249</v>
      </c>
      <c r="C392" s="148" t="s">
        <v>4</v>
      </c>
      <c r="D392" s="113" t="s">
        <v>314</v>
      </c>
      <c r="E392" s="129"/>
      <c r="F392" s="129"/>
      <c r="G392" s="69" t="str">
        <f>IF(stdProdLT(Main[[#This Row],[Comments]])=0.1,"N/A",IF(stdProdLT(Main[[#This Row],[Comments]])=0,"",stdProdLT(Main[[#This Row],[Comments]])))</f>
        <v/>
      </c>
      <c r="H392" s="138" t="str">
        <f>IF(Main[[#This Row],[In Stock Date]]="N/A", "N/A",IF(AND(Main[[#This Row],[In Stock Date]]&lt;&gt;"",Main[[#This Row],[Revised Due Date]]&lt;&gt;"",Main[[#This Row],[In Stock Date]]&lt;&gt;""),Main[[#This Row],[In Stock Date]]-Main[[#This Row],[Revised Due Date]],""))</f>
        <v/>
      </c>
      <c r="I392" s="139" t="s">
        <v>4</v>
      </c>
      <c r="J392" s="139" t="s">
        <v>4</v>
      </c>
      <c r="K392" s="139" t="s">
        <v>4</v>
      </c>
      <c r="L392" s="129"/>
      <c r="M392" s="114" t="str">
        <f>IF(Main[[#This Row],[Tech Start Date]]&lt;1/1/1990,"",IF(Main[[#This Row],[Class]]="C",WORKDAY(Main[[#This Row],[Tech Start Date]],9),IF(Main[[#This Row],[Class]]="B", WORKDAY(Main[[#This Row],[Tech Start Date]],6),IF(Main[[#This Row],[Class]]="A",WORKDAY(Main[[#This Row],[Tech Start Date]],2),""))))</f>
        <v/>
      </c>
      <c r="N392" s="114" t="str">
        <f>IF(Main[[#This Row],[Tech Start Date]]&lt;1/1/1990,"",IF(Main[[#This Row],[Class]]="C",WORKDAY(Main[[#This Row],[Tech Start Date]],19),IF(Main[[#This Row],[Class]]="B", WORKDAY(Main[[#This Row],[Tech Start Date]],12),IF(Main[[#This Row],[Class]]="A",WORKDAY(Main[[#This Row],[Tech Start Date]],4),""))))</f>
        <v/>
      </c>
      <c r="O392" s="114" t="str">
        <f>IF(Main[[#This Row],[Tech Start Date]]&lt;1/1/1990,"",IF(Main[[#This Row],[Class]]="C",WORKDAY(Main[[#This Row],[Tech Start Date]],23),IF(Main[[#This Row],[Class]]="B", WORKDAY(Main[[#This Row],[Tech Start Date]],15),IF(Main[[#This Row],[Class]]="A",WORKDAY(Main[[#This Row],[Tech Start Date]],5),""))))</f>
        <v/>
      </c>
      <c r="P392" s="114" t="str">
        <f>IF(Main[[#This Row],[Tech Start Date]]&lt;1/1/1990,"",IF(Main[[#This Row],[Class]]="C",WORKDAY(Main[[#This Row],[Tech Start Date]],28),IF(Main[[#This Row],[Class]]="B", WORKDAY(Main[[#This Row],[Tech Start Date]],19),IF(Main[[#This Row],[Class]]="A",WORKDAY(Main[[#This Row],[Tech Start Date]],9),""))))</f>
        <v/>
      </c>
      <c r="Q392" s="129"/>
      <c r="R392" s="129"/>
      <c r="S392" s="139" t="s">
        <v>6</v>
      </c>
      <c r="T392" s="115" t="s">
        <v>4</v>
      </c>
      <c r="U392" s="139" t="s">
        <v>14</v>
      </c>
      <c r="V392" s="139" t="s">
        <v>1915</v>
      </c>
      <c r="W392" s="139" t="s">
        <v>1916</v>
      </c>
      <c r="X392" s="139" t="s">
        <v>2862</v>
      </c>
      <c r="Y392" s="112" t="s">
        <v>3006</v>
      </c>
      <c r="Z392" s="112" t="s">
        <v>4</v>
      </c>
      <c r="AA392" s="139" t="s">
        <v>2862</v>
      </c>
    </row>
    <row r="393" spans="1:27" ht="17.25" customHeight="1">
      <c r="A393" s="69" t="str">
        <f>IF(priority(Main[[#This Row],[Comments]])&lt;&gt;0, priority(Main[[#This Row],[Comments]]),"")</f>
        <v/>
      </c>
      <c r="B393" s="63" t="s">
        <v>1250</v>
      </c>
      <c r="C393" s="148" t="s">
        <v>197</v>
      </c>
      <c r="D393" s="113" t="s">
        <v>315</v>
      </c>
      <c r="E393" s="129"/>
      <c r="F393" s="129"/>
      <c r="G393" s="69" t="str">
        <f>IF(stdProdLT(Main[[#This Row],[Comments]])=0.1,"N/A",IF(stdProdLT(Main[[#This Row],[Comments]])=0,"",stdProdLT(Main[[#This Row],[Comments]])))</f>
        <v/>
      </c>
      <c r="H393" s="138" t="str">
        <f>IF(Main[[#This Row],[In Stock Date]]="N/A", "N/A",IF(AND(Main[[#This Row],[In Stock Date]]&lt;&gt;"",Main[[#This Row],[Revised Due Date]]&lt;&gt;"",Main[[#This Row],[In Stock Date]]&lt;&gt;""),Main[[#This Row],[In Stock Date]]-Main[[#This Row],[Revised Due Date]],""))</f>
        <v/>
      </c>
      <c r="I393" s="139" t="s">
        <v>4</v>
      </c>
      <c r="J393" s="139" t="s">
        <v>4</v>
      </c>
      <c r="K393" s="139" t="s">
        <v>4</v>
      </c>
      <c r="L393" s="129"/>
      <c r="M393" s="114" t="str">
        <f>IF(Main[[#This Row],[Tech Start Date]]&lt;1/1/1990,"",IF(Main[[#This Row],[Class]]="C",WORKDAY(Main[[#This Row],[Tech Start Date]],9),IF(Main[[#This Row],[Class]]="B", WORKDAY(Main[[#This Row],[Tech Start Date]],6),IF(Main[[#This Row],[Class]]="A",WORKDAY(Main[[#This Row],[Tech Start Date]],2),""))))</f>
        <v/>
      </c>
      <c r="N393" s="114" t="str">
        <f>IF(Main[[#This Row],[Tech Start Date]]&lt;1/1/1990,"",IF(Main[[#This Row],[Class]]="C",WORKDAY(Main[[#This Row],[Tech Start Date]],19),IF(Main[[#This Row],[Class]]="B", WORKDAY(Main[[#This Row],[Tech Start Date]],12),IF(Main[[#This Row],[Class]]="A",WORKDAY(Main[[#This Row],[Tech Start Date]],4),""))))</f>
        <v/>
      </c>
      <c r="O393" s="114" t="str">
        <f>IF(Main[[#This Row],[Tech Start Date]]&lt;1/1/1990,"",IF(Main[[#This Row],[Class]]="C",WORKDAY(Main[[#This Row],[Tech Start Date]],23),IF(Main[[#This Row],[Class]]="B", WORKDAY(Main[[#This Row],[Tech Start Date]],15),IF(Main[[#This Row],[Class]]="A",WORKDAY(Main[[#This Row],[Tech Start Date]],5),""))))</f>
        <v/>
      </c>
      <c r="P393" s="114" t="str">
        <f>IF(Main[[#This Row],[Tech Start Date]]&lt;1/1/1990,"",IF(Main[[#This Row],[Class]]="C",WORKDAY(Main[[#This Row],[Tech Start Date]],28),IF(Main[[#This Row],[Class]]="B", WORKDAY(Main[[#This Row],[Tech Start Date]],19),IF(Main[[#This Row],[Class]]="A",WORKDAY(Main[[#This Row],[Tech Start Date]],9),""))))</f>
        <v/>
      </c>
      <c r="Q393" s="129">
        <v>40165</v>
      </c>
      <c r="R393" s="129"/>
      <c r="S393" s="139" t="s">
        <v>11</v>
      </c>
      <c r="T393" s="115" t="s">
        <v>4</v>
      </c>
      <c r="U393" s="139" t="s">
        <v>14</v>
      </c>
      <c r="V393" s="139" t="s">
        <v>1924</v>
      </c>
      <c r="W393" s="139" t="s">
        <v>1920</v>
      </c>
      <c r="X393" s="139" t="s">
        <v>306</v>
      </c>
      <c r="Y393" s="112" t="s">
        <v>2963</v>
      </c>
      <c r="Z393" s="112" t="s">
        <v>4</v>
      </c>
      <c r="AA393" s="139" t="s">
        <v>883</v>
      </c>
    </row>
    <row r="394" spans="1:27" ht="17.25" customHeight="1">
      <c r="A394" s="69" t="str">
        <f>IF(priority(Main[[#This Row],[Comments]])&lt;&gt;0, priority(Main[[#This Row],[Comments]]),"")</f>
        <v/>
      </c>
      <c r="B394" s="63" t="s">
        <v>1252</v>
      </c>
      <c r="C394" s="148" t="s">
        <v>4</v>
      </c>
      <c r="D394" s="113" t="s">
        <v>317</v>
      </c>
      <c r="E394" s="129">
        <v>40275.49355324074</v>
      </c>
      <c r="F394" s="129"/>
      <c r="G394" s="69" t="str">
        <f>IF(stdProdLT(Main[[#This Row],[Comments]])=0.1,"N/A",IF(stdProdLT(Main[[#This Row],[Comments]])=0,"",stdProdLT(Main[[#This Row],[Comments]])))</f>
        <v/>
      </c>
      <c r="H394" s="138" t="str">
        <f>IF(Main[[#This Row],[In Stock Date]]="N/A", "N/A",IF(AND(Main[[#This Row],[In Stock Date]]&lt;&gt;"",Main[[#This Row],[Revised Due Date]]&lt;&gt;"",Main[[#This Row],[In Stock Date]]&lt;&gt;""),Main[[#This Row],[In Stock Date]]-Main[[#This Row],[Revised Due Date]],""))</f>
        <v/>
      </c>
      <c r="I394" s="139" t="s">
        <v>4</v>
      </c>
      <c r="J394" s="139" t="s">
        <v>4</v>
      </c>
      <c r="K394" s="139" t="s">
        <v>4</v>
      </c>
      <c r="L394" s="129"/>
      <c r="M394" s="114" t="str">
        <f>IF(Main[[#This Row],[Tech Start Date]]&lt;1/1/1990,"",IF(Main[[#This Row],[Class]]="C",WORKDAY(Main[[#This Row],[Tech Start Date]],9),IF(Main[[#This Row],[Class]]="B", WORKDAY(Main[[#This Row],[Tech Start Date]],6),IF(Main[[#This Row],[Class]]="A",WORKDAY(Main[[#This Row],[Tech Start Date]],2),""))))</f>
        <v/>
      </c>
      <c r="N394" s="114" t="str">
        <f>IF(Main[[#This Row],[Tech Start Date]]&lt;1/1/1990,"",IF(Main[[#This Row],[Class]]="C",WORKDAY(Main[[#This Row],[Tech Start Date]],19),IF(Main[[#This Row],[Class]]="B", WORKDAY(Main[[#This Row],[Tech Start Date]],12),IF(Main[[#This Row],[Class]]="A",WORKDAY(Main[[#This Row],[Tech Start Date]],4),""))))</f>
        <v/>
      </c>
      <c r="O394" s="114" t="str">
        <f>IF(Main[[#This Row],[Tech Start Date]]&lt;1/1/1990,"",IF(Main[[#This Row],[Class]]="C",WORKDAY(Main[[#This Row],[Tech Start Date]],23),IF(Main[[#This Row],[Class]]="B", WORKDAY(Main[[#This Row],[Tech Start Date]],15),IF(Main[[#This Row],[Class]]="A",WORKDAY(Main[[#This Row],[Tech Start Date]],5),""))))</f>
        <v/>
      </c>
      <c r="P394" s="114" t="str">
        <f>IF(Main[[#This Row],[Tech Start Date]]&lt;1/1/1990,"",IF(Main[[#This Row],[Class]]="C",WORKDAY(Main[[#This Row],[Tech Start Date]],28),IF(Main[[#This Row],[Class]]="B", WORKDAY(Main[[#This Row],[Tech Start Date]],19),IF(Main[[#This Row],[Class]]="A",WORKDAY(Main[[#This Row],[Tech Start Date]],9),""))))</f>
        <v/>
      </c>
      <c r="Q394" s="129">
        <v>40289</v>
      </c>
      <c r="R394" s="129"/>
      <c r="S394" s="139" t="s">
        <v>318</v>
      </c>
      <c r="T394" s="115" t="s">
        <v>4</v>
      </c>
      <c r="U394" s="139" t="s">
        <v>7</v>
      </c>
      <c r="V394" s="139" t="s">
        <v>1914</v>
      </c>
      <c r="W394" s="139" t="s">
        <v>1916</v>
      </c>
      <c r="X394" s="139" t="s">
        <v>2821</v>
      </c>
      <c r="Y394" s="112" t="s">
        <v>2936</v>
      </c>
      <c r="Z394" s="112" t="s">
        <v>4</v>
      </c>
      <c r="AA394" s="139" t="s">
        <v>2821</v>
      </c>
    </row>
    <row r="395" spans="1:27" ht="17.25" customHeight="1">
      <c r="A395" s="69" t="str">
        <f>IF(priority(Main[[#This Row],[Comments]])&lt;&gt;0, priority(Main[[#This Row],[Comments]]),"")</f>
        <v/>
      </c>
      <c r="B395" s="63" t="s">
        <v>1254</v>
      </c>
      <c r="C395" s="148" t="s">
        <v>4</v>
      </c>
      <c r="D395" s="113" t="s">
        <v>320</v>
      </c>
      <c r="E395" s="129"/>
      <c r="F395" s="129"/>
      <c r="G395" s="69" t="str">
        <f>IF(stdProdLT(Main[[#This Row],[Comments]])=0.1,"N/A",IF(stdProdLT(Main[[#This Row],[Comments]])=0,"",stdProdLT(Main[[#This Row],[Comments]])))</f>
        <v/>
      </c>
      <c r="H395" s="138" t="str">
        <f>IF(Main[[#This Row],[In Stock Date]]="N/A", "N/A",IF(AND(Main[[#This Row],[In Stock Date]]&lt;&gt;"",Main[[#This Row],[Revised Due Date]]&lt;&gt;"",Main[[#This Row],[In Stock Date]]&lt;&gt;""),Main[[#This Row],[In Stock Date]]-Main[[#This Row],[Revised Due Date]],""))</f>
        <v/>
      </c>
      <c r="I395" s="139" t="s">
        <v>4</v>
      </c>
      <c r="J395" s="139" t="s">
        <v>28</v>
      </c>
      <c r="K395" s="139" t="s">
        <v>4</v>
      </c>
      <c r="L395" s="129"/>
      <c r="M395" s="114" t="str">
        <f>IF(Main[[#This Row],[Tech Start Date]]&lt;1/1/1990,"",IF(Main[[#This Row],[Class]]="C",WORKDAY(Main[[#This Row],[Tech Start Date]],9),IF(Main[[#This Row],[Class]]="B", WORKDAY(Main[[#This Row],[Tech Start Date]],6),IF(Main[[#This Row],[Class]]="A",WORKDAY(Main[[#This Row],[Tech Start Date]],2),""))))</f>
        <v/>
      </c>
      <c r="N395" s="114" t="str">
        <f>IF(Main[[#This Row],[Tech Start Date]]&lt;1/1/1990,"",IF(Main[[#This Row],[Class]]="C",WORKDAY(Main[[#This Row],[Tech Start Date]],19),IF(Main[[#This Row],[Class]]="B", WORKDAY(Main[[#This Row],[Tech Start Date]],12),IF(Main[[#This Row],[Class]]="A",WORKDAY(Main[[#This Row],[Tech Start Date]],4),""))))</f>
        <v/>
      </c>
      <c r="O395" s="114" t="str">
        <f>IF(Main[[#This Row],[Tech Start Date]]&lt;1/1/1990,"",IF(Main[[#This Row],[Class]]="C",WORKDAY(Main[[#This Row],[Tech Start Date]],23),IF(Main[[#This Row],[Class]]="B", WORKDAY(Main[[#This Row],[Tech Start Date]],15),IF(Main[[#This Row],[Class]]="A",WORKDAY(Main[[#This Row],[Tech Start Date]],5),""))))</f>
        <v/>
      </c>
      <c r="P395" s="114" t="str">
        <f>IF(Main[[#This Row],[Tech Start Date]]&lt;1/1/1990,"",IF(Main[[#This Row],[Class]]="C",WORKDAY(Main[[#This Row],[Tech Start Date]],28),IF(Main[[#This Row],[Class]]="B", WORKDAY(Main[[#This Row],[Tech Start Date]],19),IF(Main[[#This Row],[Class]]="A",WORKDAY(Main[[#This Row],[Tech Start Date]],9),""))))</f>
        <v/>
      </c>
      <c r="Q395" s="129"/>
      <c r="R395" s="129"/>
      <c r="S395" s="139" t="s">
        <v>17</v>
      </c>
      <c r="T395" s="115" t="s">
        <v>4</v>
      </c>
      <c r="U395" s="139" t="s">
        <v>14</v>
      </c>
      <c r="V395" s="139" t="s">
        <v>1914</v>
      </c>
      <c r="W395" s="139" t="s">
        <v>1918</v>
      </c>
      <c r="X395" s="139" t="s">
        <v>129</v>
      </c>
      <c r="Y395" s="112" t="s">
        <v>4</v>
      </c>
      <c r="Z395" s="112" t="s">
        <v>129</v>
      </c>
      <c r="AA395" s="139" t="s">
        <v>2821</v>
      </c>
    </row>
    <row r="396" spans="1:27" ht="17.25" customHeight="1">
      <c r="A396" s="69" t="str">
        <f>IF(priority(Main[[#This Row],[Comments]])&lt;&gt;0, priority(Main[[#This Row],[Comments]]),"")</f>
        <v/>
      </c>
      <c r="B396" s="63" t="s">
        <v>1255</v>
      </c>
      <c r="C396" s="148" t="s">
        <v>4</v>
      </c>
      <c r="D396" s="113" t="s">
        <v>321</v>
      </c>
      <c r="E396" s="129"/>
      <c r="F396" s="129"/>
      <c r="G396" s="69" t="str">
        <f>IF(stdProdLT(Main[[#This Row],[Comments]])=0.1,"N/A",IF(stdProdLT(Main[[#This Row],[Comments]])=0,"",stdProdLT(Main[[#This Row],[Comments]])))</f>
        <v/>
      </c>
      <c r="H396" s="138" t="str">
        <f>IF(Main[[#This Row],[In Stock Date]]="N/A", "N/A",IF(AND(Main[[#This Row],[In Stock Date]]&lt;&gt;"",Main[[#This Row],[Revised Due Date]]&lt;&gt;"",Main[[#This Row],[In Stock Date]]&lt;&gt;""),Main[[#This Row],[In Stock Date]]-Main[[#This Row],[Revised Due Date]],""))</f>
        <v/>
      </c>
      <c r="I396" s="139" t="s">
        <v>4</v>
      </c>
      <c r="J396" s="139" t="s">
        <v>4</v>
      </c>
      <c r="K396" s="139" t="s">
        <v>4</v>
      </c>
      <c r="L396" s="129"/>
      <c r="M396" s="114" t="str">
        <f>IF(Main[[#This Row],[Tech Start Date]]&lt;1/1/1990,"",IF(Main[[#This Row],[Class]]="C",WORKDAY(Main[[#This Row],[Tech Start Date]],9),IF(Main[[#This Row],[Class]]="B", WORKDAY(Main[[#This Row],[Tech Start Date]],6),IF(Main[[#This Row],[Class]]="A",WORKDAY(Main[[#This Row],[Tech Start Date]],2),""))))</f>
        <v/>
      </c>
      <c r="N396" s="114" t="str">
        <f>IF(Main[[#This Row],[Tech Start Date]]&lt;1/1/1990,"",IF(Main[[#This Row],[Class]]="C",WORKDAY(Main[[#This Row],[Tech Start Date]],19),IF(Main[[#This Row],[Class]]="B", WORKDAY(Main[[#This Row],[Tech Start Date]],12),IF(Main[[#This Row],[Class]]="A",WORKDAY(Main[[#This Row],[Tech Start Date]],4),""))))</f>
        <v/>
      </c>
      <c r="O396" s="114" t="str">
        <f>IF(Main[[#This Row],[Tech Start Date]]&lt;1/1/1990,"",IF(Main[[#This Row],[Class]]="C",WORKDAY(Main[[#This Row],[Tech Start Date]],23),IF(Main[[#This Row],[Class]]="B", WORKDAY(Main[[#This Row],[Tech Start Date]],15),IF(Main[[#This Row],[Class]]="A",WORKDAY(Main[[#This Row],[Tech Start Date]],5),""))))</f>
        <v/>
      </c>
      <c r="P396" s="114" t="str">
        <f>IF(Main[[#This Row],[Tech Start Date]]&lt;1/1/1990,"",IF(Main[[#This Row],[Class]]="C",WORKDAY(Main[[#This Row],[Tech Start Date]],28),IF(Main[[#This Row],[Class]]="B", WORKDAY(Main[[#This Row],[Tech Start Date]],19),IF(Main[[#This Row],[Class]]="A",WORKDAY(Main[[#This Row],[Tech Start Date]],9),""))))</f>
        <v/>
      </c>
      <c r="Q396" s="129">
        <v>40725</v>
      </c>
      <c r="R396" s="129"/>
      <c r="S396" s="139" t="s">
        <v>17</v>
      </c>
      <c r="T396" s="115" t="s">
        <v>4</v>
      </c>
      <c r="U396" s="139" t="s">
        <v>14</v>
      </c>
      <c r="V396" s="139" t="s">
        <v>1914</v>
      </c>
      <c r="W396" s="139" t="s">
        <v>1916</v>
      </c>
      <c r="X396" s="139" t="s">
        <v>907</v>
      </c>
      <c r="Y396" s="112" t="s">
        <v>3017</v>
      </c>
      <c r="Z396" s="112" t="s">
        <v>4</v>
      </c>
      <c r="AA396" s="139" t="s">
        <v>907</v>
      </c>
    </row>
    <row r="397" spans="1:27" ht="17.25" customHeight="1">
      <c r="A397" s="69" t="str">
        <f>IF(priority(Main[[#This Row],[Comments]])&lt;&gt;0, priority(Main[[#This Row],[Comments]]),"")</f>
        <v/>
      </c>
      <c r="B397" s="63" t="s">
        <v>1256</v>
      </c>
      <c r="C397" s="148" t="s">
        <v>93</v>
      </c>
      <c r="D397" s="113" t="s">
        <v>322</v>
      </c>
      <c r="E397" s="129"/>
      <c r="F397" s="129">
        <v>40168</v>
      </c>
      <c r="G397" s="69" t="str">
        <f>IF(stdProdLT(Main[[#This Row],[Comments]])=0.1,"N/A",IF(stdProdLT(Main[[#This Row],[Comments]])=0,"",stdProdLT(Main[[#This Row],[Comments]])))</f>
        <v/>
      </c>
      <c r="H397" s="138" t="str">
        <f>IF(Main[[#This Row],[In Stock Date]]="N/A", "N/A",IF(AND(Main[[#This Row],[In Stock Date]]&lt;&gt;"",Main[[#This Row],[Revised Due Date]]&lt;&gt;"",Main[[#This Row],[In Stock Date]]&lt;&gt;""),Main[[#This Row],[In Stock Date]]-Main[[#This Row],[Revised Due Date]],""))</f>
        <v/>
      </c>
      <c r="I397" s="139" t="s">
        <v>4</v>
      </c>
      <c r="J397" s="139" t="s">
        <v>4</v>
      </c>
      <c r="K397" s="139" t="s">
        <v>4</v>
      </c>
      <c r="L397" s="129"/>
      <c r="M397" s="114" t="str">
        <f>IF(Main[[#This Row],[Tech Start Date]]&lt;1/1/1990,"",IF(Main[[#This Row],[Class]]="C",WORKDAY(Main[[#This Row],[Tech Start Date]],9),IF(Main[[#This Row],[Class]]="B", WORKDAY(Main[[#This Row],[Tech Start Date]],6),IF(Main[[#This Row],[Class]]="A",WORKDAY(Main[[#This Row],[Tech Start Date]],2),""))))</f>
        <v/>
      </c>
      <c r="N397" s="114" t="str">
        <f>IF(Main[[#This Row],[Tech Start Date]]&lt;1/1/1990,"",IF(Main[[#This Row],[Class]]="C",WORKDAY(Main[[#This Row],[Tech Start Date]],19),IF(Main[[#This Row],[Class]]="B", WORKDAY(Main[[#This Row],[Tech Start Date]],12),IF(Main[[#This Row],[Class]]="A",WORKDAY(Main[[#This Row],[Tech Start Date]],4),""))))</f>
        <v/>
      </c>
      <c r="O397" s="114" t="str">
        <f>IF(Main[[#This Row],[Tech Start Date]]&lt;1/1/1990,"",IF(Main[[#This Row],[Class]]="C",WORKDAY(Main[[#This Row],[Tech Start Date]],23),IF(Main[[#This Row],[Class]]="B", WORKDAY(Main[[#This Row],[Tech Start Date]],15),IF(Main[[#This Row],[Class]]="A",WORKDAY(Main[[#This Row],[Tech Start Date]],5),""))))</f>
        <v/>
      </c>
      <c r="P397" s="114" t="str">
        <f>IF(Main[[#This Row],[Tech Start Date]]&lt;1/1/1990,"",IF(Main[[#This Row],[Class]]="C",WORKDAY(Main[[#This Row],[Tech Start Date]],28),IF(Main[[#This Row],[Class]]="B", WORKDAY(Main[[#This Row],[Tech Start Date]],19),IF(Main[[#This Row],[Class]]="A",WORKDAY(Main[[#This Row],[Tech Start Date]],9),""))))</f>
        <v/>
      </c>
      <c r="Q397" s="129">
        <v>39993</v>
      </c>
      <c r="R397" s="129"/>
      <c r="S397" s="139" t="s">
        <v>11</v>
      </c>
      <c r="T397" s="115" t="s">
        <v>4</v>
      </c>
      <c r="U397" s="139" t="s">
        <v>14</v>
      </c>
      <c r="V397" s="139" t="s">
        <v>1915</v>
      </c>
      <c r="W397" s="139" t="s">
        <v>1922</v>
      </c>
      <c r="X397" s="139" t="s">
        <v>2853</v>
      </c>
      <c r="Y397" s="112" t="s">
        <v>2991</v>
      </c>
      <c r="Z397" s="112" t="s">
        <v>4</v>
      </c>
      <c r="AA397" s="139" t="s">
        <v>2853</v>
      </c>
    </row>
    <row r="398" spans="1:27" ht="17.25" customHeight="1">
      <c r="A398" s="69" t="str">
        <f>IF(priority(Main[[#This Row],[Comments]])&lt;&gt;0, priority(Main[[#This Row],[Comments]]),"")</f>
        <v/>
      </c>
      <c r="B398" s="63" t="s">
        <v>1257</v>
      </c>
      <c r="C398" s="148" t="s">
        <v>93</v>
      </c>
      <c r="D398" s="113" t="s">
        <v>323</v>
      </c>
      <c r="E398" s="129"/>
      <c r="F398" s="129">
        <v>40299</v>
      </c>
      <c r="G398" s="69" t="str">
        <f>IF(stdProdLT(Main[[#This Row],[Comments]])=0.1,"N/A",IF(stdProdLT(Main[[#This Row],[Comments]])=0,"",stdProdLT(Main[[#This Row],[Comments]])))</f>
        <v/>
      </c>
      <c r="H398" s="138" t="str">
        <f>IF(Main[[#This Row],[In Stock Date]]="N/A", "N/A",IF(AND(Main[[#This Row],[In Stock Date]]&lt;&gt;"",Main[[#This Row],[Revised Due Date]]&lt;&gt;"",Main[[#This Row],[In Stock Date]]&lt;&gt;""),Main[[#This Row],[In Stock Date]]-Main[[#This Row],[Revised Due Date]],""))</f>
        <v/>
      </c>
      <c r="I398" s="139" t="s">
        <v>4</v>
      </c>
      <c r="J398" s="139" t="s">
        <v>4</v>
      </c>
      <c r="K398" s="139" t="s">
        <v>4</v>
      </c>
      <c r="L398" s="129"/>
      <c r="M398" s="114" t="str">
        <f>IF(Main[[#This Row],[Tech Start Date]]&lt;1/1/1990,"",IF(Main[[#This Row],[Class]]="C",WORKDAY(Main[[#This Row],[Tech Start Date]],9),IF(Main[[#This Row],[Class]]="B", WORKDAY(Main[[#This Row],[Tech Start Date]],6),IF(Main[[#This Row],[Class]]="A",WORKDAY(Main[[#This Row],[Tech Start Date]],2),""))))</f>
        <v/>
      </c>
      <c r="N398" s="114" t="str">
        <f>IF(Main[[#This Row],[Tech Start Date]]&lt;1/1/1990,"",IF(Main[[#This Row],[Class]]="C",WORKDAY(Main[[#This Row],[Tech Start Date]],19),IF(Main[[#This Row],[Class]]="B", WORKDAY(Main[[#This Row],[Tech Start Date]],12),IF(Main[[#This Row],[Class]]="A",WORKDAY(Main[[#This Row],[Tech Start Date]],4),""))))</f>
        <v/>
      </c>
      <c r="O398" s="114" t="str">
        <f>IF(Main[[#This Row],[Tech Start Date]]&lt;1/1/1990,"",IF(Main[[#This Row],[Class]]="C",WORKDAY(Main[[#This Row],[Tech Start Date]],23),IF(Main[[#This Row],[Class]]="B", WORKDAY(Main[[#This Row],[Tech Start Date]],15),IF(Main[[#This Row],[Class]]="A",WORKDAY(Main[[#This Row],[Tech Start Date]],5),""))))</f>
        <v/>
      </c>
      <c r="P398" s="114" t="str">
        <f>IF(Main[[#This Row],[Tech Start Date]]&lt;1/1/1990,"",IF(Main[[#This Row],[Class]]="C",WORKDAY(Main[[#This Row],[Tech Start Date]],28),IF(Main[[#This Row],[Class]]="B", WORKDAY(Main[[#This Row],[Tech Start Date]],19),IF(Main[[#This Row],[Class]]="A",WORKDAY(Main[[#This Row],[Tech Start Date]],9),""))))</f>
        <v/>
      </c>
      <c r="Q398" s="129">
        <v>40214</v>
      </c>
      <c r="R398" s="129"/>
      <c r="S398" s="139" t="s">
        <v>11</v>
      </c>
      <c r="T398" s="115" t="s">
        <v>4</v>
      </c>
      <c r="U398" s="139" t="s">
        <v>12</v>
      </c>
      <c r="V398" s="139" t="s">
        <v>1914</v>
      </c>
      <c r="W398" s="139" t="s">
        <v>1920</v>
      </c>
      <c r="X398" s="139" t="s">
        <v>2845</v>
      </c>
      <c r="Y398" s="112" t="s">
        <v>4</v>
      </c>
      <c r="Z398" s="112" t="s">
        <v>4</v>
      </c>
      <c r="AA398" s="139" t="s">
        <v>2845</v>
      </c>
    </row>
    <row r="399" spans="1:27" ht="17.25" customHeight="1">
      <c r="A399" s="69" t="str">
        <f>IF(priority(Main[[#This Row],[Comments]])&lt;&gt;0, priority(Main[[#This Row],[Comments]]),"")</f>
        <v/>
      </c>
      <c r="B399" s="63" t="s">
        <v>1258</v>
      </c>
      <c r="C399" s="148" t="s">
        <v>4</v>
      </c>
      <c r="D399" s="113" t="s">
        <v>328</v>
      </c>
      <c r="E399" s="129"/>
      <c r="F399" s="129"/>
      <c r="G399" s="69" t="str">
        <f>IF(stdProdLT(Main[[#This Row],[Comments]])=0.1,"N/A",IF(stdProdLT(Main[[#This Row],[Comments]])=0,"",stdProdLT(Main[[#This Row],[Comments]])))</f>
        <v/>
      </c>
      <c r="H399" s="138" t="str">
        <f>IF(Main[[#This Row],[In Stock Date]]="N/A", "N/A",IF(AND(Main[[#This Row],[In Stock Date]]&lt;&gt;"",Main[[#This Row],[Revised Due Date]]&lt;&gt;"",Main[[#This Row],[In Stock Date]]&lt;&gt;""),Main[[#This Row],[In Stock Date]]-Main[[#This Row],[Revised Due Date]],""))</f>
        <v/>
      </c>
      <c r="I399" s="139" t="s">
        <v>4</v>
      </c>
      <c r="J399" s="139" t="s">
        <v>4</v>
      </c>
      <c r="K399" s="140" t="s">
        <v>4</v>
      </c>
      <c r="L399" s="129"/>
      <c r="M399" s="114" t="str">
        <f>IF(Main[[#This Row],[Tech Start Date]]&lt;1/1/1990,"",IF(Main[[#This Row],[Class]]="C",WORKDAY(Main[[#This Row],[Tech Start Date]],9),IF(Main[[#This Row],[Class]]="B", WORKDAY(Main[[#This Row],[Tech Start Date]],6),IF(Main[[#This Row],[Class]]="A",WORKDAY(Main[[#This Row],[Tech Start Date]],2),""))))</f>
        <v/>
      </c>
      <c r="N399" s="114" t="str">
        <f>IF(Main[[#This Row],[Tech Start Date]]&lt;1/1/1990,"",IF(Main[[#This Row],[Class]]="C",WORKDAY(Main[[#This Row],[Tech Start Date]],19),IF(Main[[#This Row],[Class]]="B", WORKDAY(Main[[#This Row],[Tech Start Date]],12),IF(Main[[#This Row],[Class]]="A",WORKDAY(Main[[#This Row],[Tech Start Date]],4),""))))</f>
        <v/>
      </c>
      <c r="O399" s="114" t="str">
        <f>IF(Main[[#This Row],[Tech Start Date]]&lt;1/1/1990,"",IF(Main[[#This Row],[Class]]="C",WORKDAY(Main[[#This Row],[Tech Start Date]],23),IF(Main[[#This Row],[Class]]="B", WORKDAY(Main[[#This Row],[Tech Start Date]],15),IF(Main[[#This Row],[Class]]="A",WORKDAY(Main[[#This Row],[Tech Start Date]],5),""))))</f>
        <v/>
      </c>
      <c r="P399" s="114" t="str">
        <f>IF(Main[[#This Row],[Tech Start Date]]&lt;1/1/1990,"",IF(Main[[#This Row],[Class]]="C",WORKDAY(Main[[#This Row],[Tech Start Date]],28),IF(Main[[#This Row],[Class]]="B", WORKDAY(Main[[#This Row],[Tech Start Date]],19),IF(Main[[#This Row],[Class]]="A",WORKDAY(Main[[#This Row],[Tech Start Date]],9),""))))</f>
        <v/>
      </c>
      <c r="Q399" s="129"/>
      <c r="R399" s="129"/>
      <c r="S399" s="139" t="s">
        <v>17</v>
      </c>
      <c r="T399" s="115" t="s">
        <v>4</v>
      </c>
      <c r="U399" s="139" t="s">
        <v>14</v>
      </c>
      <c r="V399" s="139" t="s">
        <v>1914</v>
      </c>
      <c r="W399" s="139" t="s">
        <v>1916</v>
      </c>
      <c r="X399" s="139" t="s">
        <v>907</v>
      </c>
      <c r="Y399" s="112" t="s">
        <v>3017</v>
      </c>
      <c r="Z399" s="112" t="s">
        <v>4</v>
      </c>
      <c r="AA399" s="139" t="s">
        <v>907</v>
      </c>
    </row>
    <row r="400" spans="1:27" ht="17.25" customHeight="1">
      <c r="A400" s="69" t="str">
        <f>IF(priority(Main[[#This Row],[Comments]])&lt;&gt;0, priority(Main[[#This Row],[Comments]]),"")</f>
        <v/>
      </c>
      <c r="B400" s="63" t="s">
        <v>3594</v>
      </c>
      <c r="C400" s="148" t="s">
        <v>4</v>
      </c>
      <c r="D400" s="113" t="s">
        <v>3595</v>
      </c>
      <c r="E400" s="129">
        <v>40967.694027777776</v>
      </c>
      <c r="F400" s="129"/>
      <c r="G400" s="69" t="str">
        <f>IF(stdProdLT(Main[[#This Row],[Comments]])=0.1,"N/A",IF(stdProdLT(Main[[#This Row],[Comments]])=0,"",stdProdLT(Main[[#This Row],[Comments]])))</f>
        <v/>
      </c>
      <c r="H400" s="138" t="str">
        <f>IF(Main[[#This Row],[In Stock Date]]="N/A", "N/A",IF(AND(Main[[#This Row],[In Stock Date]]&lt;&gt;"",Main[[#This Row],[Revised Due Date]]&lt;&gt;"",Main[[#This Row],[In Stock Date]]&lt;&gt;""),Main[[#This Row],[In Stock Date]]-Main[[#This Row],[Revised Due Date]],""))</f>
        <v/>
      </c>
      <c r="I400" s="139" t="s">
        <v>4</v>
      </c>
      <c r="J400" s="139" t="s">
        <v>4</v>
      </c>
      <c r="K400" s="140" t="s">
        <v>4</v>
      </c>
      <c r="L400" s="129"/>
      <c r="M400" s="114" t="str">
        <f>IF(Main[[#This Row],[Tech Start Date]]&lt;1/1/1990,"",IF(Main[[#This Row],[Class]]="C",WORKDAY(Main[[#This Row],[Tech Start Date]],9),IF(Main[[#This Row],[Class]]="B", WORKDAY(Main[[#This Row],[Tech Start Date]],6),IF(Main[[#This Row],[Class]]="A",WORKDAY(Main[[#This Row],[Tech Start Date]],2),""))))</f>
        <v/>
      </c>
      <c r="N400" s="114" t="str">
        <f>IF(Main[[#This Row],[Tech Start Date]]&lt;1/1/1990,"",IF(Main[[#This Row],[Class]]="C",WORKDAY(Main[[#This Row],[Tech Start Date]],19),IF(Main[[#This Row],[Class]]="B", WORKDAY(Main[[#This Row],[Tech Start Date]],12),IF(Main[[#This Row],[Class]]="A",WORKDAY(Main[[#This Row],[Tech Start Date]],4),""))))</f>
        <v/>
      </c>
      <c r="O400" s="114" t="str">
        <f>IF(Main[[#This Row],[Tech Start Date]]&lt;1/1/1990,"",IF(Main[[#This Row],[Class]]="C",WORKDAY(Main[[#This Row],[Tech Start Date]],23),IF(Main[[#This Row],[Class]]="B", WORKDAY(Main[[#This Row],[Tech Start Date]],15),IF(Main[[#This Row],[Class]]="A",WORKDAY(Main[[#This Row],[Tech Start Date]],5),""))))</f>
        <v/>
      </c>
      <c r="P400" s="114" t="str">
        <f>IF(Main[[#This Row],[Tech Start Date]]&lt;1/1/1990,"",IF(Main[[#This Row],[Class]]="C",WORKDAY(Main[[#This Row],[Tech Start Date]],28),IF(Main[[#This Row],[Class]]="B", WORKDAY(Main[[#This Row],[Tech Start Date]],19),IF(Main[[#This Row],[Class]]="A",WORKDAY(Main[[#This Row],[Tech Start Date]],9),""))))</f>
        <v/>
      </c>
      <c r="Q400" s="129"/>
      <c r="R400" s="129"/>
      <c r="S400" s="139" t="s">
        <v>6</v>
      </c>
      <c r="T400" s="115" t="s">
        <v>4</v>
      </c>
      <c r="U400" s="139" t="s">
        <v>7</v>
      </c>
      <c r="V400" s="139" t="s">
        <v>1917</v>
      </c>
      <c r="W400" s="139" t="s">
        <v>1918</v>
      </c>
      <c r="X400" s="139" t="s">
        <v>69</v>
      </c>
      <c r="Y400" s="112" t="s">
        <v>4</v>
      </c>
      <c r="Z400" s="112" t="s">
        <v>4</v>
      </c>
      <c r="AA400" s="139" t="s">
        <v>4</v>
      </c>
    </row>
    <row r="401" spans="1:27" ht="17.25" customHeight="1">
      <c r="A401" s="69" t="str">
        <f>IF(priority(Main[[#This Row],[Comments]])&lt;&gt;0, priority(Main[[#This Row],[Comments]]),"")</f>
        <v/>
      </c>
      <c r="B401" s="63" t="s">
        <v>1259</v>
      </c>
      <c r="C401" s="148" t="s">
        <v>4</v>
      </c>
      <c r="D401" s="113" t="s">
        <v>329</v>
      </c>
      <c r="E401" s="129">
        <v>40519.3518287037</v>
      </c>
      <c r="F401" s="129"/>
      <c r="G401" s="69" t="str">
        <f>IF(stdProdLT(Main[[#This Row],[Comments]])=0.1,"N/A",IF(stdProdLT(Main[[#This Row],[Comments]])=0,"",stdProdLT(Main[[#This Row],[Comments]])))</f>
        <v/>
      </c>
      <c r="H401" s="138" t="str">
        <f>IF(Main[[#This Row],[In Stock Date]]="N/A", "N/A",IF(AND(Main[[#This Row],[In Stock Date]]&lt;&gt;"",Main[[#This Row],[Revised Due Date]]&lt;&gt;"",Main[[#This Row],[In Stock Date]]&lt;&gt;""),Main[[#This Row],[In Stock Date]]-Main[[#This Row],[Revised Due Date]],""))</f>
        <v/>
      </c>
      <c r="I401" s="139" t="s">
        <v>4</v>
      </c>
      <c r="J401" s="139" t="s">
        <v>4</v>
      </c>
      <c r="K401" s="139" t="s">
        <v>4</v>
      </c>
      <c r="L401" s="129"/>
      <c r="M401" s="114" t="str">
        <f>IF(Main[[#This Row],[Tech Start Date]]&lt;1/1/1990,"",IF(Main[[#This Row],[Class]]="C",WORKDAY(Main[[#This Row],[Tech Start Date]],9),IF(Main[[#This Row],[Class]]="B", WORKDAY(Main[[#This Row],[Tech Start Date]],6),IF(Main[[#This Row],[Class]]="A",WORKDAY(Main[[#This Row],[Tech Start Date]],2),""))))</f>
        <v/>
      </c>
      <c r="N401" s="114" t="str">
        <f>IF(Main[[#This Row],[Tech Start Date]]&lt;1/1/1990,"",IF(Main[[#This Row],[Class]]="C",WORKDAY(Main[[#This Row],[Tech Start Date]],19),IF(Main[[#This Row],[Class]]="B", WORKDAY(Main[[#This Row],[Tech Start Date]],12),IF(Main[[#This Row],[Class]]="A",WORKDAY(Main[[#This Row],[Tech Start Date]],4),""))))</f>
        <v/>
      </c>
      <c r="O401" s="114" t="str">
        <f>IF(Main[[#This Row],[Tech Start Date]]&lt;1/1/1990,"",IF(Main[[#This Row],[Class]]="C",WORKDAY(Main[[#This Row],[Tech Start Date]],23),IF(Main[[#This Row],[Class]]="B", WORKDAY(Main[[#This Row],[Tech Start Date]],15),IF(Main[[#This Row],[Class]]="A",WORKDAY(Main[[#This Row],[Tech Start Date]],5),""))))</f>
        <v/>
      </c>
      <c r="P401" s="114" t="str">
        <f>IF(Main[[#This Row],[Tech Start Date]]&lt;1/1/1990,"",IF(Main[[#This Row],[Class]]="C",WORKDAY(Main[[#This Row],[Tech Start Date]],28),IF(Main[[#This Row],[Class]]="B", WORKDAY(Main[[#This Row],[Tech Start Date]],19),IF(Main[[#This Row],[Class]]="A",WORKDAY(Main[[#This Row],[Tech Start Date]],9),""))))</f>
        <v/>
      </c>
      <c r="Q401" s="129">
        <v>40536</v>
      </c>
      <c r="R401" s="129"/>
      <c r="S401" s="139" t="s">
        <v>4</v>
      </c>
      <c r="T401" s="115" t="s">
        <v>4</v>
      </c>
      <c r="U401" s="139" t="s">
        <v>7</v>
      </c>
      <c r="V401" s="139" t="s">
        <v>1914</v>
      </c>
      <c r="W401" s="139" t="s">
        <v>4</v>
      </c>
      <c r="X401" s="139" t="s">
        <v>2818</v>
      </c>
      <c r="Y401" s="112" t="s">
        <v>2929</v>
      </c>
      <c r="Z401" s="112" t="s">
        <v>4</v>
      </c>
      <c r="AA401" s="139" t="s">
        <v>2818</v>
      </c>
    </row>
    <row r="402" spans="1:27" ht="17.25" customHeight="1">
      <c r="A402" s="69" t="str">
        <f>IF(priority(Main[[#This Row],[Comments]])&lt;&gt;0, priority(Main[[#This Row],[Comments]]),"")</f>
        <v/>
      </c>
      <c r="B402" s="63" t="s">
        <v>1260</v>
      </c>
      <c r="C402" s="148" t="s">
        <v>72</v>
      </c>
      <c r="D402" s="113" t="s">
        <v>330</v>
      </c>
      <c r="E402" s="129"/>
      <c r="F402" s="129">
        <v>40313</v>
      </c>
      <c r="G402" s="69" t="str">
        <f>IF(stdProdLT(Main[[#This Row],[Comments]])=0.1,"N/A",IF(stdProdLT(Main[[#This Row],[Comments]])=0,"",stdProdLT(Main[[#This Row],[Comments]])))</f>
        <v/>
      </c>
      <c r="H402" s="138" t="str">
        <f>IF(Main[[#This Row],[In Stock Date]]="N/A", "N/A",IF(AND(Main[[#This Row],[In Stock Date]]&lt;&gt;"",Main[[#This Row],[Revised Due Date]]&lt;&gt;"",Main[[#This Row],[In Stock Date]]&lt;&gt;""),Main[[#This Row],[In Stock Date]]-Main[[#This Row],[Revised Due Date]],""))</f>
        <v/>
      </c>
      <c r="I402" s="139" t="s">
        <v>4</v>
      </c>
      <c r="J402" s="139" t="s">
        <v>4</v>
      </c>
      <c r="K402" s="139" t="s">
        <v>4</v>
      </c>
      <c r="L402" s="129"/>
      <c r="M402" s="114" t="str">
        <f>IF(Main[[#This Row],[Tech Start Date]]&lt;1/1/1990,"",IF(Main[[#This Row],[Class]]="C",WORKDAY(Main[[#This Row],[Tech Start Date]],9),IF(Main[[#This Row],[Class]]="B", WORKDAY(Main[[#This Row],[Tech Start Date]],6),IF(Main[[#This Row],[Class]]="A",WORKDAY(Main[[#This Row],[Tech Start Date]],2),""))))</f>
        <v/>
      </c>
      <c r="N402" s="114" t="str">
        <f>IF(Main[[#This Row],[Tech Start Date]]&lt;1/1/1990,"",IF(Main[[#This Row],[Class]]="C",WORKDAY(Main[[#This Row],[Tech Start Date]],19),IF(Main[[#This Row],[Class]]="B", WORKDAY(Main[[#This Row],[Tech Start Date]],12),IF(Main[[#This Row],[Class]]="A",WORKDAY(Main[[#This Row],[Tech Start Date]],4),""))))</f>
        <v/>
      </c>
      <c r="O402" s="114" t="str">
        <f>IF(Main[[#This Row],[Tech Start Date]]&lt;1/1/1990,"",IF(Main[[#This Row],[Class]]="C",WORKDAY(Main[[#This Row],[Tech Start Date]],23),IF(Main[[#This Row],[Class]]="B", WORKDAY(Main[[#This Row],[Tech Start Date]],15),IF(Main[[#This Row],[Class]]="A",WORKDAY(Main[[#This Row],[Tech Start Date]],5),""))))</f>
        <v/>
      </c>
      <c r="P402" s="114" t="str">
        <f>IF(Main[[#This Row],[Tech Start Date]]&lt;1/1/1990,"",IF(Main[[#This Row],[Class]]="C",WORKDAY(Main[[#This Row],[Tech Start Date]],28),IF(Main[[#This Row],[Class]]="B", WORKDAY(Main[[#This Row],[Tech Start Date]],19),IF(Main[[#This Row],[Class]]="A",WORKDAY(Main[[#This Row],[Tech Start Date]],9),""))))</f>
        <v/>
      </c>
      <c r="Q402" s="129">
        <v>40233</v>
      </c>
      <c r="R402" s="129"/>
      <c r="S402" s="139" t="s">
        <v>11</v>
      </c>
      <c r="T402" s="115" t="s">
        <v>4</v>
      </c>
      <c r="U402" s="139" t="s">
        <v>14</v>
      </c>
      <c r="V402" s="139" t="s">
        <v>1917</v>
      </c>
      <c r="W402" s="139" t="s">
        <v>1922</v>
      </c>
      <c r="X402" s="139" t="s">
        <v>2824</v>
      </c>
      <c r="Y402" s="112" t="s">
        <v>2943</v>
      </c>
      <c r="Z402" s="112" t="s">
        <v>4</v>
      </c>
      <c r="AA402" s="139" t="s">
        <v>2824</v>
      </c>
    </row>
    <row r="403" spans="1:27" ht="17.25" customHeight="1">
      <c r="A403" s="69" t="str">
        <f>IF(priority(Main[[#This Row],[Comments]])&lt;&gt;0, priority(Main[[#This Row],[Comments]]),"")</f>
        <v/>
      </c>
      <c r="B403" s="63" t="s">
        <v>1261</v>
      </c>
      <c r="C403" s="148" t="s">
        <v>4</v>
      </c>
      <c r="D403" s="113" t="s">
        <v>331</v>
      </c>
      <c r="E403" s="129"/>
      <c r="F403" s="129"/>
      <c r="G403" s="69" t="str">
        <f>IF(stdProdLT(Main[[#This Row],[Comments]])=0.1,"N/A",IF(stdProdLT(Main[[#This Row],[Comments]])=0,"",stdProdLT(Main[[#This Row],[Comments]])))</f>
        <v/>
      </c>
      <c r="H403" s="138" t="str">
        <f>IF(Main[[#This Row],[In Stock Date]]="N/A", "N/A",IF(AND(Main[[#This Row],[In Stock Date]]&lt;&gt;"",Main[[#This Row],[Revised Due Date]]&lt;&gt;"",Main[[#This Row],[In Stock Date]]&lt;&gt;""),Main[[#This Row],[In Stock Date]]-Main[[#This Row],[Revised Due Date]],""))</f>
        <v/>
      </c>
      <c r="I403" s="139" t="s">
        <v>4</v>
      </c>
      <c r="J403" s="139" t="s">
        <v>4</v>
      </c>
      <c r="K403" s="139" t="s">
        <v>4</v>
      </c>
      <c r="L403" s="129"/>
      <c r="M403" s="114" t="str">
        <f>IF(Main[[#This Row],[Tech Start Date]]&lt;1/1/1990,"",IF(Main[[#This Row],[Class]]="C",WORKDAY(Main[[#This Row],[Tech Start Date]],9),IF(Main[[#This Row],[Class]]="B", WORKDAY(Main[[#This Row],[Tech Start Date]],6),IF(Main[[#This Row],[Class]]="A",WORKDAY(Main[[#This Row],[Tech Start Date]],2),""))))</f>
        <v/>
      </c>
      <c r="N403" s="114" t="str">
        <f>IF(Main[[#This Row],[Tech Start Date]]&lt;1/1/1990,"",IF(Main[[#This Row],[Class]]="C",WORKDAY(Main[[#This Row],[Tech Start Date]],19),IF(Main[[#This Row],[Class]]="B", WORKDAY(Main[[#This Row],[Tech Start Date]],12),IF(Main[[#This Row],[Class]]="A",WORKDAY(Main[[#This Row],[Tech Start Date]],4),""))))</f>
        <v/>
      </c>
      <c r="O403" s="114" t="str">
        <f>IF(Main[[#This Row],[Tech Start Date]]&lt;1/1/1990,"",IF(Main[[#This Row],[Class]]="C",WORKDAY(Main[[#This Row],[Tech Start Date]],23),IF(Main[[#This Row],[Class]]="B", WORKDAY(Main[[#This Row],[Tech Start Date]],15),IF(Main[[#This Row],[Class]]="A",WORKDAY(Main[[#This Row],[Tech Start Date]],5),""))))</f>
        <v/>
      </c>
      <c r="P403" s="114" t="str">
        <f>IF(Main[[#This Row],[Tech Start Date]]&lt;1/1/1990,"",IF(Main[[#This Row],[Class]]="C",WORKDAY(Main[[#This Row],[Tech Start Date]],28),IF(Main[[#This Row],[Class]]="B", WORKDAY(Main[[#This Row],[Tech Start Date]],19),IF(Main[[#This Row],[Class]]="A",WORKDAY(Main[[#This Row],[Tech Start Date]],9),""))))</f>
        <v/>
      </c>
      <c r="Q403" s="129"/>
      <c r="R403" s="129"/>
      <c r="S403" s="139" t="s">
        <v>11</v>
      </c>
      <c r="T403" s="115" t="s">
        <v>4</v>
      </c>
      <c r="U403" s="139" t="s">
        <v>12</v>
      </c>
      <c r="V403" s="139" t="s">
        <v>1914</v>
      </c>
      <c r="W403" s="139" t="s">
        <v>1928</v>
      </c>
      <c r="X403" s="139" t="s">
        <v>922</v>
      </c>
      <c r="Y403" s="112" t="s">
        <v>2982</v>
      </c>
      <c r="Z403" s="112" t="s">
        <v>4</v>
      </c>
      <c r="AA403" s="139" t="s">
        <v>922</v>
      </c>
    </row>
    <row r="404" spans="1:27" ht="17.25" customHeight="1">
      <c r="A404" s="69" t="str">
        <f>IF(priority(Main[[#This Row],[Comments]])&lt;&gt;0, priority(Main[[#This Row],[Comments]]),"")</f>
        <v/>
      </c>
      <c r="B404" s="63" t="s">
        <v>1262</v>
      </c>
      <c r="C404" s="148" t="s">
        <v>4</v>
      </c>
      <c r="D404" s="113" t="s">
        <v>332</v>
      </c>
      <c r="E404" s="129">
        <v>40322.153738425928</v>
      </c>
      <c r="F404" s="129"/>
      <c r="G404" s="69" t="str">
        <f>IF(stdProdLT(Main[[#This Row],[Comments]])=0.1,"N/A",IF(stdProdLT(Main[[#This Row],[Comments]])=0,"",stdProdLT(Main[[#This Row],[Comments]])))</f>
        <v/>
      </c>
      <c r="H404" s="138" t="str">
        <f>IF(Main[[#This Row],[In Stock Date]]="N/A", "N/A",IF(AND(Main[[#This Row],[In Stock Date]]&lt;&gt;"",Main[[#This Row],[Revised Due Date]]&lt;&gt;"",Main[[#This Row],[In Stock Date]]&lt;&gt;""),Main[[#This Row],[In Stock Date]]-Main[[#This Row],[Revised Due Date]],""))</f>
        <v/>
      </c>
      <c r="I404" s="139" t="s">
        <v>129</v>
      </c>
      <c r="J404" s="139" t="s">
        <v>4</v>
      </c>
      <c r="K404" s="139" t="s">
        <v>4</v>
      </c>
      <c r="L404" s="129"/>
      <c r="M404" s="114" t="str">
        <f>IF(Main[[#This Row],[Tech Start Date]]&lt;1/1/1990,"",IF(Main[[#This Row],[Class]]="C",WORKDAY(Main[[#This Row],[Tech Start Date]],9),IF(Main[[#This Row],[Class]]="B", WORKDAY(Main[[#This Row],[Tech Start Date]],6),IF(Main[[#This Row],[Class]]="A",WORKDAY(Main[[#This Row],[Tech Start Date]],2),""))))</f>
        <v/>
      </c>
      <c r="N404" s="114" t="str">
        <f>IF(Main[[#This Row],[Tech Start Date]]&lt;1/1/1990,"",IF(Main[[#This Row],[Class]]="C",WORKDAY(Main[[#This Row],[Tech Start Date]],19),IF(Main[[#This Row],[Class]]="B", WORKDAY(Main[[#This Row],[Tech Start Date]],12),IF(Main[[#This Row],[Class]]="A",WORKDAY(Main[[#This Row],[Tech Start Date]],4),""))))</f>
        <v/>
      </c>
      <c r="O404" s="114" t="str">
        <f>IF(Main[[#This Row],[Tech Start Date]]&lt;1/1/1990,"",IF(Main[[#This Row],[Class]]="C",WORKDAY(Main[[#This Row],[Tech Start Date]],23),IF(Main[[#This Row],[Class]]="B", WORKDAY(Main[[#This Row],[Tech Start Date]],15),IF(Main[[#This Row],[Class]]="A",WORKDAY(Main[[#This Row],[Tech Start Date]],5),""))))</f>
        <v/>
      </c>
      <c r="P404" s="114" t="str">
        <f>IF(Main[[#This Row],[Tech Start Date]]&lt;1/1/1990,"",IF(Main[[#This Row],[Class]]="C",WORKDAY(Main[[#This Row],[Tech Start Date]],28),IF(Main[[#This Row],[Class]]="B", WORKDAY(Main[[#This Row],[Tech Start Date]],19),IF(Main[[#This Row],[Class]]="A",WORKDAY(Main[[#This Row],[Tech Start Date]],9),""))))</f>
        <v/>
      </c>
      <c r="Q404" s="129">
        <v>40353</v>
      </c>
      <c r="R404" s="129"/>
      <c r="S404" s="139" t="s">
        <v>6</v>
      </c>
      <c r="T404" s="115" t="s">
        <v>4</v>
      </c>
      <c r="U404" s="139" t="s">
        <v>7</v>
      </c>
      <c r="V404" s="139" t="s">
        <v>1914</v>
      </c>
      <c r="W404" s="139" t="s">
        <v>1916</v>
      </c>
      <c r="X404" s="139" t="s">
        <v>2822</v>
      </c>
      <c r="Y404" s="112" t="s">
        <v>2938</v>
      </c>
      <c r="Z404" s="112" t="s">
        <v>4</v>
      </c>
      <c r="AA404" s="139" t="s">
        <v>2822</v>
      </c>
    </row>
    <row r="405" spans="1:27" ht="17.25" customHeight="1">
      <c r="A405" s="69" t="str">
        <f>IF(priority(Main[[#This Row],[Comments]])&lt;&gt;0, priority(Main[[#This Row],[Comments]]),"")</f>
        <v/>
      </c>
      <c r="B405" s="63" t="s">
        <v>1263</v>
      </c>
      <c r="C405" s="148" t="s">
        <v>169</v>
      </c>
      <c r="D405" s="113" t="s">
        <v>333</v>
      </c>
      <c r="E405" s="129"/>
      <c r="F405" s="129">
        <v>40237</v>
      </c>
      <c r="G405" s="69" t="str">
        <f>IF(stdProdLT(Main[[#This Row],[Comments]])=0.1,"N/A",IF(stdProdLT(Main[[#This Row],[Comments]])=0,"",stdProdLT(Main[[#This Row],[Comments]])))</f>
        <v/>
      </c>
      <c r="H405" s="138" t="str">
        <f>IF(Main[[#This Row],[In Stock Date]]="N/A", "N/A",IF(AND(Main[[#This Row],[In Stock Date]]&lt;&gt;"",Main[[#This Row],[Revised Due Date]]&lt;&gt;"",Main[[#This Row],[In Stock Date]]&lt;&gt;""),Main[[#This Row],[In Stock Date]]-Main[[#This Row],[Revised Due Date]],""))</f>
        <v/>
      </c>
      <c r="I405" s="139" t="s">
        <v>4</v>
      </c>
      <c r="J405" s="139" t="s">
        <v>4</v>
      </c>
      <c r="K405" s="139" t="s">
        <v>4</v>
      </c>
      <c r="L405" s="129"/>
      <c r="M405" s="114" t="str">
        <f>IF(Main[[#This Row],[Tech Start Date]]&lt;1/1/1990,"",IF(Main[[#This Row],[Class]]="C",WORKDAY(Main[[#This Row],[Tech Start Date]],9),IF(Main[[#This Row],[Class]]="B", WORKDAY(Main[[#This Row],[Tech Start Date]],6),IF(Main[[#This Row],[Class]]="A",WORKDAY(Main[[#This Row],[Tech Start Date]],2),""))))</f>
        <v/>
      </c>
      <c r="N405" s="114" t="str">
        <f>IF(Main[[#This Row],[Tech Start Date]]&lt;1/1/1990,"",IF(Main[[#This Row],[Class]]="C",WORKDAY(Main[[#This Row],[Tech Start Date]],19),IF(Main[[#This Row],[Class]]="B", WORKDAY(Main[[#This Row],[Tech Start Date]],12),IF(Main[[#This Row],[Class]]="A",WORKDAY(Main[[#This Row],[Tech Start Date]],4),""))))</f>
        <v/>
      </c>
      <c r="O405" s="114" t="str">
        <f>IF(Main[[#This Row],[Tech Start Date]]&lt;1/1/1990,"",IF(Main[[#This Row],[Class]]="C",WORKDAY(Main[[#This Row],[Tech Start Date]],23),IF(Main[[#This Row],[Class]]="B", WORKDAY(Main[[#This Row],[Tech Start Date]],15),IF(Main[[#This Row],[Class]]="A",WORKDAY(Main[[#This Row],[Tech Start Date]],5),""))))</f>
        <v/>
      </c>
      <c r="P405" s="114" t="str">
        <f>IF(Main[[#This Row],[Tech Start Date]]&lt;1/1/1990,"",IF(Main[[#This Row],[Class]]="C",WORKDAY(Main[[#This Row],[Tech Start Date]],28),IF(Main[[#This Row],[Class]]="B", WORKDAY(Main[[#This Row],[Tech Start Date]],19),IF(Main[[#This Row],[Class]]="A",WORKDAY(Main[[#This Row],[Tech Start Date]],9),""))))</f>
        <v/>
      </c>
      <c r="Q405" s="129">
        <v>40132</v>
      </c>
      <c r="R405" s="129"/>
      <c r="S405" s="139" t="s">
        <v>11</v>
      </c>
      <c r="T405" s="115" t="s">
        <v>4</v>
      </c>
      <c r="U405" s="139" t="s">
        <v>14</v>
      </c>
      <c r="V405" s="139" t="s">
        <v>1914</v>
      </c>
      <c r="W405" s="139" t="s">
        <v>1919</v>
      </c>
      <c r="X405" s="139" t="s">
        <v>2858</v>
      </c>
      <c r="Y405" s="112" t="s">
        <v>4</v>
      </c>
      <c r="Z405" s="112" t="s">
        <v>4</v>
      </c>
      <c r="AA405" s="139" t="s">
        <v>2858</v>
      </c>
    </row>
    <row r="406" spans="1:27" ht="17.25" customHeight="1">
      <c r="A406" s="69" t="str">
        <f>IF(priority(Main[[#This Row],[Comments]])&lt;&gt;0, priority(Main[[#This Row],[Comments]]),"")</f>
        <v/>
      </c>
      <c r="B406" s="63" t="s">
        <v>1264</v>
      </c>
      <c r="C406" s="148" t="s">
        <v>4</v>
      </c>
      <c r="D406" s="113" t="s">
        <v>341</v>
      </c>
      <c r="E406" s="129"/>
      <c r="F406" s="129"/>
      <c r="G406" s="69" t="str">
        <f>IF(stdProdLT(Main[[#This Row],[Comments]])=0.1,"N/A",IF(stdProdLT(Main[[#This Row],[Comments]])=0,"",stdProdLT(Main[[#This Row],[Comments]])))</f>
        <v/>
      </c>
      <c r="H406" s="138" t="str">
        <f>IF(Main[[#This Row],[In Stock Date]]="N/A", "N/A",IF(AND(Main[[#This Row],[In Stock Date]]&lt;&gt;"",Main[[#This Row],[Revised Due Date]]&lt;&gt;"",Main[[#This Row],[In Stock Date]]&lt;&gt;""),Main[[#This Row],[In Stock Date]]-Main[[#This Row],[Revised Due Date]],""))</f>
        <v/>
      </c>
      <c r="I406" s="139" t="s">
        <v>4</v>
      </c>
      <c r="J406" s="139" t="s">
        <v>4</v>
      </c>
      <c r="K406" s="139" t="s">
        <v>4</v>
      </c>
      <c r="L406" s="129"/>
      <c r="M406" s="114" t="str">
        <f>IF(Main[[#This Row],[Tech Start Date]]&lt;1/1/1990,"",IF(Main[[#This Row],[Class]]="C",WORKDAY(Main[[#This Row],[Tech Start Date]],9),IF(Main[[#This Row],[Class]]="B", WORKDAY(Main[[#This Row],[Tech Start Date]],6),IF(Main[[#This Row],[Class]]="A",WORKDAY(Main[[#This Row],[Tech Start Date]],2),""))))</f>
        <v/>
      </c>
      <c r="N406" s="114" t="str">
        <f>IF(Main[[#This Row],[Tech Start Date]]&lt;1/1/1990,"",IF(Main[[#This Row],[Class]]="C",WORKDAY(Main[[#This Row],[Tech Start Date]],19),IF(Main[[#This Row],[Class]]="B", WORKDAY(Main[[#This Row],[Tech Start Date]],12),IF(Main[[#This Row],[Class]]="A",WORKDAY(Main[[#This Row],[Tech Start Date]],4),""))))</f>
        <v/>
      </c>
      <c r="O406" s="114" t="str">
        <f>IF(Main[[#This Row],[Tech Start Date]]&lt;1/1/1990,"",IF(Main[[#This Row],[Class]]="C",WORKDAY(Main[[#This Row],[Tech Start Date]],23),IF(Main[[#This Row],[Class]]="B", WORKDAY(Main[[#This Row],[Tech Start Date]],15),IF(Main[[#This Row],[Class]]="A",WORKDAY(Main[[#This Row],[Tech Start Date]],5),""))))</f>
        <v/>
      </c>
      <c r="P406" s="114" t="str">
        <f>IF(Main[[#This Row],[Tech Start Date]]&lt;1/1/1990,"",IF(Main[[#This Row],[Class]]="C",WORKDAY(Main[[#This Row],[Tech Start Date]],28),IF(Main[[#This Row],[Class]]="B", WORKDAY(Main[[#This Row],[Tech Start Date]],19),IF(Main[[#This Row],[Class]]="A",WORKDAY(Main[[#This Row],[Tech Start Date]],9),""))))</f>
        <v/>
      </c>
      <c r="Q406" s="129"/>
      <c r="R406" s="129"/>
      <c r="S406" s="139" t="s">
        <v>11</v>
      </c>
      <c r="T406" s="115" t="s">
        <v>4</v>
      </c>
      <c r="U406" s="139" t="s">
        <v>14</v>
      </c>
      <c r="V406" s="139" t="s">
        <v>1915</v>
      </c>
      <c r="W406" s="139" t="s">
        <v>1922</v>
      </c>
      <c r="X406" s="139" t="s">
        <v>2862</v>
      </c>
      <c r="Y406" s="112" t="s">
        <v>3006</v>
      </c>
      <c r="Z406" s="112" t="s">
        <v>4</v>
      </c>
      <c r="AA406" s="139" t="s">
        <v>2862</v>
      </c>
    </row>
    <row r="407" spans="1:27" ht="17.25" customHeight="1">
      <c r="A407" s="69" t="str">
        <f>IF(priority(Main[[#This Row],[Comments]])&lt;&gt;0, priority(Main[[#This Row],[Comments]]),"")</f>
        <v/>
      </c>
      <c r="B407" s="63" t="s">
        <v>1203</v>
      </c>
      <c r="C407" s="148" t="s">
        <v>4</v>
      </c>
      <c r="D407" s="113" t="s">
        <v>261</v>
      </c>
      <c r="E407" s="129"/>
      <c r="F407" s="129"/>
      <c r="G407" s="69" t="str">
        <f>IF(stdProdLT(Main[[#This Row],[Comments]])=0.1,"N/A",IF(stdProdLT(Main[[#This Row],[Comments]])=0,"",stdProdLT(Main[[#This Row],[Comments]])))</f>
        <v/>
      </c>
      <c r="H407" s="138" t="str">
        <f>IF(Main[[#This Row],[In Stock Date]]="N/A", "N/A",IF(AND(Main[[#This Row],[In Stock Date]]&lt;&gt;"",Main[[#This Row],[Revised Due Date]]&lt;&gt;"",Main[[#This Row],[In Stock Date]]&lt;&gt;""),Main[[#This Row],[In Stock Date]]-Main[[#This Row],[Revised Due Date]],""))</f>
        <v/>
      </c>
      <c r="I407" s="139" t="s">
        <v>4</v>
      </c>
      <c r="J407" s="139" t="s">
        <v>4</v>
      </c>
      <c r="K407" s="139" t="s">
        <v>4</v>
      </c>
      <c r="L407" s="129"/>
      <c r="M407" s="114" t="str">
        <f>IF(Main[[#This Row],[Tech Start Date]]&lt;1/1/1990,"",IF(Main[[#This Row],[Class]]="C",WORKDAY(Main[[#This Row],[Tech Start Date]],9),IF(Main[[#This Row],[Class]]="B", WORKDAY(Main[[#This Row],[Tech Start Date]],6),IF(Main[[#This Row],[Class]]="A",WORKDAY(Main[[#This Row],[Tech Start Date]],2),""))))</f>
        <v/>
      </c>
      <c r="N407" s="114" t="str">
        <f>IF(Main[[#This Row],[Tech Start Date]]&lt;1/1/1990,"",IF(Main[[#This Row],[Class]]="C",WORKDAY(Main[[#This Row],[Tech Start Date]],19),IF(Main[[#This Row],[Class]]="B", WORKDAY(Main[[#This Row],[Tech Start Date]],12),IF(Main[[#This Row],[Class]]="A",WORKDAY(Main[[#This Row],[Tech Start Date]],4),""))))</f>
        <v/>
      </c>
      <c r="O407" s="114" t="str">
        <f>IF(Main[[#This Row],[Tech Start Date]]&lt;1/1/1990,"",IF(Main[[#This Row],[Class]]="C",WORKDAY(Main[[#This Row],[Tech Start Date]],23),IF(Main[[#This Row],[Class]]="B", WORKDAY(Main[[#This Row],[Tech Start Date]],15),IF(Main[[#This Row],[Class]]="A",WORKDAY(Main[[#This Row],[Tech Start Date]],5),""))))</f>
        <v/>
      </c>
      <c r="P407" s="114" t="str">
        <f>IF(Main[[#This Row],[Tech Start Date]]&lt;1/1/1990,"",IF(Main[[#This Row],[Class]]="C",WORKDAY(Main[[#This Row],[Tech Start Date]],28),IF(Main[[#This Row],[Class]]="B", WORKDAY(Main[[#This Row],[Tech Start Date]],19),IF(Main[[#This Row],[Class]]="A",WORKDAY(Main[[#This Row],[Tech Start Date]],9),""))))</f>
        <v/>
      </c>
      <c r="Q407" s="129">
        <v>40313</v>
      </c>
      <c r="R407" s="129"/>
      <c r="S407" s="139" t="s">
        <v>11</v>
      </c>
      <c r="T407" s="115" t="s">
        <v>4</v>
      </c>
      <c r="U407" s="139" t="s">
        <v>14</v>
      </c>
      <c r="V407" s="139" t="s">
        <v>1914</v>
      </c>
      <c r="W407" s="139" t="s">
        <v>1922</v>
      </c>
      <c r="X407" s="139" t="s">
        <v>129</v>
      </c>
      <c r="Y407" s="112" t="s">
        <v>2933</v>
      </c>
      <c r="Z407" s="112" t="s">
        <v>4</v>
      </c>
      <c r="AA407" s="139" t="s">
        <v>129</v>
      </c>
    </row>
    <row r="408" spans="1:27" ht="17.25" customHeight="1">
      <c r="A408" s="69" t="str">
        <f>IF(priority(Main[[#This Row],[Comments]])&lt;&gt;0, priority(Main[[#This Row],[Comments]]),"")</f>
        <v/>
      </c>
      <c r="B408" s="63" t="s">
        <v>1204</v>
      </c>
      <c r="C408" s="148" t="s">
        <v>4</v>
      </c>
      <c r="D408" s="113" t="s">
        <v>262</v>
      </c>
      <c r="E408" s="129"/>
      <c r="F408" s="129"/>
      <c r="G408" s="69" t="str">
        <f>IF(stdProdLT(Main[[#This Row],[Comments]])=0.1,"N/A",IF(stdProdLT(Main[[#This Row],[Comments]])=0,"",stdProdLT(Main[[#This Row],[Comments]])))</f>
        <v/>
      </c>
      <c r="H408" s="138" t="str">
        <f>IF(Main[[#This Row],[In Stock Date]]="N/A", "N/A",IF(AND(Main[[#This Row],[In Stock Date]]&lt;&gt;"",Main[[#This Row],[Revised Due Date]]&lt;&gt;"",Main[[#This Row],[In Stock Date]]&lt;&gt;""),Main[[#This Row],[In Stock Date]]-Main[[#This Row],[Revised Due Date]],""))</f>
        <v/>
      </c>
      <c r="I408" s="139" t="s">
        <v>4</v>
      </c>
      <c r="J408" s="139" t="s">
        <v>4</v>
      </c>
      <c r="K408" s="139" t="s">
        <v>4</v>
      </c>
      <c r="L408" s="129"/>
      <c r="M408" s="114" t="str">
        <f>IF(Main[[#This Row],[Tech Start Date]]&lt;1/1/1990,"",IF(Main[[#This Row],[Class]]="C",WORKDAY(Main[[#This Row],[Tech Start Date]],9),IF(Main[[#This Row],[Class]]="B", WORKDAY(Main[[#This Row],[Tech Start Date]],6),IF(Main[[#This Row],[Class]]="A",WORKDAY(Main[[#This Row],[Tech Start Date]],2),""))))</f>
        <v/>
      </c>
      <c r="N408" s="114" t="str">
        <f>IF(Main[[#This Row],[Tech Start Date]]&lt;1/1/1990,"",IF(Main[[#This Row],[Class]]="C",WORKDAY(Main[[#This Row],[Tech Start Date]],19),IF(Main[[#This Row],[Class]]="B", WORKDAY(Main[[#This Row],[Tech Start Date]],12),IF(Main[[#This Row],[Class]]="A",WORKDAY(Main[[#This Row],[Tech Start Date]],4),""))))</f>
        <v/>
      </c>
      <c r="O408" s="114" t="str">
        <f>IF(Main[[#This Row],[Tech Start Date]]&lt;1/1/1990,"",IF(Main[[#This Row],[Class]]="C",WORKDAY(Main[[#This Row],[Tech Start Date]],23),IF(Main[[#This Row],[Class]]="B", WORKDAY(Main[[#This Row],[Tech Start Date]],15),IF(Main[[#This Row],[Class]]="A",WORKDAY(Main[[#This Row],[Tech Start Date]],5),""))))</f>
        <v/>
      </c>
      <c r="P408" s="114" t="str">
        <f>IF(Main[[#This Row],[Tech Start Date]]&lt;1/1/1990,"",IF(Main[[#This Row],[Class]]="C",WORKDAY(Main[[#This Row],[Tech Start Date]],28),IF(Main[[#This Row],[Class]]="B", WORKDAY(Main[[#This Row],[Tech Start Date]],19),IF(Main[[#This Row],[Class]]="A",WORKDAY(Main[[#This Row],[Tech Start Date]],9),""))))</f>
        <v/>
      </c>
      <c r="Q408" s="129"/>
      <c r="R408" s="129"/>
      <c r="S408" s="139" t="s">
        <v>11</v>
      </c>
      <c r="T408" s="115" t="s">
        <v>4</v>
      </c>
      <c r="U408" s="139" t="s">
        <v>12</v>
      </c>
      <c r="V408" s="139" t="s">
        <v>1915</v>
      </c>
      <c r="W408" s="139" t="s">
        <v>1918</v>
      </c>
      <c r="X408" s="139" t="s">
        <v>922</v>
      </c>
      <c r="Y408" s="112" t="s">
        <v>2982</v>
      </c>
      <c r="Z408" s="112" t="s">
        <v>4</v>
      </c>
      <c r="AA408" s="139" t="s">
        <v>922</v>
      </c>
    </row>
    <row r="409" spans="1:27" ht="17.25" customHeight="1">
      <c r="A409" s="69" t="str">
        <f>IF(priority(Main[[#This Row],[Comments]])&lt;&gt;0, priority(Main[[#This Row],[Comments]]),"")</f>
        <v/>
      </c>
      <c r="B409" s="63" t="s">
        <v>1973</v>
      </c>
      <c r="C409" s="148" t="s">
        <v>4</v>
      </c>
      <c r="D409" s="113" t="s">
        <v>1974</v>
      </c>
      <c r="E409" s="129">
        <v>40732.708599537036</v>
      </c>
      <c r="F409" s="129"/>
      <c r="G409" s="69" t="str">
        <f>IF(stdProdLT(Main[[#This Row],[Comments]])=0.1,"N/A",IF(stdProdLT(Main[[#This Row],[Comments]])=0,"",stdProdLT(Main[[#This Row],[Comments]])))</f>
        <v/>
      </c>
      <c r="H409" s="138" t="str">
        <f>IF(Main[[#This Row],[In Stock Date]]="N/A", "N/A",IF(AND(Main[[#This Row],[In Stock Date]]&lt;&gt;"",Main[[#This Row],[Revised Due Date]]&lt;&gt;"",Main[[#This Row],[In Stock Date]]&lt;&gt;""),Main[[#This Row],[In Stock Date]]-Main[[#This Row],[Revised Due Date]],""))</f>
        <v/>
      </c>
      <c r="I409" s="139" t="s">
        <v>4</v>
      </c>
      <c r="J409" s="139" t="s">
        <v>4</v>
      </c>
      <c r="K409" s="139" t="s">
        <v>4</v>
      </c>
      <c r="L409" s="129"/>
      <c r="M409" s="114" t="str">
        <f>IF(Main[[#This Row],[Tech Start Date]]&lt;1/1/1990,"",IF(Main[[#This Row],[Class]]="C",WORKDAY(Main[[#This Row],[Tech Start Date]],9),IF(Main[[#This Row],[Class]]="B", WORKDAY(Main[[#This Row],[Tech Start Date]],6),IF(Main[[#This Row],[Class]]="A",WORKDAY(Main[[#This Row],[Tech Start Date]],2),""))))</f>
        <v/>
      </c>
      <c r="N409" s="114" t="str">
        <f>IF(Main[[#This Row],[Tech Start Date]]&lt;1/1/1990,"",IF(Main[[#This Row],[Class]]="C",WORKDAY(Main[[#This Row],[Tech Start Date]],19),IF(Main[[#This Row],[Class]]="B", WORKDAY(Main[[#This Row],[Tech Start Date]],12),IF(Main[[#This Row],[Class]]="A",WORKDAY(Main[[#This Row],[Tech Start Date]],4),""))))</f>
        <v/>
      </c>
      <c r="O409" s="114" t="str">
        <f>IF(Main[[#This Row],[Tech Start Date]]&lt;1/1/1990,"",IF(Main[[#This Row],[Class]]="C",WORKDAY(Main[[#This Row],[Tech Start Date]],23),IF(Main[[#This Row],[Class]]="B", WORKDAY(Main[[#This Row],[Tech Start Date]],15),IF(Main[[#This Row],[Class]]="A",WORKDAY(Main[[#This Row],[Tech Start Date]],5),""))))</f>
        <v/>
      </c>
      <c r="P409" s="114" t="str">
        <f>IF(Main[[#This Row],[Tech Start Date]]&lt;1/1/1990,"",IF(Main[[#This Row],[Class]]="C",WORKDAY(Main[[#This Row],[Tech Start Date]],28),IF(Main[[#This Row],[Class]]="B", WORKDAY(Main[[#This Row],[Tech Start Date]],19),IF(Main[[#This Row],[Class]]="A",WORKDAY(Main[[#This Row],[Tech Start Date]],9),""))))</f>
        <v/>
      </c>
      <c r="Q409" s="129">
        <v>40908</v>
      </c>
      <c r="R409" s="129"/>
      <c r="S409" s="139" t="s">
        <v>17</v>
      </c>
      <c r="T409" s="115" t="s">
        <v>4</v>
      </c>
      <c r="U409" s="139" t="s">
        <v>7</v>
      </c>
      <c r="V409" s="139" t="s">
        <v>1917</v>
      </c>
      <c r="W409" s="139" t="s">
        <v>1928</v>
      </c>
      <c r="X409" s="139" t="s">
        <v>553</v>
      </c>
      <c r="Y409" s="112" t="s">
        <v>2952</v>
      </c>
      <c r="Z409" s="112" t="s">
        <v>4</v>
      </c>
      <c r="AA409" s="139" t="s">
        <v>553</v>
      </c>
    </row>
    <row r="410" spans="1:27" ht="17.25" customHeight="1">
      <c r="A410" s="69" t="str">
        <f>IF(priority(Main[[#This Row],[Comments]])&lt;&gt;0, priority(Main[[#This Row],[Comments]]),"")</f>
        <v/>
      </c>
      <c r="B410" s="63" t="s">
        <v>1206</v>
      </c>
      <c r="C410" s="148" t="s">
        <v>4</v>
      </c>
      <c r="D410" s="113" t="s">
        <v>264</v>
      </c>
      <c r="E410" s="129">
        <v>40609.588946759257</v>
      </c>
      <c r="F410" s="129"/>
      <c r="G410" s="69" t="str">
        <f>IF(stdProdLT(Main[[#This Row],[Comments]])=0.1,"N/A",IF(stdProdLT(Main[[#This Row],[Comments]])=0,"",stdProdLT(Main[[#This Row],[Comments]])))</f>
        <v/>
      </c>
      <c r="H410" s="138" t="str">
        <f>IF(Main[[#This Row],[In Stock Date]]="N/A", "N/A",IF(AND(Main[[#This Row],[In Stock Date]]&lt;&gt;"",Main[[#This Row],[Revised Due Date]]&lt;&gt;"",Main[[#This Row],[In Stock Date]]&lt;&gt;""),Main[[#This Row],[In Stock Date]]-Main[[#This Row],[Revised Due Date]],""))</f>
        <v/>
      </c>
      <c r="I410" s="139" t="s">
        <v>4</v>
      </c>
      <c r="J410" s="139" t="s">
        <v>28</v>
      </c>
      <c r="K410" s="139" t="s">
        <v>1923</v>
      </c>
      <c r="L410" s="129"/>
      <c r="M410" s="114" t="str">
        <f>IF(Main[[#This Row],[Tech Start Date]]&lt;1/1/1990,"",IF(Main[[#This Row],[Class]]="C",WORKDAY(Main[[#This Row],[Tech Start Date]],9),IF(Main[[#This Row],[Class]]="B", WORKDAY(Main[[#This Row],[Tech Start Date]],6),IF(Main[[#This Row],[Class]]="A",WORKDAY(Main[[#This Row],[Tech Start Date]],2),""))))</f>
        <v/>
      </c>
      <c r="N410" s="114" t="str">
        <f>IF(Main[[#This Row],[Tech Start Date]]&lt;1/1/1990,"",IF(Main[[#This Row],[Class]]="C",WORKDAY(Main[[#This Row],[Tech Start Date]],19),IF(Main[[#This Row],[Class]]="B", WORKDAY(Main[[#This Row],[Tech Start Date]],12),IF(Main[[#This Row],[Class]]="A",WORKDAY(Main[[#This Row],[Tech Start Date]],4),""))))</f>
        <v/>
      </c>
      <c r="O410" s="114" t="str">
        <f>IF(Main[[#This Row],[Tech Start Date]]&lt;1/1/1990,"",IF(Main[[#This Row],[Class]]="C",WORKDAY(Main[[#This Row],[Tech Start Date]],23),IF(Main[[#This Row],[Class]]="B", WORKDAY(Main[[#This Row],[Tech Start Date]],15),IF(Main[[#This Row],[Class]]="A",WORKDAY(Main[[#This Row],[Tech Start Date]],5),""))))</f>
        <v/>
      </c>
      <c r="P410" s="114" t="str">
        <f>IF(Main[[#This Row],[Tech Start Date]]&lt;1/1/1990,"",IF(Main[[#This Row],[Class]]="C",WORKDAY(Main[[#This Row],[Tech Start Date]],28),IF(Main[[#This Row],[Class]]="B", WORKDAY(Main[[#This Row],[Tech Start Date]],19),IF(Main[[#This Row],[Class]]="A",WORKDAY(Main[[#This Row],[Tech Start Date]],9),""))))</f>
        <v/>
      </c>
      <c r="Q410" s="129">
        <v>40640</v>
      </c>
      <c r="R410" s="129"/>
      <c r="S410" s="139" t="s">
        <v>6</v>
      </c>
      <c r="T410" s="115" t="s">
        <v>4</v>
      </c>
      <c r="U410" s="139" t="s">
        <v>7</v>
      </c>
      <c r="V410" s="139" t="s">
        <v>1914</v>
      </c>
      <c r="W410" s="139" t="s">
        <v>1916</v>
      </c>
      <c r="X410" s="139" t="s">
        <v>2819</v>
      </c>
      <c r="Y410" s="112" t="s">
        <v>2932</v>
      </c>
      <c r="Z410" s="112" t="s">
        <v>129</v>
      </c>
      <c r="AA410" s="139" t="s">
        <v>2819</v>
      </c>
    </row>
    <row r="411" spans="1:27" ht="17.25" customHeight="1">
      <c r="A411" s="69" t="str">
        <f>IF(priority(Main[[#This Row],[Comments]])&lt;&gt;0, priority(Main[[#This Row],[Comments]]),"")</f>
        <v/>
      </c>
      <c r="B411" s="63" t="s">
        <v>1207</v>
      </c>
      <c r="C411" s="148" t="s">
        <v>265</v>
      </c>
      <c r="D411" s="113" t="s">
        <v>266</v>
      </c>
      <c r="E411" s="129"/>
      <c r="F411" s="129"/>
      <c r="G411" s="69" t="str">
        <f>IF(stdProdLT(Main[[#This Row],[Comments]])=0.1,"N/A",IF(stdProdLT(Main[[#This Row],[Comments]])=0,"",stdProdLT(Main[[#This Row],[Comments]])))</f>
        <v/>
      </c>
      <c r="H411" s="138" t="str">
        <f>IF(Main[[#This Row],[In Stock Date]]="N/A", "N/A",IF(AND(Main[[#This Row],[In Stock Date]]&lt;&gt;"",Main[[#This Row],[Revised Due Date]]&lt;&gt;"",Main[[#This Row],[In Stock Date]]&lt;&gt;""),Main[[#This Row],[In Stock Date]]-Main[[#This Row],[Revised Due Date]],""))</f>
        <v/>
      </c>
      <c r="I411" s="139" t="s">
        <v>4</v>
      </c>
      <c r="J411" s="139" t="s">
        <v>4</v>
      </c>
      <c r="K411" s="139" t="s">
        <v>4</v>
      </c>
      <c r="L411" s="129"/>
      <c r="M411" s="114" t="str">
        <f>IF(Main[[#This Row],[Tech Start Date]]&lt;1/1/1990,"",IF(Main[[#This Row],[Class]]="C",WORKDAY(Main[[#This Row],[Tech Start Date]],9),IF(Main[[#This Row],[Class]]="B", WORKDAY(Main[[#This Row],[Tech Start Date]],6),IF(Main[[#This Row],[Class]]="A",WORKDAY(Main[[#This Row],[Tech Start Date]],2),""))))</f>
        <v/>
      </c>
      <c r="N411" s="114" t="str">
        <f>IF(Main[[#This Row],[Tech Start Date]]&lt;1/1/1990,"",IF(Main[[#This Row],[Class]]="C",WORKDAY(Main[[#This Row],[Tech Start Date]],19),IF(Main[[#This Row],[Class]]="B", WORKDAY(Main[[#This Row],[Tech Start Date]],12),IF(Main[[#This Row],[Class]]="A",WORKDAY(Main[[#This Row],[Tech Start Date]],4),""))))</f>
        <v/>
      </c>
      <c r="O411" s="114" t="str">
        <f>IF(Main[[#This Row],[Tech Start Date]]&lt;1/1/1990,"",IF(Main[[#This Row],[Class]]="C",WORKDAY(Main[[#This Row],[Tech Start Date]],23),IF(Main[[#This Row],[Class]]="B", WORKDAY(Main[[#This Row],[Tech Start Date]],15),IF(Main[[#This Row],[Class]]="A",WORKDAY(Main[[#This Row],[Tech Start Date]],5),""))))</f>
        <v/>
      </c>
      <c r="P411" s="114" t="str">
        <f>IF(Main[[#This Row],[Tech Start Date]]&lt;1/1/1990,"",IF(Main[[#This Row],[Class]]="C",WORKDAY(Main[[#This Row],[Tech Start Date]],28),IF(Main[[#This Row],[Class]]="B", WORKDAY(Main[[#This Row],[Tech Start Date]],19),IF(Main[[#This Row],[Class]]="A",WORKDAY(Main[[#This Row],[Tech Start Date]],9),""))))</f>
        <v/>
      </c>
      <c r="Q411" s="129">
        <v>40497</v>
      </c>
      <c r="R411" s="129"/>
      <c r="S411" s="139" t="s">
        <v>11</v>
      </c>
      <c r="T411" s="115" t="s">
        <v>4</v>
      </c>
      <c r="U411" s="139" t="s">
        <v>12</v>
      </c>
      <c r="V411" s="139" t="s">
        <v>1914</v>
      </c>
      <c r="W411" s="139" t="s">
        <v>1916</v>
      </c>
      <c r="X411" s="139" t="s">
        <v>2855</v>
      </c>
      <c r="Y411" s="112" t="s">
        <v>4</v>
      </c>
      <c r="Z411" s="112" t="s">
        <v>4</v>
      </c>
      <c r="AA411" s="139" t="s">
        <v>2855</v>
      </c>
    </row>
    <row r="412" spans="1:27" ht="17.25" customHeight="1">
      <c r="A412" s="69" t="str">
        <f>IF(priority(Main[[#This Row],[Comments]])&lt;&gt;0, priority(Main[[#This Row],[Comments]]),"")</f>
        <v/>
      </c>
      <c r="B412" s="63" t="s">
        <v>1209</v>
      </c>
      <c r="C412" s="148" t="s">
        <v>268</v>
      </c>
      <c r="D412" s="113" t="s">
        <v>269</v>
      </c>
      <c r="E412" s="129"/>
      <c r="F412" s="129">
        <v>40399</v>
      </c>
      <c r="G412" s="69" t="str">
        <f>IF(stdProdLT(Main[[#This Row],[Comments]])=0.1,"N/A",IF(stdProdLT(Main[[#This Row],[Comments]])=0,"",stdProdLT(Main[[#This Row],[Comments]])))</f>
        <v/>
      </c>
      <c r="H412" s="138" t="str">
        <f>IF(Main[[#This Row],[In Stock Date]]="N/A", "N/A",IF(AND(Main[[#This Row],[In Stock Date]]&lt;&gt;"",Main[[#This Row],[Revised Due Date]]&lt;&gt;"",Main[[#This Row],[In Stock Date]]&lt;&gt;""),Main[[#This Row],[In Stock Date]]-Main[[#This Row],[Revised Due Date]],""))</f>
        <v/>
      </c>
      <c r="I412" s="139" t="s">
        <v>129</v>
      </c>
      <c r="J412" s="139" t="s">
        <v>4</v>
      </c>
      <c r="K412" s="139" t="s">
        <v>4</v>
      </c>
      <c r="L412" s="129"/>
      <c r="M412" s="114" t="str">
        <f>IF(Main[[#This Row],[Tech Start Date]]&lt;1/1/1990,"",IF(Main[[#This Row],[Class]]="C",WORKDAY(Main[[#This Row],[Tech Start Date]],9),IF(Main[[#This Row],[Class]]="B", WORKDAY(Main[[#This Row],[Tech Start Date]],6),IF(Main[[#This Row],[Class]]="A",WORKDAY(Main[[#This Row],[Tech Start Date]],2),""))))</f>
        <v/>
      </c>
      <c r="N412" s="114" t="str">
        <f>IF(Main[[#This Row],[Tech Start Date]]&lt;1/1/1990,"",IF(Main[[#This Row],[Class]]="C",WORKDAY(Main[[#This Row],[Tech Start Date]],19),IF(Main[[#This Row],[Class]]="B", WORKDAY(Main[[#This Row],[Tech Start Date]],12),IF(Main[[#This Row],[Class]]="A",WORKDAY(Main[[#This Row],[Tech Start Date]],4),""))))</f>
        <v/>
      </c>
      <c r="O412" s="114" t="str">
        <f>IF(Main[[#This Row],[Tech Start Date]]&lt;1/1/1990,"",IF(Main[[#This Row],[Class]]="C",WORKDAY(Main[[#This Row],[Tech Start Date]],23),IF(Main[[#This Row],[Class]]="B", WORKDAY(Main[[#This Row],[Tech Start Date]],15),IF(Main[[#This Row],[Class]]="A",WORKDAY(Main[[#This Row],[Tech Start Date]],5),""))))</f>
        <v/>
      </c>
      <c r="P412" s="114" t="str">
        <f>IF(Main[[#This Row],[Tech Start Date]]&lt;1/1/1990,"",IF(Main[[#This Row],[Class]]="C",WORKDAY(Main[[#This Row],[Tech Start Date]],28),IF(Main[[#This Row],[Class]]="B", WORKDAY(Main[[#This Row],[Tech Start Date]],19),IF(Main[[#This Row],[Class]]="A",WORKDAY(Main[[#This Row],[Tech Start Date]],9),""))))</f>
        <v/>
      </c>
      <c r="Q412" s="129">
        <v>40344</v>
      </c>
      <c r="R412" s="129"/>
      <c r="S412" s="139" t="s">
        <v>11</v>
      </c>
      <c r="T412" s="115" t="s">
        <v>4</v>
      </c>
      <c r="U412" s="139" t="s">
        <v>14</v>
      </c>
      <c r="V412" s="139" t="s">
        <v>1914</v>
      </c>
      <c r="W412" s="139" t="s">
        <v>1919</v>
      </c>
      <c r="X412" s="139" t="s">
        <v>2854</v>
      </c>
      <c r="Y412" s="112" t="s">
        <v>4</v>
      </c>
      <c r="Z412" s="112" t="s">
        <v>4</v>
      </c>
      <c r="AA412" s="139" t="s">
        <v>2854</v>
      </c>
    </row>
    <row r="413" spans="1:27" ht="17.25" customHeight="1">
      <c r="A413" s="69" t="str">
        <f>IF(priority(Main[[#This Row],[Comments]])&lt;&gt;0, priority(Main[[#This Row],[Comments]]),"")</f>
        <v/>
      </c>
      <c r="B413" s="63" t="s">
        <v>1385</v>
      </c>
      <c r="C413" s="148" t="s">
        <v>4</v>
      </c>
      <c r="D413" s="113" t="s">
        <v>2359</v>
      </c>
      <c r="E413" s="129">
        <v>40407.653564814813</v>
      </c>
      <c r="F413" s="129"/>
      <c r="G413" s="69" t="str">
        <f>IF(stdProdLT(Main[[#This Row],[Comments]])=0.1,"N/A",IF(stdProdLT(Main[[#This Row],[Comments]])=0,"",stdProdLT(Main[[#This Row],[Comments]])))</f>
        <v/>
      </c>
      <c r="H413" s="138" t="str">
        <f>IF(Main[[#This Row],[In Stock Date]]="N/A", "N/A",IF(AND(Main[[#This Row],[In Stock Date]]&lt;&gt;"",Main[[#This Row],[Revised Due Date]]&lt;&gt;"",Main[[#This Row],[In Stock Date]]&lt;&gt;""),Main[[#This Row],[In Stock Date]]-Main[[#This Row],[Revised Due Date]],""))</f>
        <v/>
      </c>
      <c r="I413" s="139" t="s">
        <v>4</v>
      </c>
      <c r="J413" s="139" t="s">
        <v>28</v>
      </c>
      <c r="K413" s="139" t="s">
        <v>4</v>
      </c>
      <c r="L413" s="129"/>
      <c r="M413" s="114" t="str">
        <f>IF(Main[[#This Row],[Tech Start Date]]&lt;1/1/1990,"",IF(Main[[#This Row],[Class]]="C",WORKDAY(Main[[#This Row],[Tech Start Date]],9),IF(Main[[#This Row],[Class]]="B", WORKDAY(Main[[#This Row],[Tech Start Date]],6),IF(Main[[#This Row],[Class]]="A",WORKDAY(Main[[#This Row],[Tech Start Date]],2),""))))</f>
        <v/>
      </c>
      <c r="N413" s="114" t="str">
        <f>IF(Main[[#This Row],[Tech Start Date]]&lt;1/1/1990,"",IF(Main[[#This Row],[Class]]="C",WORKDAY(Main[[#This Row],[Tech Start Date]],19),IF(Main[[#This Row],[Class]]="B", WORKDAY(Main[[#This Row],[Tech Start Date]],12),IF(Main[[#This Row],[Class]]="A",WORKDAY(Main[[#This Row],[Tech Start Date]],4),""))))</f>
        <v/>
      </c>
      <c r="O413" s="114" t="str">
        <f>IF(Main[[#This Row],[Tech Start Date]]&lt;1/1/1990,"",IF(Main[[#This Row],[Class]]="C",WORKDAY(Main[[#This Row],[Tech Start Date]],23),IF(Main[[#This Row],[Class]]="B", WORKDAY(Main[[#This Row],[Tech Start Date]],15),IF(Main[[#This Row],[Class]]="A",WORKDAY(Main[[#This Row],[Tech Start Date]],5),""))))</f>
        <v/>
      </c>
      <c r="P413" s="114" t="str">
        <f>IF(Main[[#This Row],[Tech Start Date]]&lt;1/1/1990,"",IF(Main[[#This Row],[Class]]="C",WORKDAY(Main[[#This Row],[Tech Start Date]],28),IF(Main[[#This Row],[Class]]="B", WORKDAY(Main[[#This Row],[Tech Start Date]],19),IF(Main[[#This Row],[Class]]="A",WORKDAY(Main[[#This Row],[Tech Start Date]],9),""))))</f>
        <v/>
      </c>
      <c r="Q413" s="129"/>
      <c r="R413" s="129"/>
      <c r="S413" s="139" t="s">
        <v>6</v>
      </c>
      <c r="T413" s="115" t="s">
        <v>4</v>
      </c>
      <c r="U413" s="139" t="s">
        <v>7</v>
      </c>
      <c r="V413" s="139" t="s">
        <v>1914</v>
      </c>
      <c r="W413" s="139" t="s">
        <v>1916</v>
      </c>
      <c r="X413" s="139" t="s">
        <v>877</v>
      </c>
      <c r="Y413" s="112" t="s">
        <v>3018</v>
      </c>
      <c r="Z413" s="112" t="s">
        <v>129</v>
      </c>
      <c r="AA413" s="139" t="s">
        <v>3402</v>
      </c>
    </row>
    <row r="414" spans="1:27" ht="17.25" customHeight="1">
      <c r="A414" s="69" t="str">
        <f>IF(priority(Main[[#This Row],[Comments]])&lt;&gt;0, priority(Main[[#This Row],[Comments]]),"")</f>
        <v/>
      </c>
      <c r="B414" s="63" t="s">
        <v>1210</v>
      </c>
      <c r="C414" s="148" t="s">
        <v>180</v>
      </c>
      <c r="D414" s="113" t="s">
        <v>270</v>
      </c>
      <c r="E414" s="129"/>
      <c r="F414" s="129">
        <v>40389</v>
      </c>
      <c r="G414" s="69" t="str">
        <f>IF(stdProdLT(Main[[#This Row],[Comments]])=0.1,"N/A",IF(stdProdLT(Main[[#This Row],[Comments]])=0,"",stdProdLT(Main[[#This Row],[Comments]])))</f>
        <v/>
      </c>
      <c r="H414" s="138" t="str">
        <f>IF(Main[[#This Row],[In Stock Date]]="N/A", "N/A",IF(AND(Main[[#This Row],[In Stock Date]]&lt;&gt;"",Main[[#This Row],[Revised Due Date]]&lt;&gt;"",Main[[#This Row],[In Stock Date]]&lt;&gt;""),Main[[#This Row],[In Stock Date]]-Main[[#This Row],[Revised Due Date]],""))</f>
        <v/>
      </c>
      <c r="I414" s="139" t="s">
        <v>4</v>
      </c>
      <c r="J414" s="139" t="s">
        <v>4</v>
      </c>
      <c r="K414" s="139" t="s">
        <v>4</v>
      </c>
      <c r="L414" s="129"/>
      <c r="M414" s="114" t="str">
        <f>IF(Main[[#This Row],[Tech Start Date]]&lt;1/1/1990,"",IF(Main[[#This Row],[Class]]="C",WORKDAY(Main[[#This Row],[Tech Start Date]],9),IF(Main[[#This Row],[Class]]="B", WORKDAY(Main[[#This Row],[Tech Start Date]],6),IF(Main[[#This Row],[Class]]="A",WORKDAY(Main[[#This Row],[Tech Start Date]],2),""))))</f>
        <v/>
      </c>
      <c r="N414" s="114" t="str">
        <f>IF(Main[[#This Row],[Tech Start Date]]&lt;1/1/1990,"",IF(Main[[#This Row],[Class]]="C",WORKDAY(Main[[#This Row],[Tech Start Date]],19),IF(Main[[#This Row],[Class]]="B", WORKDAY(Main[[#This Row],[Tech Start Date]],12),IF(Main[[#This Row],[Class]]="A",WORKDAY(Main[[#This Row],[Tech Start Date]],4),""))))</f>
        <v/>
      </c>
      <c r="O414" s="114" t="str">
        <f>IF(Main[[#This Row],[Tech Start Date]]&lt;1/1/1990,"",IF(Main[[#This Row],[Class]]="C",WORKDAY(Main[[#This Row],[Tech Start Date]],23),IF(Main[[#This Row],[Class]]="B", WORKDAY(Main[[#This Row],[Tech Start Date]],15),IF(Main[[#This Row],[Class]]="A",WORKDAY(Main[[#This Row],[Tech Start Date]],5),""))))</f>
        <v/>
      </c>
      <c r="P414" s="114" t="str">
        <f>IF(Main[[#This Row],[Tech Start Date]]&lt;1/1/1990,"",IF(Main[[#This Row],[Class]]="C",WORKDAY(Main[[#This Row],[Tech Start Date]],28),IF(Main[[#This Row],[Class]]="B", WORKDAY(Main[[#This Row],[Tech Start Date]],19),IF(Main[[#This Row],[Class]]="A",WORKDAY(Main[[#This Row],[Tech Start Date]],9),""))))</f>
        <v/>
      </c>
      <c r="Q414" s="129">
        <v>40298</v>
      </c>
      <c r="R414" s="129"/>
      <c r="S414" s="139" t="s">
        <v>11</v>
      </c>
      <c r="T414" s="115" t="s">
        <v>4</v>
      </c>
      <c r="U414" s="139" t="s">
        <v>14</v>
      </c>
      <c r="V414" s="139" t="s">
        <v>1914</v>
      </c>
      <c r="W414" s="139" t="s">
        <v>1920</v>
      </c>
      <c r="X414" s="139" t="s">
        <v>2824</v>
      </c>
      <c r="Y414" s="112" t="s">
        <v>2943</v>
      </c>
      <c r="Z414" s="112" t="s">
        <v>4</v>
      </c>
      <c r="AA414" s="139" t="s">
        <v>2824</v>
      </c>
    </row>
    <row r="415" spans="1:27" ht="17.25" customHeight="1">
      <c r="A415" s="69" t="str">
        <f>IF(priority(Main[[#This Row],[Comments]])&lt;&gt;0, priority(Main[[#This Row],[Comments]]),"")</f>
        <v/>
      </c>
      <c r="B415" s="63" t="s">
        <v>1212</v>
      </c>
      <c r="C415" s="148" t="s">
        <v>273</v>
      </c>
      <c r="D415" s="113" t="s">
        <v>274</v>
      </c>
      <c r="E415" s="129"/>
      <c r="F415" s="129">
        <v>40262</v>
      </c>
      <c r="G415" s="69" t="str">
        <f>IF(stdProdLT(Main[[#This Row],[Comments]])=0.1,"N/A",IF(stdProdLT(Main[[#This Row],[Comments]])=0,"",stdProdLT(Main[[#This Row],[Comments]])))</f>
        <v/>
      </c>
      <c r="H415" s="138" t="str">
        <f>IF(Main[[#This Row],[In Stock Date]]="N/A", "N/A",IF(AND(Main[[#This Row],[In Stock Date]]&lt;&gt;"",Main[[#This Row],[Revised Due Date]]&lt;&gt;"",Main[[#This Row],[In Stock Date]]&lt;&gt;""),Main[[#This Row],[In Stock Date]]-Main[[#This Row],[Revised Due Date]],""))</f>
        <v/>
      </c>
      <c r="I415" s="139" t="s">
        <v>4</v>
      </c>
      <c r="J415" s="139" t="s">
        <v>4</v>
      </c>
      <c r="K415" s="139" t="s">
        <v>4</v>
      </c>
      <c r="L415" s="129"/>
      <c r="M415" s="114" t="str">
        <f>IF(Main[[#This Row],[Tech Start Date]]&lt;1/1/1990,"",IF(Main[[#This Row],[Class]]="C",WORKDAY(Main[[#This Row],[Tech Start Date]],9),IF(Main[[#This Row],[Class]]="B", WORKDAY(Main[[#This Row],[Tech Start Date]],6),IF(Main[[#This Row],[Class]]="A",WORKDAY(Main[[#This Row],[Tech Start Date]],2),""))))</f>
        <v/>
      </c>
      <c r="N415" s="114" t="str">
        <f>IF(Main[[#This Row],[Tech Start Date]]&lt;1/1/1990,"",IF(Main[[#This Row],[Class]]="C",WORKDAY(Main[[#This Row],[Tech Start Date]],19),IF(Main[[#This Row],[Class]]="B", WORKDAY(Main[[#This Row],[Tech Start Date]],12),IF(Main[[#This Row],[Class]]="A",WORKDAY(Main[[#This Row],[Tech Start Date]],4),""))))</f>
        <v/>
      </c>
      <c r="O415" s="114" t="str">
        <f>IF(Main[[#This Row],[Tech Start Date]]&lt;1/1/1990,"",IF(Main[[#This Row],[Class]]="C",WORKDAY(Main[[#This Row],[Tech Start Date]],23),IF(Main[[#This Row],[Class]]="B", WORKDAY(Main[[#This Row],[Tech Start Date]],15),IF(Main[[#This Row],[Class]]="A",WORKDAY(Main[[#This Row],[Tech Start Date]],5),""))))</f>
        <v/>
      </c>
      <c r="P415" s="114" t="str">
        <f>IF(Main[[#This Row],[Tech Start Date]]&lt;1/1/1990,"",IF(Main[[#This Row],[Class]]="C",WORKDAY(Main[[#This Row],[Tech Start Date]],28),IF(Main[[#This Row],[Class]]="B", WORKDAY(Main[[#This Row],[Tech Start Date]],19),IF(Main[[#This Row],[Class]]="A",WORKDAY(Main[[#This Row],[Tech Start Date]],9),""))))</f>
        <v/>
      </c>
      <c r="Q415" s="129">
        <v>40242</v>
      </c>
      <c r="R415" s="129"/>
      <c r="S415" s="139" t="s">
        <v>11</v>
      </c>
      <c r="T415" s="115" t="s">
        <v>4</v>
      </c>
      <c r="U415" s="139" t="s">
        <v>14</v>
      </c>
      <c r="V415" s="139" t="s">
        <v>1924</v>
      </c>
      <c r="W415" s="139" t="s">
        <v>1918</v>
      </c>
      <c r="X415" s="139" t="s">
        <v>2868</v>
      </c>
      <c r="Y415" s="112" t="s">
        <v>3012</v>
      </c>
      <c r="Z415" s="112" t="s">
        <v>4</v>
      </c>
      <c r="AA415" s="139" t="s">
        <v>2868</v>
      </c>
    </row>
    <row r="416" spans="1:27" ht="17.25" customHeight="1">
      <c r="A416" s="69" t="str">
        <f>IF(priority(Main[[#This Row],[Comments]])&lt;&gt;0, priority(Main[[#This Row],[Comments]]),"")</f>
        <v/>
      </c>
      <c r="B416" s="63" t="s">
        <v>1213</v>
      </c>
      <c r="C416" s="148" t="s">
        <v>275</v>
      </c>
      <c r="D416" s="113" t="s">
        <v>276</v>
      </c>
      <c r="E416" s="129"/>
      <c r="F416" s="129">
        <v>40186</v>
      </c>
      <c r="G416" s="69" t="str">
        <f>IF(stdProdLT(Main[[#This Row],[Comments]])=0.1,"N/A",IF(stdProdLT(Main[[#This Row],[Comments]])=0,"",stdProdLT(Main[[#This Row],[Comments]])))</f>
        <v/>
      </c>
      <c r="H416" s="138" t="str">
        <f>IF(Main[[#This Row],[In Stock Date]]="N/A", "N/A",IF(AND(Main[[#This Row],[In Stock Date]]&lt;&gt;"",Main[[#This Row],[Revised Due Date]]&lt;&gt;"",Main[[#This Row],[In Stock Date]]&lt;&gt;""),Main[[#This Row],[In Stock Date]]-Main[[#This Row],[Revised Due Date]],""))</f>
        <v/>
      </c>
      <c r="I416" s="139" t="s">
        <v>4</v>
      </c>
      <c r="J416" s="139" t="s">
        <v>4</v>
      </c>
      <c r="K416" s="140" t="s">
        <v>4</v>
      </c>
      <c r="L416" s="129"/>
      <c r="M416" s="114" t="str">
        <f>IF(Main[[#This Row],[Tech Start Date]]&lt;1/1/1990,"",IF(Main[[#This Row],[Class]]="C",WORKDAY(Main[[#This Row],[Tech Start Date]],9),IF(Main[[#This Row],[Class]]="B", WORKDAY(Main[[#This Row],[Tech Start Date]],6),IF(Main[[#This Row],[Class]]="A",WORKDAY(Main[[#This Row],[Tech Start Date]],2),""))))</f>
        <v/>
      </c>
      <c r="N416" s="114" t="str">
        <f>IF(Main[[#This Row],[Tech Start Date]]&lt;1/1/1990,"",IF(Main[[#This Row],[Class]]="C",WORKDAY(Main[[#This Row],[Tech Start Date]],19),IF(Main[[#This Row],[Class]]="B", WORKDAY(Main[[#This Row],[Tech Start Date]],12),IF(Main[[#This Row],[Class]]="A",WORKDAY(Main[[#This Row],[Tech Start Date]],4),""))))</f>
        <v/>
      </c>
      <c r="O416" s="114" t="str">
        <f>IF(Main[[#This Row],[Tech Start Date]]&lt;1/1/1990,"",IF(Main[[#This Row],[Class]]="C",WORKDAY(Main[[#This Row],[Tech Start Date]],23),IF(Main[[#This Row],[Class]]="B", WORKDAY(Main[[#This Row],[Tech Start Date]],15),IF(Main[[#This Row],[Class]]="A",WORKDAY(Main[[#This Row],[Tech Start Date]],5),""))))</f>
        <v/>
      </c>
      <c r="P416" s="114" t="str">
        <f>IF(Main[[#This Row],[Tech Start Date]]&lt;1/1/1990,"",IF(Main[[#This Row],[Class]]="C",WORKDAY(Main[[#This Row],[Tech Start Date]],28),IF(Main[[#This Row],[Class]]="B", WORKDAY(Main[[#This Row],[Tech Start Date]],19),IF(Main[[#This Row],[Class]]="A",WORKDAY(Main[[#This Row],[Tech Start Date]],9),""))))</f>
        <v/>
      </c>
      <c r="Q416" s="129">
        <v>40196</v>
      </c>
      <c r="R416" s="129"/>
      <c r="S416" s="139" t="s">
        <v>11</v>
      </c>
      <c r="T416" s="115" t="s">
        <v>4</v>
      </c>
      <c r="U416" s="139" t="s">
        <v>14</v>
      </c>
      <c r="V416" s="139" t="s">
        <v>1917</v>
      </c>
      <c r="W416" s="139" t="s">
        <v>1922</v>
      </c>
      <c r="X416" s="139" t="s">
        <v>2842</v>
      </c>
      <c r="Y416" s="112" t="s">
        <v>4</v>
      </c>
      <c r="Z416" s="112" t="s">
        <v>4</v>
      </c>
      <c r="AA416" s="139" t="s">
        <v>2842</v>
      </c>
    </row>
    <row r="417" spans="1:27" ht="17.25" customHeight="1">
      <c r="A417" s="69" t="str">
        <f>IF(priority(Main[[#This Row],[Comments]])&lt;&gt;0, priority(Main[[#This Row],[Comments]]),"")</f>
        <v/>
      </c>
      <c r="B417" s="63" t="s">
        <v>2221</v>
      </c>
      <c r="C417" s="148" t="s">
        <v>4</v>
      </c>
      <c r="D417" s="113" t="s">
        <v>2222</v>
      </c>
      <c r="E417" s="129"/>
      <c r="F417" s="129"/>
      <c r="G417" s="69" t="str">
        <f>IF(stdProdLT(Main[[#This Row],[Comments]])=0.1,"N/A",IF(stdProdLT(Main[[#This Row],[Comments]])=0,"",stdProdLT(Main[[#This Row],[Comments]])))</f>
        <v/>
      </c>
      <c r="H417" s="138" t="str">
        <f>IF(Main[[#This Row],[In Stock Date]]="N/A", "N/A",IF(AND(Main[[#This Row],[In Stock Date]]&lt;&gt;"",Main[[#This Row],[Revised Due Date]]&lt;&gt;"",Main[[#This Row],[In Stock Date]]&lt;&gt;""),Main[[#This Row],[In Stock Date]]-Main[[#This Row],[Revised Due Date]],""))</f>
        <v/>
      </c>
      <c r="I417" s="139" t="s">
        <v>4</v>
      </c>
      <c r="J417" s="139" t="s">
        <v>4</v>
      </c>
      <c r="K417" s="139" t="s">
        <v>4</v>
      </c>
      <c r="L417" s="129"/>
      <c r="M417" s="114" t="str">
        <f>IF(Main[[#This Row],[Tech Start Date]]&lt;1/1/1990,"",IF(Main[[#This Row],[Class]]="C",WORKDAY(Main[[#This Row],[Tech Start Date]],9),IF(Main[[#This Row],[Class]]="B", WORKDAY(Main[[#This Row],[Tech Start Date]],6),IF(Main[[#This Row],[Class]]="A",WORKDAY(Main[[#This Row],[Tech Start Date]],2),""))))</f>
        <v/>
      </c>
      <c r="N417" s="114" t="str">
        <f>IF(Main[[#This Row],[Tech Start Date]]&lt;1/1/1990,"",IF(Main[[#This Row],[Class]]="C",WORKDAY(Main[[#This Row],[Tech Start Date]],19),IF(Main[[#This Row],[Class]]="B", WORKDAY(Main[[#This Row],[Tech Start Date]],12),IF(Main[[#This Row],[Class]]="A",WORKDAY(Main[[#This Row],[Tech Start Date]],4),""))))</f>
        <v/>
      </c>
      <c r="O417" s="114" t="str">
        <f>IF(Main[[#This Row],[Tech Start Date]]&lt;1/1/1990,"",IF(Main[[#This Row],[Class]]="C",WORKDAY(Main[[#This Row],[Tech Start Date]],23),IF(Main[[#This Row],[Class]]="B", WORKDAY(Main[[#This Row],[Tech Start Date]],15),IF(Main[[#This Row],[Class]]="A",WORKDAY(Main[[#This Row],[Tech Start Date]],5),""))))</f>
        <v/>
      </c>
      <c r="P417" s="114" t="str">
        <f>IF(Main[[#This Row],[Tech Start Date]]&lt;1/1/1990,"",IF(Main[[#This Row],[Class]]="C",WORKDAY(Main[[#This Row],[Tech Start Date]],28),IF(Main[[#This Row],[Class]]="B", WORKDAY(Main[[#This Row],[Tech Start Date]],19),IF(Main[[#This Row],[Class]]="A",WORKDAY(Main[[#This Row],[Tech Start Date]],9),""))))</f>
        <v/>
      </c>
      <c r="Q417" s="129">
        <v>40837</v>
      </c>
      <c r="R417" s="129"/>
      <c r="S417" s="139" t="s">
        <v>6</v>
      </c>
      <c r="T417" s="115" t="s">
        <v>4</v>
      </c>
      <c r="U417" s="139" t="s">
        <v>14</v>
      </c>
      <c r="V417" s="139" t="s">
        <v>1917</v>
      </c>
      <c r="W417" s="139" t="s">
        <v>4</v>
      </c>
      <c r="X417" s="139" t="s">
        <v>2818</v>
      </c>
      <c r="Y417" s="112" t="s">
        <v>2929</v>
      </c>
      <c r="Z417" s="112" t="s">
        <v>4</v>
      </c>
      <c r="AA417" s="139" t="s">
        <v>2818</v>
      </c>
    </row>
    <row r="418" spans="1:27" ht="17.25" customHeight="1">
      <c r="A418" s="69" t="str">
        <f>IF(priority(Main[[#This Row],[Comments]])&lt;&gt;0, priority(Main[[#This Row],[Comments]]),"")</f>
        <v/>
      </c>
      <c r="B418" s="63" t="s">
        <v>1405</v>
      </c>
      <c r="C418" s="148" t="s">
        <v>4</v>
      </c>
      <c r="D418" s="113" t="s">
        <v>487</v>
      </c>
      <c r="E418" s="129">
        <v>40704.65116898148</v>
      </c>
      <c r="F418" s="129"/>
      <c r="G418" s="69" t="str">
        <f>IF(stdProdLT(Main[[#This Row],[Comments]])=0.1,"N/A",IF(stdProdLT(Main[[#This Row],[Comments]])=0,"",stdProdLT(Main[[#This Row],[Comments]])))</f>
        <v/>
      </c>
      <c r="H418" s="138" t="str">
        <f>IF(Main[[#This Row],[In Stock Date]]="N/A", "N/A",IF(AND(Main[[#This Row],[In Stock Date]]&lt;&gt;"",Main[[#This Row],[Revised Due Date]]&lt;&gt;"",Main[[#This Row],[In Stock Date]]&lt;&gt;""),Main[[#This Row],[In Stock Date]]-Main[[#This Row],[Revised Due Date]],""))</f>
        <v/>
      </c>
      <c r="I418" s="139" t="s">
        <v>4</v>
      </c>
      <c r="J418" s="139" t="s">
        <v>4</v>
      </c>
      <c r="K418" s="139" t="s">
        <v>4</v>
      </c>
      <c r="L418" s="129"/>
      <c r="M418" s="114" t="str">
        <f>IF(Main[[#This Row],[Tech Start Date]]&lt;1/1/1990,"",IF(Main[[#This Row],[Class]]="C",WORKDAY(Main[[#This Row],[Tech Start Date]],9),IF(Main[[#This Row],[Class]]="B", WORKDAY(Main[[#This Row],[Tech Start Date]],6),IF(Main[[#This Row],[Class]]="A",WORKDAY(Main[[#This Row],[Tech Start Date]],2),""))))</f>
        <v/>
      </c>
      <c r="N418" s="114" t="str">
        <f>IF(Main[[#This Row],[Tech Start Date]]&lt;1/1/1990,"",IF(Main[[#This Row],[Class]]="C",WORKDAY(Main[[#This Row],[Tech Start Date]],19),IF(Main[[#This Row],[Class]]="B", WORKDAY(Main[[#This Row],[Tech Start Date]],12),IF(Main[[#This Row],[Class]]="A",WORKDAY(Main[[#This Row],[Tech Start Date]],4),""))))</f>
        <v/>
      </c>
      <c r="O418" s="114" t="str">
        <f>IF(Main[[#This Row],[Tech Start Date]]&lt;1/1/1990,"",IF(Main[[#This Row],[Class]]="C",WORKDAY(Main[[#This Row],[Tech Start Date]],23),IF(Main[[#This Row],[Class]]="B", WORKDAY(Main[[#This Row],[Tech Start Date]],15),IF(Main[[#This Row],[Class]]="A",WORKDAY(Main[[#This Row],[Tech Start Date]],5),""))))</f>
        <v/>
      </c>
      <c r="P418" s="114" t="str">
        <f>IF(Main[[#This Row],[Tech Start Date]]&lt;1/1/1990,"",IF(Main[[#This Row],[Class]]="C",WORKDAY(Main[[#This Row],[Tech Start Date]],28),IF(Main[[#This Row],[Class]]="B", WORKDAY(Main[[#This Row],[Tech Start Date]],19),IF(Main[[#This Row],[Class]]="A",WORKDAY(Main[[#This Row],[Tech Start Date]],9),""))))</f>
        <v/>
      </c>
      <c r="Q418" s="129"/>
      <c r="R418" s="129"/>
      <c r="S418" s="139" t="s">
        <v>6</v>
      </c>
      <c r="T418" s="115" t="s">
        <v>4</v>
      </c>
      <c r="U418" s="139" t="s">
        <v>29</v>
      </c>
      <c r="V418" s="139" t="s">
        <v>1914</v>
      </c>
      <c r="W418" s="139" t="s">
        <v>1918</v>
      </c>
      <c r="X418" s="139" t="s">
        <v>399</v>
      </c>
      <c r="Y418" s="112" t="s">
        <v>4</v>
      </c>
      <c r="Z418" s="112" t="s">
        <v>4</v>
      </c>
      <c r="AA418" s="139" t="s">
        <v>3378</v>
      </c>
    </row>
    <row r="419" spans="1:27" ht="17.25" customHeight="1">
      <c r="A419" s="69" t="str">
        <f>IF(priority(Main[[#This Row],[Comments]])&lt;&gt;0, priority(Main[[#This Row],[Comments]]),"")</f>
        <v/>
      </c>
      <c r="B419" s="63" t="s">
        <v>1214</v>
      </c>
      <c r="C419" s="148" t="s">
        <v>4</v>
      </c>
      <c r="D419" s="113" t="s">
        <v>281</v>
      </c>
      <c r="E419" s="129">
        <v>40297.413148148145</v>
      </c>
      <c r="F419" s="129"/>
      <c r="G419" s="69" t="str">
        <f>IF(stdProdLT(Main[[#This Row],[Comments]])=0.1,"N/A",IF(stdProdLT(Main[[#This Row],[Comments]])=0,"",stdProdLT(Main[[#This Row],[Comments]])))</f>
        <v/>
      </c>
      <c r="H419" s="138" t="str">
        <f>IF(Main[[#This Row],[In Stock Date]]="N/A", "N/A",IF(AND(Main[[#This Row],[In Stock Date]]&lt;&gt;"",Main[[#This Row],[Revised Due Date]]&lt;&gt;"",Main[[#This Row],[In Stock Date]]&lt;&gt;""),Main[[#This Row],[In Stock Date]]-Main[[#This Row],[Revised Due Date]],""))</f>
        <v/>
      </c>
      <c r="I419" s="139" t="s">
        <v>4</v>
      </c>
      <c r="J419" s="139" t="s">
        <v>4</v>
      </c>
      <c r="K419" s="139" t="s">
        <v>4</v>
      </c>
      <c r="L419" s="129"/>
      <c r="M419" s="114" t="str">
        <f>IF(Main[[#This Row],[Tech Start Date]]&lt;1/1/1990,"",IF(Main[[#This Row],[Class]]="C",WORKDAY(Main[[#This Row],[Tech Start Date]],9),IF(Main[[#This Row],[Class]]="B", WORKDAY(Main[[#This Row],[Tech Start Date]],6),IF(Main[[#This Row],[Class]]="A",WORKDAY(Main[[#This Row],[Tech Start Date]],2),""))))</f>
        <v/>
      </c>
      <c r="N419" s="114" t="str">
        <f>IF(Main[[#This Row],[Tech Start Date]]&lt;1/1/1990,"",IF(Main[[#This Row],[Class]]="C",WORKDAY(Main[[#This Row],[Tech Start Date]],19),IF(Main[[#This Row],[Class]]="B", WORKDAY(Main[[#This Row],[Tech Start Date]],12),IF(Main[[#This Row],[Class]]="A",WORKDAY(Main[[#This Row],[Tech Start Date]],4),""))))</f>
        <v/>
      </c>
      <c r="O419" s="114" t="str">
        <f>IF(Main[[#This Row],[Tech Start Date]]&lt;1/1/1990,"",IF(Main[[#This Row],[Class]]="C",WORKDAY(Main[[#This Row],[Tech Start Date]],23),IF(Main[[#This Row],[Class]]="B", WORKDAY(Main[[#This Row],[Tech Start Date]],15),IF(Main[[#This Row],[Class]]="A",WORKDAY(Main[[#This Row],[Tech Start Date]],5),""))))</f>
        <v/>
      </c>
      <c r="P419" s="114" t="str">
        <f>IF(Main[[#This Row],[Tech Start Date]]&lt;1/1/1990,"",IF(Main[[#This Row],[Class]]="C",WORKDAY(Main[[#This Row],[Tech Start Date]],28),IF(Main[[#This Row],[Class]]="B", WORKDAY(Main[[#This Row],[Tech Start Date]],19),IF(Main[[#This Row],[Class]]="A",WORKDAY(Main[[#This Row],[Tech Start Date]],9),""))))</f>
        <v/>
      </c>
      <c r="Q419" s="129">
        <v>40319</v>
      </c>
      <c r="R419" s="129"/>
      <c r="S419" s="139" t="s">
        <v>17</v>
      </c>
      <c r="T419" s="115" t="s">
        <v>4</v>
      </c>
      <c r="U419" s="139" t="s">
        <v>29</v>
      </c>
      <c r="V419" s="139" t="s">
        <v>1915</v>
      </c>
      <c r="W419" s="139" t="s">
        <v>1918</v>
      </c>
      <c r="X419" s="139" t="s">
        <v>2862</v>
      </c>
      <c r="Y419" s="112" t="s">
        <v>4</v>
      </c>
      <c r="Z419" s="112" t="s">
        <v>4</v>
      </c>
      <c r="AA419" s="139" t="s">
        <v>2835</v>
      </c>
    </row>
    <row r="420" spans="1:27" ht="17.25" customHeight="1">
      <c r="A420" s="69" t="str">
        <f>IF(priority(Main[[#This Row],[Comments]])&lt;&gt;0, priority(Main[[#This Row],[Comments]]),"")</f>
        <v/>
      </c>
      <c r="B420" s="63" t="s">
        <v>1215</v>
      </c>
      <c r="C420" s="148" t="s">
        <v>282</v>
      </c>
      <c r="D420" s="113" t="s">
        <v>283</v>
      </c>
      <c r="E420" s="129"/>
      <c r="F420" s="129">
        <v>40391</v>
      </c>
      <c r="G420" s="69" t="str">
        <f>IF(stdProdLT(Main[[#This Row],[Comments]])=0.1,"N/A",IF(stdProdLT(Main[[#This Row],[Comments]])=0,"",stdProdLT(Main[[#This Row],[Comments]])))</f>
        <v/>
      </c>
      <c r="H420" s="138" t="str">
        <f>IF(Main[[#This Row],[In Stock Date]]="N/A", "N/A",IF(AND(Main[[#This Row],[In Stock Date]]&lt;&gt;"",Main[[#This Row],[Revised Due Date]]&lt;&gt;"",Main[[#This Row],[In Stock Date]]&lt;&gt;""),Main[[#This Row],[In Stock Date]]-Main[[#This Row],[Revised Due Date]],""))</f>
        <v/>
      </c>
      <c r="I420" s="139" t="s">
        <v>4</v>
      </c>
      <c r="J420" s="139" t="s">
        <v>4</v>
      </c>
      <c r="K420" s="139" t="s">
        <v>4</v>
      </c>
      <c r="L420" s="129"/>
      <c r="M420" s="114" t="str">
        <f>IF(Main[[#This Row],[Tech Start Date]]&lt;1/1/1990,"",IF(Main[[#This Row],[Class]]="C",WORKDAY(Main[[#This Row],[Tech Start Date]],9),IF(Main[[#This Row],[Class]]="B", WORKDAY(Main[[#This Row],[Tech Start Date]],6),IF(Main[[#This Row],[Class]]="A",WORKDAY(Main[[#This Row],[Tech Start Date]],2),""))))</f>
        <v/>
      </c>
      <c r="N420" s="114" t="str">
        <f>IF(Main[[#This Row],[Tech Start Date]]&lt;1/1/1990,"",IF(Main[[#This Row],[Class]]="C",WORKDAY(Main[[#This Row],[Tech Start Date]],19),IF(Main[[#This Row],[Class]]="B", WORKDAY(Main[[#This Row],[Tech Start Date]],12),IF(Main[[#This Row],[Class]]="A",WORKDAY(Main[[#This Row],[Tech Start Date]],4),""))))</f>
        <v/>
      </c>
      <c r="O420" s="114" t="str">
        <f>IF(Main[[#This Row],[Tech Start Date]]&lt;1/1/1990,"",IF(Main[[#This Row],[Class]]="C",WORKDAY(Main[[#This Row],[Tech Start Date]],23),IF(Main[[#This Row],[Class]]="B", WORKDAY(Main[[#This Row],[Tech Start Date]],15),IF(Main[[#This Row],[Class]]="A",WORKDAY(Main[[#This Row],[Tech Start Date]],5),""))))</f>
        <v/>
      </c>
      <c r="P420" s="114" t="str">
        <f>IF(Main[[#This Row],[Tech Start Date]]&lt;1/1/1990,"",IF(Main[[#This Row],[Class]]="C",WORKDAY(Main[[#This Row],[Tech Start Date]],28),IF(Main[[#This Row],[Class]]="B", WORKDAY(Main[[#This Row],[Tech Start Date]],19),IF(Main[[#This Row],[Class]]="A",WORKDAY(Main[[#This Row],[Tech Start Date]],9),""))))</f>
        <v/>
      </c>
      <c r="Q420" s="129">
        <v>40314</v>
      </c>
      <c r="R420" s="129"/>
      <c r="S420" s="139" t="s">
        <v>11</v>
      </c>
      <c r="T420" s="115" t="s">
        <v>4</v>
      </c>
      <c r="U420" s="139" t="s">
        <v>14</v>
      </c>
      <c r="V420" s="139" t="s">
        <v>1917</v>
      </c>
      <c r="W420" s="139" t="s">
        <v>1920</v>
      </c>
      <c r="X420" s="139" t="s">
        <v>2858</v>
      </c>
      <c r="Y420" s="112" t="s">
        <v>4</v>
      </c>
      <c r="Z420" s="112" t="s">
        <v>4</v>
      </c>
      <c r="AA420" s="139" t="s">
        <v>2858</v>
      </c>
    </row>
    <row r="421" spans="1:27" ht="17.25" customHeight="1">
      <c r="A421" s="69" t="str">
        <f>IF(priority(Main[[#This Row],[Comments]])&lt;&gt;0, priority(Main[[#This Row],[Comments]]),"")</f>
        <v/>
      </c>
      <c r="B421" s="63" t="s">
        <v>1216</v>
      </c>
      <c r="C421" s="148" t="s">
        <v>284</v>
      </c>
      <c r="D421" s="113" t="s">
        <v>285</v>
      </c>
      <c r="E421" s="129"/>
      <c r="F421" s="129"/>
      <c r="G421" s="69" t="str">
        <f>IF(stdProdLT(Main[[#This Row],[Comments]])=0.1,"N/A",IF(stdProdLT(Main[[#This Row],[Comments]])=0,"",stdProdLT(Main[[#This Row],[Comments]])))</f>
        <v/>
      </c>
      <c r="H421" s="138" t="str">
        <f>IF(Main[[#This Row],[In Stock Date]]="N/A", "N/A",IF(AND(Main[[#This Row],[In Stock Date]]&lt;&gt;"",Main[[#This Row],[Revised Due Date]]&lt;&gt;"",Main[[#This Row],[In Stock Date]]&lt;&gt;""),Main[[#This Row],[In Stock Date]]-Main[[#This Row],[Revised Due Date]],""))</f>
        <v/>
      </c>
      <c r="I421" s="139" t="s">
        <v>4</v>
      </c>
      <c r="J421" s="139" t="s">
        <v>4</v>
      </c>
      <c r="K421" s="139" t="s">
        <v>4</v>
      </c>
      <c r="L421" s="129"/>
      <c r="M421" s="114" t="str">
        <f>IF(Main[[#This Row],[Tech Start Date]]&lt;1/1/1990,"",IF(Main[[#This Row],[Class]]="C",WORKDAY(Main[[#This Row],[Tech Start Date]],9),IF(Main[[#This Row],[Class]]="B", WORKDAY(Main[[#This Row],[Tech Start Date]],6),IF(Main[[#This Row],[Class]]="A",WORKDAY(Main[[#This Row],[Tech Start Date]],2),""))))</f>
        <v/>
      </c>
      <c r="N421" s="114" t="str">
        <f>IF(Main[[#This Row],[Tech Start Date]]&lt;1/1/1990,"",IF(Main[[#This Row],[Class]]="C",WORKDAY(Main[[#This Row],[Tech Start Date]],19),IF(Main[[#This Row],[Class]]="B", WORKDAY(Main[[#This Row],[Tech Start Date]],12),IF(Main[[#This Row],[Class]]="A",WORKDAY(Main[[#This Row],[Tech Start Date]],4),""))))</f>
        <v/>
      </c>
      <c r="O421" s="114" t="str">
        <f>IF(Main[[#This Row],[Tech Start Date]]&lt;1/1/1990,"",IF(Main[[#This Row],[Class]]="C",WORKDAY(Main[[#This Row],[Tech Start Date]],23),IF(Main[[#This Row],[Class]]="B", WORKDAY(Main[[#This Row],[Tech Start Date]],15),IF(Main[[#This Row],[Class]]="A",WORKDAY(Main[[#This Row],[Tech Start Date]],5),""))))</f>
        <v/>
      </c>
      <c r="P421" s="114" t="str">
        <f>IF(Main[[#This Row],[Tech Start Date]]&lt;1/1/1990,"",IF(Main[[#This Row],[Class]]="C",WORKDAY(Main[[#This Row],[Tech Start Date]],28),IF(Main[[#This Row],[Class]]="B", WORKDAY(Main[[#This Row],[Tech Start Date]],19),IF(Main[[#This Row],[Class]]="A",WORKDAY(Main[[#This Row],[Tech Start Date]],9),""))))</f>
        <v/>
      </c>
      <c r="Q421" s="129">
        <v>40147</v>
      </c>
      <c r="R421" s="129"/>
      <c r="S421" s="139" t="s">
        <v>11</v>
      </c>
      <c r="T421" s="115" t="s">
        <v>4</v>
      </c>
      <c r="U421" s="139" t="s">
        <v>14</v>
      </c>
      <c r="V421" s="139" t="s">
        <v>1924</v>
      </c>
      <c r="W421" s="139" t="s">
        <v>1922</v>
      </c>
      <c r="X421" s="139" t="s">
        <v>2817</v>
      </c>
      <c r="Y421" s="112" t="s">
        <v>4</v>
      </c>
      <c r="Z421" s="112" t="s">
        <v>4</v>
      </c>
      <c r="AA421" s="139" t="s">
        <v>2817</v>
      </c>
    </row>
    <row r="422" spans="1:27" ht="17.25" customHeight="1">
      <c r="A422" s="69" t="str">
        <f>IF(priority(Main[[#This Row],[Comments]])&lt;&gt;0, priority(Main[[#This Row],[Comments]]),"")</f>
        <v/>
      </c>
      <c r="B422" s="63" t="s">
        <v>2075</v>
      </c>
      <c r="C422" s="148" t="s">
        <v>4</v>
      </c>
      <c r="D422" s="113" t="s">
        <v>2065</v>
      </c>
      <c r="E422" s="129"/>
      <c r="F422" s="129"/>
      <c r="G422" s="69" t="str">
        <f>IF(stdProdLT(Main[[#This Row],[Comments]])=0.1,"N/A",IF(stdProdLT(Main[[#This Row],[Comments]])=0,"",stdProdLT(Main[[#This Row],[Comments]])))</f>
        <v/>
      </c>
      <c r="H422" s="138" t="str">
        <f>IF(Main[[#This Row],[In Stock Date]]="N/A", "N/A",IF(AND(Main[[#This Row],[In Stock Date]]&lt;&gt;"",Main[[#This Row],[Revised Due Date]]&lt;&gt;"",Main[[#This Row],[In Stock Date]]&lt;&gt;""),Main[[#This Row],[In Stock Date]]-Main[[#This Row],[Revised Due Date]],""))</f>
        <v/>
      </c>
      <c r="I422" s="139" t="s">
        <v>4</v>
      </c>
      <c r="J422" s="139" t="s">
        <v>4</v>
      </c>
      <c r="K422" s="139" t="s">
        <v>4</v>
      </c>
      <c r="L422" s="129"/>
      <c r="M422" s="114" t="str">
        <f>IF(Main[[#This Row],[Tech Start Date]]&lt;1/1/1990,"",IF(Main[[#This Row],[Class]]="C",WORKDAY(Main[[#This Row],[Tech Start Date]],9),IF(Main[[#This Row],[Class]]="B", WORKDAY(Main[[#This Row],[Tech Start Date]],6),IF(Main[[#This Row],[Class]]="A",WORKDAY(Main[[#This Row],[Tech Start Date]],2),""))))</f>
        <v/>
      </c>
      <c r="N422" s="114" t="str">
        <f>IF(Main[[#This Row],[Tech Start Date]]&lt;1/1/1990,"",IF(Main[[#This Row],[Class]]="C",WORKDAY(Main[[#This Row],[Tech Start Date]],19),IF(Main[[#This Row],[Class]]="B", WORKDAY(Main[[#This Row],[Tech Start Date]],12),IF(Main[[#This Row],[Class]]="A",WORKDAY(Main[[#This Row],[Tech Start Date]],4),""))))</f>
        <v/>
      </c>
      <c r="O422" s="114" t="str">
        <f>IF(Main[[#This Row],[Tech Start Date]]&lt;1/1/1990,"",IF(Main[[#This Row],[Class]]="C",WORKDAY(Main[[#This Row],[Tech Start Date]],23),IF(Main[[#This Row],[Class]]="B", WORKDAY(Main[[#This Row],[Tech Start Date]],15),IF(Main[[#This Row],[Class]]="A",WORKDAY(Main[[#This Row],[Tech Start Date]],5),""))))</f>
        <v/>
      </c>
      <c r="P422" s="114" t="str">
        <f>IF(Main[[#This Row],[Tech Start Date]]&lt;1/1/1990,"",IF(Main[[#This Row],[Class]]="C",WORKDAY(Main[[#This Row],[Tech Start Date]],28),IF(Main[[#This Row],[Class]]="B", WORKDAY(Main[[#This Row],[Tech Start Date]],19),IF(Main[[#This Row],[Class]]="A",WORKDAY(Main[[#This Row],[Tech Start Date]],9),""))))</f>
        <v/>
      </c>
      <c r="Q422" s="129">
        <v>40798</v>
      </c>
      <c r="R422" s="129"/>
      <c r="S422" s="139" t="s">
        <v>6</v>
      </c>
      <c r="T422" s="115" t="s">
        <v>4</v>
      </c>
      <c r="U422" s="139" t="s">
        <v>12</v>
      </c>
      <c r="V422" s="139" t="s">
        <v>1917</v>
      </c>
      <c r="W422" s="139" t="s">
        <v>4</v>
      </c>
      <c r="X422" s="139" t="s">
        <v>2819</v>
      </c>
      <c r="Y422" s="112" t="s">
        <v>2932</v>
      </c>
      <c r="Z422" s="112" t="s">
        <v>4</v>
      </c>
      <c r="AA422" s="139" t="s">
        <v>2819</v>
      </c>
    </row>
    <row r="423" spans="1:27" ht="17.25" customHeight="1">
      <c r="A423" s="69" t="str">
        <f>IF(priority(Main[[#This Row],[Comments]])&lt;&gt;0, priority(Main[[#This Row],[Comments]]),"")</f>
        <v/>
      </c>
      <c r="B423" s="63" t="s">
        <v>1217</v>
      </c>
      <c r="C423" s="148" t="s">
        <v>286</v>
      </c>
      <c r="D423" s="113" t="s">
        <v>287</v>
      </c>
      <c r="E423" s="129"/>
      <c r="F423" s="129">
        <v>40421</v>
      </c>
      <c r="G423" s="69" t="str">
        <f>IF(stdProdLT(Main[[#This Row],[Comments]])=0.1,"N/A",IF(stdProdLT(Main[[#This Row],[Comments]])=0,"",stdProdLT(Main[[#This Row],[Comments]])))</f>
        <v/>
      </c>
      <c r="H423" s="138" t="str">
        <f>IF(Main[[#This Row],[In Stock Date]]="N/A", "N/A",IF(AND(Main[[#This Row],[In Stock Date]]&lt;&gt;"",Main[[#This Row],[Revised Due Date]]&lt;&gt;"",Main[[#This Row],[In Stock Date]]&lt;&gt;""),Main[[#This Row],[In Stock Date]]-Main[[#This Row],[Revised Due Date]],""))</f>
        <v/>
      </c>
      <c r="I423" s="139" t="s">
        <v>4</v>
      </c>
      <c r="J423" s="139" t="s">
        <v>4</v>
      </c>
      <c r="K423" s="139" t="s">
        <v>4</v>
      </c>
      <c r="L423" s="129"/>
      <c r="M423" s="114" t="str">
        <f>IF(Main[[#This Row],[Tech Start Date]]&lt;1/1/1990,"",IF(Main[[#This Row],[Class]]="C",WORKDAY(Main[[#This Row],[Tech Start Date]],9),IF(Main[[#This Row],[Class]]="B", WORKDAY(Main[[#This Row],[Tech Start Date]],6),IF(Main[[#This Row],[Class]]="A",WORKDAY(Main[[#This Row],[Tech Start Date]],2),""))))</f>
        <v/>
      </c>
      <c r="N423" s="114" t="str">
        <f>IF(Main[[#This Row],[Tech Start Date]]&lt;1/1/1990,"",IF(Main[[#This Row],[Class]]="C",WORKDAY(Main[[#This Row],[Tech Start Date]],19),IF(Main[[#This Row],[Class]]="B", WORKDAY(Main[[#This Row],[Tech Start Date]],12),IF(Main[[#This Row],[Class]]="A",WORKDAY(Main[[#This Row],[Tech Start Date]],4),""))))</f>
        <v/>
      </c>
      <c r="O423" s="114" t="str">
        <f>IF(Main[[#This Row],[Tech Start Date]]&lt;1/1/1990,"",IF(Main[[#This Row],[Class]]="C",WORKDAY(Main[[#This Row],[Tech Start Date]],23),IF(Main[[#This Row],[Class]]="B", WORKDAY(Main[[#This Row],[Tech Start Date]],15),IF(Main[[#This Row],[Class]]="A",WORKDAY(Main[[#This Row],[Tech Start Date]],5),""))))</f>
        <v/>
      </c>
      <c r="P423" s="114" t="str">
        <f>IF(Main[[#This Row],[Tech Start Date]]&lt;1/1/1990,"",IF(Main[[#This Row],[Class]]="C",WORKDAY(Main[[#This Row],[Tech Start Date]],28),IF(Main[[#This Row],[Class]]="B", WORKDAY(Main[[#This Row],[Tech Start Date]],19),IF(Main[[#This Row],[Class]]="A",WORKDAY(Main[[#This Row],[Tech Start Date]],9),""))))</f>
        <v/>
      </c>
      <c r="Q423" s="129">
        <v>40360</v>
      </c>
      <c r="R423" s="129"/>
      <c r="S423" s="139" t="s">
        <v>11</v>
      </c>
      <c r="T423" s="115" t="s">
        <v>4</v>
      </c>
      <c r="U423" s="139" t="s">
        <v>12</v>
      </c>
      <c r="V423" s="139" t="s">
        <v>1915</v>
      </c>
      <c r="W423" s="139" t="s">
        <v>1919</v>
      </c>
      <c r="X423" s="139" t="s">
        <v>2874</v>
      </c>
      <c r="Y423" s="112" t="s">
        <v>3019</v>
      </c>
      <c r="Z423" s="112" t="s">
        <v>4</v>
      </c>
      <c r="AA423" s="139" t="s">
        <v>2874</v>
      </c>
    </row>
    <row r="424" spans="1:27" ht="17.25" customHeight="1">
      <c r="A424" s="69" t="str">
        <f>IF(priority(Main[[#This Row],[Comments]])&lt;&gt;0, priority(Main[[#This Row],[Comments]]),"")</f>
        <v/>
      </c>
      <c r="B424" s="63" t="s">
        <v>1424</v>
      </c>
      <c r="C424" s="148" t="s">
        <v>4</v>
      </c>
      <c r="D424" s="113" t="s">
        <v>1951</v>
      </c>
      <c r="E424" s="129"/>
      <c r="F424" s="129"/>
      <c r="G424" s="69" t="str">
        <f>IF(stdProdLT(Main[[#This Row],[Comments]])=0.1,"N/A",IF(stdProdLT(Main[[#This Row],[Comments]])=0,"",stdProdLT(Main[[#This Row],[Comments]])))</f>
        <v/>
      </c>
      <c r="H424" s="138" t="str">
        <f>IF(Main[[#This Row],[In Stock Date]]="N/A", "N/A",IF(AND(Main[[#This Row],[In Stock Date]]&lt;&gt;"",Main[[#This Row],[Revised Due Date]]&lt;&gt;"",Main[[#This Row],[In Stock Date]]&lt;&gt;""),Main[[#This Row],[In Stock Date]]-Main[[#This Row],[Revised Due Date]],""))</f>
        <v/>
      </c>
      <c r="I424" s="139" t="s">
        <v>4</v>
      </c>
      <c r="J424" s="139" t="s">
        <v>4</v>
      </c>
      <c r="K424" s="139" t="s">
        <v>4</v>
      </c>
      <c r="L424" s="129"/>
      <c r="M424" s="114" t="str">
        <f>IF(Main[[#This Row],[Tech Start Date]]&lt;1/1/1990,"",IF(Main[[#This Row],[Class]]="C",WORKDAY(Main[[#This Row],[Tech Start Date]],9),IF(Main[[#This Row],[Class]]="B", WORKDAY(Main[[#This Row],[Tech Start Date]],6),IF(Main[[#This Row],[Class]]="A",WORKDAY(Main[[#This Row],[Tech Start Date]],2),""))))</f>
        <v/>
      </c>
      <c r="N424" s="114" t="str">
        <f>IF(Main[[#This Row],[Tech Start Date]]&lt;1/1/1990,"",IF(Main[[#This Row],[Class]]="C",WORKDAY(Main[[#This Row],[Tech Start Date]],19),IF(Main[[#This Row],[Class]]="B", WORKDAY(Main[[#This Row],[Tech Start Date]],12),IF(Main[[#This Row],[Class]]="A",WORKDAY(Main[[#This Row],[Tech Start Date]],4),""))))</f>
        <v/>
      </c>
      <c r="O424" s="114" t="str">
        <f>IF(Main[[#This Row],[Tech Start Date]]&lt;1/1/1990,"",IF(Main[[#This Row],[Class]]="C",WORKDAY(Main[[#This Row],[Tech Start Date]],23),IF(Main[[#This Row],[Class]]="B", WORKDAY(Main[[#This Row],[Tech Start Date]],15),IF(Main[[#This Row],[Class]]="A",WORKDAY(Main[[#This Row],[Tech Start Date]],5),""))))</f>
        <v/>
      </c>
      <c r="P424" s="114" t="str">
        <f>IF(Main[[#This Row],[Tech Start Date]]&lt;1/1/1990,"",IF(Main[[#This Row],[Class]]="C",WORKDAY(Main[[#This Row],[Tech Start Date]],28),IF(Main[[#This Row],[Class]]="B", WORKDAY(Main[[#This Row],[Tech Start Date]],19),IF(Main[[#This Row],[Class]]="A",WORKDAY(Main[[#This Row],[Tech Start Date]],9),""))))</f>
        <v/>
      </c>
      <c r="Q424" s="129"/>
      <c r="R424" s="129"/>
      <c r="S424" s="139" t="s">
        <v>6</v>
      </c>
      <c r="T424" s="115" t="s">
        <v>4</v>
      </c>
      <c r="U424" s="139" t="s">
        <v>14</v>
      </c>
      <c r="V424" s="139" t="s">
        <v>1915</v>
      </c>
      <c r="W424" s="139" t="s">
        <v>1916</v>
      </c>
      <c r="X424" s="139" t="s">
        <v>922</v>
      </c>
      <c r="Y424" s="112" t="s">
        <v>3020</v>
      </c>
      <c r="Z424" s="112" t="s">
        <v>4</v>
      </c>
      <c r="AA424" s="139" t="s">
        <v>3403</v>
      </c>
    </row>
    <row r="425" spans="1:27" ht="17.25" customHeight="1">
      <c r="A425" s="69" t="str">
        <f>IF(priority(Main[[#This Row],[Comments]])&lt;&gt;0, priority(Main[[#This Row],[Comments]]),"")</f>
        <v/>
      </c>
      <c r="B425" s="63" t="s">
        <v>1129</v>
      </c>
      <c r="C425" s="148" t="s">
        <v>4</v>
      </c>
      <c r="D425" s="113" t="s">
        <v>2360</v>
      </c>
      <c r="E425" s="129">
        <v>40574.415509259263</v>
      </c>
      <c r="F425" s="129">
        <v>40613</v>
      </c>
      <c r="G425" s="69" t="str">
        <f>IF(stdProdLT(Main[[#This Row],[Comments]])=0.1,"N/A",IF(stdProdLT(Main[[#This Row],[Comments]])=0,"",stdProdLT(Main[[#This Row],[Comments]])))</f>
        <v/>
      </c>
      <c r="H425" s="138" t="str">
        <f>IF(Main[[#This Row],[In Stock Date]]="N/A", "N/A",IF(AND(Main[[#This Row],[In Stock Date]]&lt;&gt;"",Main[[#This Row],[Revised Due Date]]&lt;&gt;"",Main[[#This Row],[In Stock Date]]&lt;&gt;""),Main[[#This Row],[In Stock Date]]-Main[[#This Row],[Revised Due Date]],""))</f>
        <v/>
      </c>
      <c r="I425" s="139" t="s">
        <v>912</v>
      </c>
      <c r="J425" s="139" t="s">
        <v>52</v>
      </c>
      <c r="K425" s="140" t="s">
        <v>1923</v>
      </c>
      <c r="L425" s="129"/>
      <c r="M425" s="114" t="str">
        <f>IF(Main[[#This Row],[Tech Start Date]]&lt;1/1/1990,"",IF(Main[[#This Row],[Class]]="C",WORKDAY(Main[[#This Row],[Tech Start Date]],9),IF(Main[[#This Row],[Class]]="B", WORKDAY(Main[[#This Row],[Tech Start Date]],6),IF(Main[[#This Row],[Class]]="A",WORKDAY(Main[[#This Row],[Tech Start Date]],2),""))))</f>
        <v/>
      </c>
      <c r="N425" s="114" t="str">
        <f>IF(Main[[#This Row],[Tech Start Date]]&lt;1/1/1990,"",IF(Main[[#This Row],[Class]]="C",WORKDAY(Main[[#This Row],[Tech Start Date]],19),IF(Main[[#This Row],[Class]]="B", WORKDAY(Main[[#This Row],[Tech Start Date]],12),IF(Main[[#This Row],[Class]]="A",WORKDAY(Main[[#This Row],[Tech Start Date]],4),""))))</f>
        <v/>
      </c>
      <c r="O425" s="114" t="str">
        <f>IF(Main[[#This Row],[Tech Start Date]]&lt;1/1/1990,"",IF(Main[[#This Row],[Class]]="C",WORKDAY(Main[[#This Row],[Tech Start Date]],23),IF(Main[[#This Row],[Class]]="B", WORKDAY(Main[[#This Row],[Tech Start Date]],15),IF(Main[[#This Row],[Class]]="A",WORKDAY(Main[[#This Row],[Tech Start Date]],5),""))))</f>
        <v/>
      </c>
      <c r="P425" s="114" t="str">
        <f>IF(Main[[#This Row],[Tech Start Date]]&lt;1/1/1990,"",IF(Main[[#This Row],[Class]]="C",WORKDAY(Main[[#This Row],[Tech Start Date]],28),IF(Main[[#This Row],[Class]]="B", WORKDAY(Main[[#This Row],[Tech Start Date]],19),IF(Main[[#This Row],[Class]]="A",WORKDAY(Main[[#This Row],[Tech Start Date]],9),""))))</f>
        <v/>
      </c>
      <c r="Q425" s="129">
        <v>40613</v>
      </c>
      <c r="R425" s="129"/>
      <c r="S425" s="139" t="s">
        <v>6</v>
      </c>
      <c r="T425" s="115" t="s">
        <v>4</v>
      </c>
      <c r="U425" s="139" t="s">
        <v>29</v>
      </c>
      <c r="V425" s="139" t="s">
        <v>1914</v>
      </c>
      <c r="W425" s="139" t="s">
        <v>1916</v>
      </c>
      <c r="X425" s="139" t="s">
        <v>2818</v>
      </c>
      <c r="Y425" s="112" t="s">
        <v>2929</v>
      </c>
      <c r="Z425" s="112" t="s">
        <v>129</v>
      </c>
      <c r="AA425" s="139" t="s">
        <v>2818</v>
      </c>
    </row>
    <row r="426" spans="1:27" ht="17.25" customHeight="1">
      <c r="A426" s="69" t="str">
        <f>IF(priority(Main[[#This Row],[Comments]])&lt;&gt;0, priority(Main[[#This Row],[Comments]]),"")</f>
        <v/>
      </c>
      <c r="B426" s="63" t="s">
        <v>2288</v>
      </c>
      <c r="C426" s="148" t="s">
        <v>4</v>
      </c>
      <c r="D426" s="113" t="s">
        <v>2365</v>
      </c>
      <c r="E426" s="129">
        <v>40813.664259259262</v>
      </c>
      <c r="F426" s="129"/>
      <c r="G426" s="69" t="str">
        <f>IF(stdProdLT(Main[[#This Row],[Comments]])=0.1,"N/A",IF(stdProdLT(Main[[#This Row],[Comments]])=0,"",stdProdLT(Main[[#This Row],[Comments]])))</f>
        <v/>
      </c>
      <c r="H426" s="138" t="str">
        <f>IF(Main[[#This Row],[In Stock Date]]="N/A", "N/A",IF(AND(Main[[#This Row],[In Stock Date]]&lt;&gt;"",Main[[#This Row],[Revised Due Date]]&lt;&gt;"",Main[[#This Row],[In Stock Date]]&lt;&gt;""),Main[[#This Row],[In Stock Date]]-Main[[#This Row],[Revised Due Date]],""))</f>
        <v/>
      </c>
      <c r="I426" s="139" t="s">
        <v>937</v>
      </c>
      <c r="J426" s="139" t="s">
        <v>4</v>
      </c>
      <c r="K426" s="139" t="s">
        <v>4</v>
      </c>
      <c r="L426" s="129"/>
      <c r="M426" s="114" t="str">
        <f>IF(Main[[#This Row],[Tech Start Date]]&lt;1/1/1990,"",IF(Main[[#This Row],[Class]]="C",WORKDAY(Main[[#This Row],[Tech Start Date]],9),IF(Main[[#This Row],[Class]]="B", WORKDAY(Main[[#This Row],[Tech Start Date]],6),IF(Main[[#This Row],[Class]]="A",WORKDAY(Main[[#This Row],[Tech Start Date]],2),""))))</f>
        <v/>
      </c>
      <c r="N426" s="114" t="str">
        <f>IF(Main[[#This Row],[Tech Start Date]]&lt;1/1/1990,"",IF(Main[[#This Row],[Class]]="C",WORKDAY(Main[[#This Row],[Tech Start Date]],19),IF(Main[[#This Row],[Class]]="B", WORKDAY(Main[[#This Row],[Tech Start Date]],12),IF(Main[[#This Row],[Class]]="A",WORKDAY(Main[[#This Row],[Tech Start Date]],4),""))))</f>
        <v/>
      </c>
      <c r="O426" s="114" t="str">
        <f>IF(Main[[#This Row],[Tech Start Date]]&lt;1/1/1990,"",IF(Main[[#This Row],[Class]]="C",WORKDAY(Main[[#This Row],[Tech Start Date]],23),IF(Main[[#This Row],[Class]]="B", WORKDAY(Main[[#This Row],[Tech Start Date]],15),IF(Main[[#This Row],[Class]]="A",WORKDAY(Main[[#This Row],[Tech Start Date]],5),""))))</f>
        <v/>
      </c>
      <c r="P426" s="114" t="str">
        <f>IF(Main[[#This Row],[Tech Start Date]]&lt;1/1/1990,"",IF(Main[[#This Row],[Class]]="C",WORKDAY(Main[[#This Row],[Tech Start Date]],28),IF(Main[[#This Row],[Class]]="B", WORKDAY(Main[[#This Row],[Tech Start Date]],19),IF(Main[[#This Row],[Class]]="A",WORKDAY(Main[[#This Row],[Tech Start Date]],9),""))))</f>
        <v/>
      </c>
      <c r="Q426" s="129"/>
      <c r="R426" s="129">
        <v>40840</v>
      </c>
      <c r="S426" s="139" t="s">
        <v>6</v>
      </c>
      <c r="T426" s="115" t="s">
        <v>4</v>
      </c>
      <c r="U426" s="139" t="s">
        <v>7</v>
      </c>
      <c r="V426" s="139" t="s">
        <v>1914</v>
      </c>
      <c r="W426" s="139" t="s">
        <v>1918</v>
      </c>
      <c r="X426" s="139" t="s">
        <v>306</v>
      </c>
      <c r="Y426" s="112" t="s">
        <v>4</v>
      </c>
      <c r="Z426" s="112" t="s">
        <v>4</v>
      </c>
      <c r="AA426" s="139" t="s">
        <v>3404</v>
      </c>
    </row>
    <row r="427" spans="1:27" ht="17.25" customHeight="1">
      <c r="A427" s="69" t="str">
        <f>IF(priority(Main[[#This Row],[Comments]])&lt;&gt;0, priority(Main[[#This Row],[Comments]]),"")</f>
        <v/>
      </c>
      <c r="B427" s="63" t="s">
        <v>1265</v>
      </c>
      <c r="C427" s="148" t="s">
        <v>4</v>
      </c>
      <c r="D427" s="113" t="s">
        <v>334</v>
      </c>
      <c r="E427" s="129"/>
      <c r="F427" s="129"/>
      <c r="G427" s="69" t="str">
        <f>IF(stdProdLT(Main[[#This Row],[Comments]])=0.1,"N/A",IF(stdProdLT(Main[[#This Row],[Comments]])=0,"",stdProdLT(Main[[#This Row],[Comments]])))</f>
        <v/>
      </c>
      <c r="H427" s="138" t="str">
        <f>IF(Main[[#This Row],[In Stock Date]]="N/A", "N/A",IF(AND(Main[[#This Row],[In Stock Date]]&lt;&gt;"",Main[[#This Row],[Revised Due Date]]&lt;&gt;"",Main[[#This Row],[In Stock Date]]&lt;&gt;""),Main[[#This Row],[In Stock Date]]-Main[[#This Row],[Revised Due Date]],""))</f>
        <v/>
      </c>
      <c r="I427" s="139" t="s">
        <v>4</v>
      </c>
      <c r="J427" s="139" t="s">
        <v>4</v>
      </c>
      <c r="K427" s="139" t="s">
        <v>4</v>
      </c>
      <c r="L427" s="129"/>
      <c r="M427" s="114" t="str">
        <f>IF(Main[[#This Row],[Tech Start Date]]&lt;1/1/1990,"",IF(Main[[#This Row],[Class]]="C",WORKDAY(Main[[#This Row],[Tech Start Date]],9),IF(Main[[#This Row],[Class]]="B", WORKDAY(Main[[#This Row],[Tech Start Date]],6),IF(Main[[#This Row],[Class]]="A",WORKDAY(Main[[#This Row],[Tech Start Date]],2),""))))</f>
        <v/>
      </c>
      <c r="N427" s="114" t="str">
        <f>IF(Main[[#This Row],[Tech Start Date]]&lt;1/1/1990,"",IF(Main[[#This Row],[Class]]="C",WORKDAY(Main[[#This Row],[Tech Start Date]],19),IF(Main[[#This Row],[Class]]="B", WORKDAY(Main[[#This Row],[Tech Start Date]],12),IF(Main[[#This Row],[Class]]="A",WORKDAY(Main[[#This Row],[Tech Start Date]],4),""))))</f>
        <v/>
      </c>
      <c r="O427" s="114" t="str">
        <f>IF(Main[[#This Row],[Tech Start Date]]&lt;1/1/1990,"",IF(Main[[#This Row],[Class]]="C",WORKDAY(Main[[#This Row],[Tech Start Date]],23),IF(Main[[#This Row],[Class]]="B", WORKDAY(Main[[#This Row],[Tech Start Date]],15),IF(Main[[#This Row],[Class]]="A",WORKDAY(Main[[#This Row],[Tech Start Date]],5),""))))</f>
        <v/>
      </c>
      <c r="P427" s="114" t="str">
        <f>IF(Main[[#This Row],[Tech Start Date]]&lt;1/1/1990,"",IF(Main[[#This Row],[Class]]="C",WORKDAY(Main[[#This Row],[Tech Start Date]],28),IF(Main[[#This Row],[Class]]="B", WORKDAY(Main[[#This Row],[Tech Start Date]],19),IF(Main[[#This Row],[Class]]="A",WORKDAY(Main[[#This Row],[Tech Start Date]],9),""))))</f>
        <v/>
      </c>
      <c r="Q427" s="129"/>
      <c r="R427" s="129"/>
      <c r="S427" s="139" t="s">
        <v>23</v>
      </c>
      <c r="T427" s="115" t="s">
        <v>4</v>
      </c>
      <c r="U427" s="139" t="s">
        <v>14</v>
      </c>
      <c r="V427" s="139" t="s">
        <v>1917</v>
      </c>
      <c r="W427" s="139" t="s">
        <v>1918</v>
      </c>
      <c r="X427" s="139" t="s">
        <v>399</v>
      </c>
      <c r="Y427" s="112" t="s">
        <v>4</v>
      </c>
      <c r="Z427" s="112" t="s">
        <v>4</v>
      </c>
      <c r="AA427" s="139" t="s">
        <v>3405</v>
      </c>
    </row>
    <row r="428" spans="1:27" ht="17.25" customHeight="1">
      <c r="A428" s="69" t="str">
        <f>IF(priority(Main[[#This Row],[Comments]])&lt;&gt;0, priority(Main[[#This Row],[Comments]]),"")</f>
        <v/>
      </c>
      <c r="B428" s="63" t="s">
        <v>1266</v>
      </c>
      <c r="C428" s="148" t="s">
        <v>31</v>
      </c>
      <c r="D428" s="113" t="s">
        <v>335</v>
      </c>
      <c r="E428" s="129"/>
      <c r="F428" s="129"/>
      <c r="G428" s="69" t="str">
        <f>IF(stdProdLT(Main[[#This Row],[Comments]])=0.1,"N/A",IF(stdProdLT(Main[[#This Row],[Comments]])=0,"",stdProdLT(Main[[#This Row],[Comments]])))</f>
        <v/>
      </c>
      <c r="H428" s="138" t="str">
        <f>IF(Main[[#This Row],[In Stock Date]]="N/A", "N/A",IF(AND(Main[[#This Row],[In Stock Date]]&lt;&gt;"",Main[[#This Row],[Revised Due Date]]&lt;&gt;"",Main[[#This Row],[In Stock Date]]&lt;&gt;""),Main[[#This Row],[In Stock Date]]-Main[[#This Row],[Revised Due Date]],""))</f>
        <v/>
      </c>
      <c r="I428" s="139" t="s">
        <v>4</v>
      </c>
      <c r="J428" s="139" t="s">
        <v>4</v>
      </c>
      <c r="K428" s="139" t="s">
        <v>4</v>
      </c>
      <c r="L428" s="129"/>
      <c r="M428" s="114" t="str">
        <f>IF(Main[[#This Row],[Tech Start Date]]&lt;1/1/1990,"",IF(Main[[#This Row],[Class]]="C",WORKDAY(Main[[#This Row],[Tech Start Date]],9),IF(Main[[#This Row],[Class]]="B", WORKDAY(Main[[#This Row],[Tech Start Date]],6),IF(Main[[#This Row],[Class]]="A",WORKDAY(Main[[#This Row],[Tech Start Date]],2),""))))</f>
        <v/>
      </c>
      <c r="N428" s="114" t="str">
        <f>IF(Main[[#This Row],[Tech Start Date]]&lt;1/1/1990,"",IF(Main[[#This Row],[Class]]="C",WORKDAY(Main[[#This Row],[Tech Start Date]],19),IF(Main[[#This Row],[Class]]="B", WORKDAY(Main[[#This Row],[Tech Start Date]],12),IF(Main[[#This Row],[Class]]="A",WORKDAY(Main[[#This Row],[Tech Start Date]],4),""))))</f>
        <v/>
      </c>
      <c r="O428" s="114" t="str">
        <f>IF(Main[[#This Row],[Tech Start Date]]&lt;1/1/1990,"",IF(Main[[#This Row],[Class]]="C",WORKDAY(Main[[#This Row],[Tech Start Date]],23),IF(Main[[#This Row],[Class]]="B", WORKDAY(Main[[#This Row],[Tech Start Date]],15),IF(Main[[#This Row],[Class]]="A",WORKDAY(Main[[#This Row],[Tech Start Date]],5),""))))</f>
        <v/>
      </c>
      <c r="P428" s="114" t="str">
        <f>IF(Main[[#This Row],[Tech Start Date]]&lt;1/1/1990,"",IF(Main[[#This Row],[Class]]="C",WORKDAY(Main[[#This Row],[Tech Start Date]],28),IF(Main[[#This Row],[Class]]="B", WORKDAY(Main[[#This Row],[Tech Start Date]],19),IF(Main[[#This Row],[Class]]="A",WORKDAY(Main[[#This Row],[Tech Start Date]],9),""))))</f>
        <v/>
      </c>
      <c r="Q428" s="129">
        <v>40318</v>
      </c>
      <c r="R428" s="129"/>
      <c r="S428" s="139" t="s">
        <v>11</v>
      </c>
      <c r="T428" s="115" t="s">
        <v>4</v>
      </c>
      <c r="U428" s="139" t="s">
        <v>14</v>
      </c>
      <c r="V428" s="139" t="s">
        <v>1917</v>
      </c>
      <c r="W428" s="139" t="s">
        <v>1916</v>
      </c>
      <c r="X428" s="139" t="s">
        <v>2830</v>
      </c>
      <c r="Y428" s="112" t="s">
        <v>4</v>
      </c>
      <c r="Z428" s="112" t="s">
        <v>4</v>
      </c>
      <c r="AA428" s="139" t="s">
        <v>2830</v>
      </c>
    </row>
    <row r="429" spans="1:27" ht="17.25" customHeight="1">
      <c r="A429" s="69" t="str">
        <f>IF(priority(Main[[#This Row],[Comments]])&lt;&gt;0, priority(Main[[#This Row],[Comments]]),"")</f>
        <v/>
      </c>
      <c r="B429" s="63" t="s">
        <v>1267</v>
      </c>
      <c r="C429" s="148" t="s">
        <v>4</v>
      </c>
      <c r="D429" s="113" t="s">
        <v>336</v>
      </c>
      <c r="E429" s="129">
        <v>40542.302245370367</v>
      </c>
      <c r="F429" s="129"/>
      <c r="G429" s="69" t="str">
        <f>IF(stdProdLT(Main[[#This Row],[Comments]])=0.1,"N/A",IF(stdProdLT(Main[[#This Row],[Comments]])=0,"",stdProdLT(Main[[#This Row],[Comments]])))</f>
        <v/>
      </c>
      <c r="H429" s="138" t="str">
        <f>IF(Main[[#This Row],[In Stock Date]]="N/A", "N/A",IF(AND(Main[[#This Row],[In Stock Date]]&lt;&gt;"",Main[[#This Row],[Revised Due Date]]&lt;&gt;"",Main[[#This Row],[In Stock Date]]&lt;&gt;""),Main[[#This Row],[In Stock Date]]-Main[[#This Row],[Revised Due Date]],""))</f>
        <v/>
      </c>
      <c r="I429" s="139" t="s">
        <v>4</v>
      </c>
      <c r="J429" s="139" t="s">
        <v>4</v>
      </c>
      <c r="K429" s="139" t="s">
        <v>1923</v>
      </c>
      <c r="L429" s="129"/>
      <c r="M429" s="114" t="str">
        <f>IF(Main[[#This Row],[Tech Start Date]]&lt;1/1/1990,"",IF(Main[[#This Row],[Class]]="C",WORKDAY(Main[[#This Row],[Tech Start Date]],9),IF(Main[[#This Row],[Class]]="B", WORKDAY(Main[[#This Row],[Tech Start Date]],6),IF(Main[[#This Row],[Class]]="A",WORKDAY(Main[[#This Row],[Tech Start Date]],2),""))))</f>
        <v/>
      </c>
      <c r="N429" s="114" t="str">
        <f>IF(Main[[#This Row],[Tech Start Date]]&lt;1/1/1990,"",IF(Main[[#This Row],[Class]]="C",WORKDAY(Main[[#This Row],[Tech Start Date]],19),IF(Main[[#This Row],[Class]]="B", WORKDAY(Main[[#This Row],[Tech Start Date]],12),IF(Main[[#This Row],[Class]]="A",WORKDAY(Main[[#This Row],[Tech Start Date]],4),""))))</f>
        <v/>
      </c>
      <c r="O429" s="114" t="str">
        <f>IF(Main[[#This Row],[Tech Start Date]]&lt;1/1/1990,"",IF(Main[[#This Row],[Class]]="C",WORKDAY(Main[[#This Row],[Tech Start Date]],23),IF(Main[[#This Row],[Class]]="B", WORKDAY(Main[[#This Row],[Tech Start Date]],15),IF(Main[[#This Row],[Class]]="A",WORKDAY(Main[[#This Row],[Tech Start Date]],5),""))))</f>
        <v/>
      </c>
      <c r="P429" s="114" t="str">
        <f>IF(Main[[#This Row],[Tech Start Date]]&lt;1/1/1990,"",IF(Main[[#This Row],[Class]]="C",WORKDAY(Main[[#This Row],[Tech Start Date]],28),IF(Main[[#This Row],[Class]]="B", WORKDAY(Main[[#This Row],[Tech Start Date]],19),IF(Main[[#This Row],[Class]]="A",WORKDAY(Main[[#This Row],[Tech Start Date]],9),""))))</f>
        <v/>
      </c>
      <c r="Q429" s="129"/>
      <c r="R429" s="129"/>
      <c r="S429" s="139" t="s">
        <v>6</v>
      </c>
      <c r="T429" s="115" t="s">
        <v>4</v>
      </c>
      <c r="U429" s="139" t="s">
        <v>29</v>
      </c>
      <c r="V429" s="139" t="s">
        <v>1914</v>
      </c>
      <c r="W429" s="139" t="s">
        <v>1918</v>
      </c>
      <c r="X429" s="139" t="s">
        <v>306</v>
      </c>
      <c r="Y429" s="112" t="s">
        <v>4</v>
      </c>
      <c r="Z429" s="112" t="s">
        <v>4</v>
      </c>
      <c r="AA429" s="139" t="s">
        <v>2868</v>
      </c>
    </row>
    <row r="430" spans="1:27" ht="17.25" customHeight="1">
      <c r="A430" s="69" t="str">
        <f>IF(priority(Main[[#This Row],[Comments]])&lt;&gt;0, priority(Main[[#This Row],[Comments]]),"")</f>
        <v/>
      </c>
      <c r="B430" s="63" t="s">
        <v>1268</v>
      </c>
      <c r="C430" s="148" t="s">
        <v>93</v>
      </c>
      <c r="D430" s="113" t="s">
        <v>337</v>
      </c>
      <c r="E430" s="129"/>
      <c r="F430" s="129">
        <v>40132</v>
      </c>
      <c r="G430" s="69" t="str">
        <f>IF(stdProdLT(Main[[#This Row],[Comments]])=0.1,"N/A",IF(stdProdLT(Main[[#This Row],[Comments]])=0,"",stdProdLT(Main[[#This Row],[Comments]])))</f>
        <v/>
      </c>
      <c r="H430" s="138" t="str">
        <f>IF(Main[[#This Row],[In Stock Date]]="N/A", "N/A",IF(AND(Main[[#This Row],[In Stock Date]]&lt;&gt;"",Main[[#This Row],[Revised Due Date]]&lt;&gt;"",Main[[#This Row],[In Stock Date]]&lt;&gt;""),Main[[#This Row],[In Stock Date]]-Main[[#This Row],[Revised Due Date]],""))</f>
        <v/>
      </c>
      <c r="I430" s="139" t="s">
        <v>4</v>
      </c>
      <c r="J430" s="139" t="s">
        <v>4</v>
      </c>
      <c r="K430" s="140" t="s">
        <v>4</v>
      </c>
      <c r="L430" s="129"/>
      <c r="M430" s="114" t="str">
        <f>IF(Main[[#This Row],[Tech Start Date]]&lt;1/1/1990,"",IF(Main[[#This Row],[Class]]="C",WORKDAY(Main[[#This Row],[Tech Start Date]],9),IF(Main[[#This Row],[Class]]="B", WORKDAY(Main[[#This Row],[Tech Start Date]],6),IF(Main[[#This Row],[Class]]="A",WORKDAY(Main[[#This Row],[Tech Start Date]],2),""))))</f>
        <v/>
      </c>
      <c r="N430" s="114" t="str">
        <f>IF(Main[[#This Row],[Tech Start Date]]&lt;1/1/1990,"",IF(Main[[#This Row],[Class]]="C",WORKDAY(Main[[#This Row],[Tech Start Date]],19),IF(Main[[#This Row],[Class]]="B", WORKDAY(Main[[#This Row],[Tech Start Date]],12),IF(Main[[#This Row],[Class]]="A",WORKDAY(Main[[#This Row],[Tech Start Date]],4),""))))</f>
        <v/>
      </c>
      <c r="O430" s="114" t="str">
        <f>IF(Main[[#This Row],[Tech Start Date]]&lt;1/1/1990,"",IF(Main[[#This Row],[Class]]="C",WORKDAY(Main[[#This Row],[Tech Start Date]],23),IF(Main[[#This Row],[Class]]="B", WORKDAY(Main[[#This Row],[Tech Start Date]],15),IF(Main[[#This Row],[Class]]="A",WORKDAY(Main[[#This Row],[Tech Start Date]],5),""))))</f>
        <v/>
      </c>
      <c r="P430" s="114" t="str">
        <f>IF(Main[[#This Row],[Tech Start Date]]&lt;1/1/1990,"",IF(Main[[#This Row],[Class]]="C",WORKDAY(Main[[#This Row],[Tech Start Date]],28),IF(Main[[#This Row],[Class]]="B", WORKDAY(Main[[#This Row],[Tech Start Date]],19),IF(Main[[#This Row],[Class]]="A",WORKDAY(Main[[#This Row],[Tech Start Date]],9),""))))</f>
        <v/>
      </c>
      <c r="Q430" s="129">
        <v>40132</v>
      </c>
      <c r="R430" s="129"/>
      <c r="S430" s="139" t="s">
        <v>11</v>
      </c>
      <c r="T430" s="115" t="s">
        <v>4</v>
      </c>
      <c r="U430" s="139" t="s">
        <v>14</v>
      </c>
      <c r="V430" s="139" t="s">
        <v>1924</v>
      </c>
      <c r="W430" s="139" t="s">
        <v>1920</v>
      </c>
      <c r="X430" s="139" t="s">
        <v>2856</v>
      </c>
      <c r="Y430" s="112" t="s">
        <v>4</v>
      </c>
      <c r="Z430" s="112" t="s">
        <v>4</v>
      </c>
      <c r="AA430" s="139" t="s">
        <v>2856</v>
      </c>
    </row>
    <row r="431" spans="1:27" ht="17.25" customHeight="1">
      <c r="A431" s="69" t="str">
        <f>IF(priority(Main[[#This Row],[Comments]])&lt;&gt;0, priority(Main[[#This Row],[Comments]]),"")</f>
        <v/>
      </c>
      <c r="B431" s="63" t="s">
        <v>1269</v>
      </c>
      <c r="C431" s="148" t="s">
        <v>4</v>
      </c>
      <c r="D431" s="113" t="s">
        <v>338</v>
      </c>
      <c r="E431" s="129"/>
      <c r="F431" s="129"/>
      <c r="G431" s="69" t="str">
        <f>IF(stdProdLT(Main[[#This Row],[Comments]])=0.1,"N/A",IF(stdProdLT(Main[[#This Row],[Comments]])=0,"",stdProdLT(Main[[#This Row],[Comments]])))</f>
        <v/>
      </c>
      <c r="H431" s="138" t="str">
        <f>IF(Main[[#This Row],[In Stock Date]]="N/A", "N/A",IF(AND(Main[[#This Row],[In Stock Date]]&lt;&gt;"",Main[[#This Row],[Revised Due Date]]&lt;&gt;"",Main[[#This Row],[In Stock Date]]&lt;&gt;""),Main[[#This Row],[In Stock Date]]-Main[[#This Row],[Revised Due Date]],""))</f>
        <v/>
      </c>
      <c r="I431" s="139" t="s">
        <v>4</v>
      </c>
      <c r="J431" s="139" t="s">
        <v>4</v>
      </c>
      <c r="K431" s="139" t="s">
        <v>4</v>
      </c>
      <c r="L431" s="129"/>
      <c r="M431" s="114" t="str">
        <f>IF(Main[[#This Row],[Tech Start Date]]&lt;1/1/1990,"",IF(Main[[#This Row],[Class]]="C",WORKDAY(Main[[#This Row],[Tech Start Date]],9),IF(Main[[#This Row],[Class]]="B", WORKDAY(Main[[#This Row],[Tech Start Date]],6),IF(Main[[#This Row],[Class]]="A",WORKDAY(Main[[#This Row],[Tech Start Date]],2),""))))</f>
        <v/>
      </c>
      <c r="N431" s="114" t="str">
        <f>IF(Main[[#This Row],[Tech Start Date]]&lt;1/1/1990,"",IF(Main[[#This Row],[Class]]="C",WORKDAY(Main[[#This Row],[Tech Start Date]],19),IF(Main[[#This Row],[Class]]="B", WORKDAY(Main[[#This Row],[Tech Start Date]],12),IF(Main[[#This Row],[Class]]="A",WORKDAY(Main[[#This Row],[Tech Start Date]],4),""))))</f>
        <v/>
      </c>
      <c r="O431" s="114" t="str">
        <f>IF(Main[[#This Row],[Tech Start Date]]&lt;1/1/1990,"",IF(Main[[#This Row],[Class]]="C",WORKDAY(Main[[#This Row],[Tech Start Date]],23),IF(Main[[#This Row],[Class]]="B", WORKDAY(Main[[#This Row],[Tech Start Date]],15),IF(Main[[#This Row],[Class]]="A",WORKDAY(Main[[#This Row],[Tech Start Date]],5),""))))</f>
        <v/>
      </c>
      <c r="P431" s="114" t="str">
        <f>IF(Main[[#This Row],[Tech Start Date]]&lt;1/1/1990,"",IF(Main[[#This Row],[Class]]="C",WORKDAY(Main[[#This Row],[Tech Start Date]],28),IF(Main[[#This Row],[Class]]="B", WORKDAY(Main[[#This Row],[Tech Start Date]],19),IF(Main[[#This Row],[Class]]="A",WORKDAY(Main[[#This Row],[Tech Start Date]],9),""))))</f>
        <v/>
      </c>
      <c r="Q431" s="129"/>
      <c r="R431" s="129"/>
      <c r="S431" s="139" t="s">
        <v>23</v>
      </c>
      <c r="T431" s="115" t="s">
        <v>4</v>
      </c>
      <c r="U431" s="139" t="s">
        <v>14</v>
      </c>
      <c r="V431" s="139" t="s">
        <v>1914</v>
      </c>
      <c r="W431" s="139" t="s">
        <v>1916</v>
      </c>
      <c r="X431" s="139" t="s">
        <v>102</v>
      </c>
      <c r="Y431" s="112" t="s">
        <v>4</v>
      </c>
      <c r="Z431" s="112" t="s">
        <v>4</v>
      </c>
      <c r="AA431" s="139" t="s">
        <v>4</v>
      </c>
    </row>
    <row r="432" spans="1:27" ht="17.25" customHeight="1">
      <c r="A432" s="69" t="str">
        <f>IF(priority(Main[[#This Row],[Comments]])&lt;&gt;0, priority(Main[[#This Row],[Comments]]),"")</f>
        <v/>
      </c>
      <c r="B432" s="63" t="s">
        <v>1270</v>
      </c>
      <c r="C432" s="148" t="s">
        <v>47</v>
      </c>
      <c r="D432" s="113" t="s">
        <v>339</v>
      </c>
      <c r="E432" s="129">
        <v>39937.597743055558</v>
      </c>
      <c r="F432" s="129"/>
      <c r="G432" s="69" t="str">
        <f>IF(stdProdLT(Main[[#This Row],[Comments]])=0.1,"N/A",IF(stdProdLT(Main[[#This Row],[Comments]])=0,"",stdProdLT(Main[[#This Row],[Comments]])))</f>
        <v/>
      </c>
      <c r="H432" s="138" t="str">
        <f>IF(Main[[#This Row],[In Stock Date]]="N/A", "N/A",IF(AND(Main[[#This Row],[In Stock Date]]&lt;&gt;"",Main[[#This Row],[Revised Due Date]]&lt;&gt;"",Main[[#This Row],[In Stock Date]]&lt;&gt;""),Main[[#This Row],[In Stock Date]]-Main[[#This Row],[Revised Due Date]],""))</f>
        <v/>
      </c>
      <c r="I432" s="139" t="s">
        <v>4</v>
      </c>
      <c r="J432" s="139" t="s">
        <v>4</v>
      </c>
      <c r="K432" s="139" t="s">
        <v>4</v>
      </c>
      <c r="L432" s="129"/>
      <c r="M432" s="114" t="str">
        <f>IF(Main[[#This Row],[Tech Start Date]]&lt;1/1/1990,"",IF(Main[[#This Row],[Class]]="C",WORKDAY(Main[[#This Row],[Tech Start Date]],9),IF(Main[[#This Row],[Class]]="B", WORKDAY(Main[[#This Row],[Tech Start Date]],6),IF(Main[[#This Row],[Class]]="A",WORKDAY(Main[[#This Row],[Tech Start Date]],2),""))))</f>
        <v/>
      </c>
      <c r="N432" s="114" t="str">
        <f>IF(Main[[#This Row],[Tech Start Date]]&lt;1/1/1990,"",IF(Main[[#This Row],[Class]]="C",WORKDAY(Main[[#This Row],[Tech Start Date]],19),IF(Main[[#This Row],[Class]]="B", WORKDAY(Main[[#This Row],[Tech Start Date]],12),IF(Main[[#This Row],[Class]]="A",WORKDAY(Main[[#This Row],[Tech Start Date]],4),""))))</f>
        <v/>
      </c>
      <c r="O432" s="114" t="str">
        <f>IF(Main[[#This Row],[Tech Start Date]]&lt;1/1/1990,"",IF(Main[[#This Row],[Class]]="C",WORKDAY(Main[[#This Row],[Tech Start Date]],23),IF(Main[[#This Row],[Class]]="B", WORKDAY(Main[[#This Row],[Tech Start Date]],15),IF(Main[[#This Row],[Class]]="A",WORKDAY(Main[[#This Row],[Tech Start Date]],5),""))))</f>
        <v/>
      </c>
      <c r="P432" s="114" t="str">
        <f>IF(Main[[#This Row],[Tech Start Date]]&lt;1/1/1990,"",IF(Main[[#This Row],[Class]]="C",WORKDAY(Main[[#This Row],[Tech Start Date]],28),IF(Main[[#This Row],[Class]]="B", WORKDAY(Main[[#This Row],[Tech Start Date]],19),IF(Main[[#This Row],[Class]]="A",WORKDAY(Main[[#This Row],[Tech Start Date]],9),""))))</f>
        <v/>
      </c>
      <c r="Q432" s="129"/>
      <c r="R432" s="129"/>
      <c r="S432" s="139" t="s">
        <v>17</v>
      </c>
      <c r="T432" s="115" t="s">
        <v>4</v>
      </c>
      <c r="U432" s="139" t="s">
        <v>7</v>
      </c>
      <c r="V432" s="139" t="s">
        <v>1917</v>
      </c>
      <c r="W432" s="139" t="s">
        <v>4</v>
      </c>
      <c r="X432" s="139" t="s">
        <v>2827</v>
      </c>
      <c r="Y432" s="112" t="s">
        <v>2948</v>
      </c>
      <c r="Z432" s="112" t="s">
        <v>4</v>
      </c>
      <c r="AA432" s="139" t="s">
        <v>2827</v>
      </c>
    </row>
    <row r="433" spans="1:27" ht="17.25" customHeight="1">
      <c r="A433" s="69" t="str">
        <f>IF(priority(Main[[#This Row],[Comments]])&lt;&gt;0, priority(Main[[#This Row],[Comments]]),"")</f>
        <v/>
      </c>
      <c r="B433" s="63" t="s">
        <v>1271</v>
      </c>
      <c r="C433" s="148" t="s">
        <v>95</v>
      </c>
      <c r="D433" s="113" t="s">
        <v>340</v>
      </c>
      <c r="E433" s="129"/>
      <c r="F433" s="129">
        <v>40195</v>
      </c>
      <c r="G433" s="69" t="str">
        <f>IF(stdProdLT(Main[[#This Row],[Comments]])=0.1,"N/A",IF(stdProdLT(Main[[#This Row],[Comments]])=0,"",stdProdLT(Main[[#This Row],[Comments]])))</f>
        <v/>
      </c>
      <c r="H433" s="138" t="str">
        <f>IF(Main[[#This Row],[In Stock Date]]="N/A", "N/A",IF(AND(Main[[#This Row],[In Stock Date]]&lt;&gt;"",Main[[#This Row],[Revised Due Date]]&lt;&gt;"",Main[[#This Row],[In Stock Date]]&lt;&gt;""),Main[[#This Row],[In Stock Date]]-Main[[#This Row],[Revised Due Date]],""))</f>
        <v/>
      </c>
      <c r="I433" s="139" t="s">
        <v>4</v>
      </c>
      <c r="J433" s="139" t="s">
        <v>4</v>
      </c>
      <c r="K433" s="139" t="s">
        <v>4</v>
      </c>
      <c r="L433" s="129"/>
      <c r="M433" s="114" t="str">
        <f>IF(Main[[#This Row],[Tech Start Date]]&lt;1/1/1990,"",IF(Main[[#This Row],[Class]]="C",WORKDAY(Main[[#This Row],[Tech Start Date]],9),IF(Main[[#This Row],[Class]]="B", WORKDAY(Main[[#This Row],[Tech Start Date]],6),IF(Main[[#This Row],[Class]]="A",WORKDAY(Main[[#This Row],[Tech Start Date]],2),""))))</f>
        <v/>
      </c>
      <c r="N433" s="114" t="str">
        <f>IF(Main[[#This Row],[Tech Start Date]]&lt;1/1/1990,"",IF(Main[[#This Row],[Class]]="C",WORKDAY(Main[[#This Row],[Tech Start Date]],19),IF(Main[[#This Row],[Class]]="B", WORKDAY(Main[[#This Row],[Tech Start Date]],12),IF(Main[[#This Row],[Class]]="A",WORKDAY(Main[[#This Row],[Tech Start Date]],4),""))))</f>
        <v/>
      </c>
      <c r="O433" s="114" t="str">
        <f>IF(Main[[#This Row],[Tech Start Date]]&lt;1/1/1990,"",IF(Main[[#This Row],[Class]]="C",WORKDAY(Main[[#This Row],[Tech Start Date]],23),IF(Main[[#This Row],[Class]]="B", WORKDAY(Main[[#This Row],[Tech Start Date]],15),IF(Main[[#This Row],[Class]]="A",WORKDAY(Main[[#This Row],[Tech Start Date]],5),""))))</f>
        <v/>
      </c>
      <c r="P433" s="114" t="str">
        <f>IF(Main[[#This Row],[Tech Start Date]]&lt;1/1/1990,"",IF(Main[[#This Row],[Class]]="C",WORKDAY(Main[[#This Row],[Tech Start Date]],28),IF(Main[[#This Row],[Class]]="B", WORKDAY(Main[[#This Row],[Tech Start Date]],19),IF(Main[[#This Row],[Class]]="A",WORKDAY(Main[[#This Row],[Tech Start Date]],9),""))))</f>
        <v/>
      </c>
      <c r="Q433" s="129">
        <v>40070</v>
      </c>
      <c r="R433" s="129"/>
      <c r="S433" s="139" t="s">
        <v>11</v>
      </c>
      <c r="T433" s="115" t="s">
        <v>4</v>
      </c>
      <c r="U433" s="139" t="s">
        <v>14</v>
      </c>
      <c r="V433" s="139" t="s">
        <v>1917</v>
      </c>
      <c r="W433" s="139" t="s">
        <v>1920</v>
      </c>
      <c r="X433" s="139" t="s">
        <v>2876</v>
      </c>
      <c r="Y433" s="112" t="s">
        <v>4</v>
      </c>
      <c r="Z433" s="112" t="s">
        <v>4</v>
      </c>
      <c r="AA433" s="139" t="s">
        <v>3406</v>
      </c>
    </row>
    <row r="434" spans="1:27" ht="17.25" customHeight="1">
      <c r="A434" s="69" t="str">
        <f>IF(priority(Main[[#This Row],[Comments]])&lt;&gt;0, priority(Main[[#This Row],[Comments]]),"")</f>
        <v/>
      </c>
      <c r="B434" s="63" t="s">
        <v>1291</v>
      </c>
      <c r="C434" s="148" t="s">
        <v>4</v>
      </c>
      <c r="D434" s="113" t="s">
        <v>342</v>
      </c>
      <c r="E434" s="129">
        <v>40704.346435185187</v>
      </c>
      <c r="F434" s="129"/>
      <c r="G434" s="69" t="str">
        <f>IF(stdProdLT(Main[[#This Row],[Comments]])=0.1,"N/A",IF(stdProdLT(Main[[#This Row],[Comments]])=0,"",stdProdLT(Main[[#This Row],[Comments]])))</f>
        <v/>
      </c>
      <c r="H434" s="138" t="str">
        <f>IF(Main[[#This Row],[In Stock Date]]="N/A", "N/A",IF(AND(Main[[#This Row],[In Stock Date]]&lt;&gt;"",Main[[#This Row],[Revised Due Date]]&lt;&gt;"",Main[[#This Row],[In Stock Date]]&lt;&gt;""),Main[[#This Row],[In Stock Date]]-Main[[#This Row],[Revised Due Date]],""))</f>
        <v/>
      </c>
      <c r="I434" s="139" t="s">
        <v>922</v>
      </c>
      <c r="J434" s="139" t="s">
        <v>28</v>
      </c>
      <c r="K434" s="139" t="s">
        <v>4</v>
      </c>
      <c r="L434" s="129"/>
      <c r="M434" s="114" t="str">
        <f>IF(Main[[#This Row],[Tech Start Date]]&lt;1/1/1990,"",IF(Main[[#This Row],[Class]]="C",WORKDAY(Main[[#This Row],[Tech Start Date]],9),IF(Main[[#This Row],[Class]]="B", WORKDAY(Main[[#This Row],[Tech Start Date]],6),IF(Main[[#This Row],[Class]]="A",WORKDAY(Main[[#This Row],[Tech Start Date]],2),""))))</f>
        <v/>
      </c>
      <c r="N434" s="114" t="str">
        <f>IF(Main[[#This Row],[Tech Start Date]]&lt;1/1/1990,"",IF(Main[[#This Row],[Class]]="C",WORKDAY(Main[[#This Row],[Tech Start Date]],19),IF(Main[[#This Row],[Class]]="B", WORKDAY(Main[[#This Row],[Tech Start Date]],12),IF(Main[[#This Row],[Class]]="A",WORKDAY(Main[[#This Row],[Tech Start Date]],4),""))))</f>
        <v/>
      </c>
      <c r="O434" s="114" t="str">
        <f>IF(Main[[#This Row],[Tech Start Date]]&lt;1/1/1990,"",IF(Main[[#This Row],[Class]]="C",WORKDAY(Main[[#This Row],[Tech Start Date]],23),IF(Main[[#This Row],[Class]]="B", WORKDAY(Main[[#This Row],[Tech Start Date]],15),IF(Main[[#This Row],[Class]]="A",WORKDAY(Main[[#This Row],[Tech Start Date]],5),""))))</f>
        <v/>
      </c>
      <c r="P434" s="114" t="str">
        <f>IF(Main[[#This Row],[Tech Start Date]]&lt;1/1/1990,"",IF(Main[[#This Row],[Class]]="C",WORKDAY(Main[[#This Row],[Tech Start Date]],28),IF(Main[[#This Row],[Class]]="B", WORKDAY(Main[[#This Row],[Tech Start Date]],19),IF(Main[[#This Row],[Class]]="A",WORKDAY(Main[[#This Row],[Tech Start Date]],9),""))))</f>
        <v/>
      </c>
      <c r="Q434" s="129"/>
      <c r="R434" s="129">
        <v>40908</v>
      </c>
      <c r="S434" s="139" t="s">
        <v>49</v>
      </c>
      <c r="T434" s="115" t="s">
        <v>4</v>
      </c>
      <c r="U434" s="139" t="s">
        <v>7</v>
      </c>
      <c r="V434" s="139" t="s">
        <v>1929</v>
      </c>
      <c r="W434" s="139" t="s">
        <v>1916</v>
      </c>
      <c r="X434" s="139" t="s">
        <v>922</v>
      </c>
      <c r="Y434" s="112" t="s">
        <v>2982</v>
      </c>
      <c r="Z434" s="112" t="s">
        <v>2211</v>
      </c>
      <c r="AA434" s="139" t="s">
        <v>922</v>
      </c>
    </row>
    <row r="435" spans="1:27" ht="17.25" customHeight="1">
      <c r="A435" s="69" t="str">
        <f>IF(priority(Main[[#This Row],[Comments]])&lt;&gt;0, priority(Main[[#This Row],[Comments]]),"")</f>
        <v/>
      </c>
      <c r="B435" s="63" t="s">
        <v>1292</v>
      </c>
      <c r="C435" s="148" t="s">
        <v>72</v>
      </c>
      <c r="D435" s="113" t="s">
        <v>343</v>
      </c>
      <c r="E435" s="129"/>
      <c r="F435" s="129">
        <v>40106</v>
      </c>
      <c r="G435" s="69" t="str">
        <f>IF(stdProdLT(Main[[#This Row],[Comments]])=0.1,"N/A",IF(stdProdLT(Main[[#This Row],[Comments]])=0,"",stdProdLT(Main[[#This Row],[Comments]])))</f>
        <v/>
      </c>
      <c r="H435" s="138" t="str">
        <f>IF(Main[[#This Row],[In Stock Date]]="N/A", "N/A",IF(AND(Main[[#This Row],[In Stock Date]]&lt;&gt;"",Main[[#This Row],[Revised Due Date]]&lt;&gt;"",Main[[#This Row],[In Stock Date]]&lt;&gt;""),Main[[#This Row],[In Stock Date]]-Main[[#This Row],[Revised Due Date]],""))</f>
        <v/>
      </c>
      <c r="I435" s="139" t="s">
        <v>4</v>
      </c>
      <c r="J435" s="139" t="s">
        <v>4</v>
      </c>
      <c r="K435" s="140" t="s">
        <v>4</v>
      </c>
      <c r="L435" s="129"/>
      <c r="M435" s="114" t="str">
        <f>IF(Main[[#This Row],[Tech Start Date]]&lt;1/1/1990,"",IF(Main[[#This Row],[Class]]="C",WORKDAY(Main[[#This Row],[Tech Start Date]],9),IF(Main[[#This Row],[Class]]="B", WORKDAY(Main[[#This Row],[Tech Start Date]],6),IF(Main[[#This Row],[Class]]="A",WORKDAY(Main[[#This Row],[Tech Start Date]],2),""))))</f>
        <v/>
      </c>
      <c r="N435" s="114" t="str">
        <f>IF(Main[[#This Row],[Tech Start Date]]&lt;1/1/1990,"",IF(Main[[#This Row],[Class]]="C",WORKDAY(Main[[#This Row],[Tech Start Date]],19),IF(Main[[#This Row],[Class]]="B", WORKDAY(Main[[#This Row],[Tech Start Date]],12),IF(Main[[#This Row],[Class]]="A",WORKDAY(Main[[#This Row],[Tech Start Date]],4),""))))</f>
        <v/>
      </c>
      <c r="O435" s="114" t="str">
        <f>IF(Main[[#This Row],[Tech Start Date]]&lt;1/1/1990,"",IF(Main[[#This Row],[Class]]="C",WORKDAY(Main[[#This Row],[Tech Start Date]],23),IF(Main[[#This Row],[Class]]="B", WORKDAY(Main[[#This Row],[Tech Start Date]],15),IF(Main[[#This Row],[Class]]="A",WORKDAY(Main[[#This Row],[Tech Start Date]],5),""))))</f>
        <v/>
      </c>
      <c r="P435" s="114" t="str">
        <f>IF(Main[[#This Row],[Tech Start Date]]&lt;1/1/1990,"",IF(Main[[#This Row],[Class]]="C",WORKDAY(Main[[#This Row],[Tech Start Date]],28),IF(Main[[#This Row],[Class]]="B", WORKDAY(Main[[#This Row],[Tech Start Date]],19),IF(Main[[#This Row],[Class]]="A",WORKDAY(Main[[#This Row],[Tech Start Date]],9),""))))</f>
        <v/>
      </c>
      <c r="Q435" s="129">
        <v>39986</v>
      </c>
      <c r="R435" s="129"/>
      <c r="S435" s="139" t="s">
        <v>11</v>
      </c>
      <c r="T435" s="115" t="s">
        <v>4</v>
      </c>
      <c r="U435" s="139" t="s">
        <v>14</v>
      </c>
      <c r="V435" s="139" t="s">
        <v>1915</v>
      </c>
      <c r="W435" s="139" t="s">
        <v>1919</v>
      </c>
      <c r="X435" s="139" t="s">
        <v>2824</v>
      </c>
      <c r="Y435" s="112" t="s">
        <v>2943</v>
      </c>
      <c r="Z435" s="112" t="s">
        <v>4</v>
      </c>
      <c r="AA435" s="139" t="s">
        <v>2824</v>
      </c>
    </row>
    <row r="436" spans="1:27" ht="17.25" customHeight="1">
      <c r="A436" s="69" t="str">
        <f>IF(priority(Main[[#This Row],[Comments]])&lt;&gt;0, priority(Main[[#This Row],[Comments]]),"")</f>
        <v/>
      </c>
      <c r="B436" s="63" t="s">
        <v>1293</v>
      </c>
      <c r="C436" s="148" t="s">
        <v>4</v>
      </c>
      <c r="D436" s="113" t="s">
        <v>344</v>
      </c>
      <c r="E436" s="129"/>
      <c r="F436" s="129"/>
      <c r="G436" s="69" t="str">
        <f>IF(stdProdLT(Main[[#This Row],[Comments]])=0.1,"N/A",IF(stdProdLT(Main[[#This Row],[Comments]])=0,"",stdProdLT(Main[[#This Row],[Comments]])))</f>
        <v/>
      </c>
      <c r="H436" s="138" t="str">
        <f>IF(Main[[#This Row],[In Stock Date]]="N/A", "N/A",IF(AND(Main[[#This Row],[In Stock Date]]&lt;&gt;"",Main[[#This Row],[Revised Due Date]]&lt;&gt;"",Main[[#This Row],[In Stock Date]]&lt;&gt;""),Main[[#This Row],[In Stock Date]]-Main[[#This Row],[Revised Due Date]],""))</f>
        <v/>
      </c>
      <c r="I436" s="139" t="s">
        <v>4</v>
      </c>
      <c r="J436" s="139" t="s">
        <v>4</v>
      </c>
      <c r="K436" s="140" t="s">
        <v>4</v>
      </c>
      <c r="L436" s="129"/>
      <c r="M436" s="114" t="str">
        <f>IF(Main[[#This Row],[Tech Start Date]]&lt;1/1/1990,"",IF(Main[[#This Row],[Class]]="C",WORKDAY(Main[[#This Row],[Tech Start Date]],9),IF(Main[[#This Row],[Class]]="B", WORKDAY(Main[[#This Row],[Tech Start Date]],6),IF(Main[[#This Row],[Class]]="A",WORKDAY(Main[[#This Row],[Tech Start Date]],2),""))))</f>
        <v/>
      </c>
      <c r="N436" s="114" t="str">
        <f>IF(Main[[#This Row],[Tech Start Date]]&lt;1/1/1990,"",IF(Main[[#This Row],[Class]]="C",WORKDAY(Main[[#This Row],[Tech Start Date]],19),IF(Main[[#This Row],[Class]]="B", WORKDAY(Main[[#This Row],[Tech Start Date]],12),IF(Main[[#This Row],[Class]]="A",WORKDAY(Main[[#This Row],[Tech Start Date]],4),""))))</f>
        <v/>
      </c>
      <c r="O436" s="114" t="str">
        <f>IF(Main[[#This Row],[Tech Start Date]]&lt;1/1/1990,"",IF(Main[[#This Row],[Class]]="C",WORKDAY(Main[[#This Row],[Tech Start Date]],23),IF(Main[[#This Row],[Class]]="B", WORKDAY(Main[[#This Row],[Tech Start Date]],15),IF(Main[[#This Row],[Class]]="A",WORKDAY(Main[[#This Row],[Tech Start Date]],5),""))))</f>
        <v/>
      </c>
      <c r="P436" s="114" t="str">
        <f>IF(Main[[#This Row],[Tech Start Date]]&lt;1/1/1990,"",IF(Main[[#This Row],[Class]]="C",WORKDAY(Main[[#This Row],[Tech Start Date]],28),IF(Main[[#This Row],[Class]]="B", WORKDAY(Main[[#This Row],[Tech Start Date]],19),IF(Main[[#This Row],[Class]]="A",WORKDAY(Main[[#This Row],[Tech Start Date]],9),""))))</f>
        <v/>
      </c>
      <c r="Q436" s="129"/>
      <c r="R436" s="129"/>
      <c r="S436" s="139" t="s">
        <v>6</v>
      </c>
      <c r="T436" s="115" t="s">
        <v>4</v>
      </c>
      <c r="U436" s="139" t="s">
        <v>12</v>
      </c>
      <c r="V436" s="139" t="s">
        <v>1914</v>
      </c>
      <c r="W436" s="139" t="s">
        <v>1918</v>
      </c>
      <c r="X436" s="139" t="s">
        <v>708</v>
      </c>
      <c r="Y436" s="112" t="s">
        <v>3022</v>
      </c>
      <c r="Z436" s="112" t="s">
        <v>4</v>
      </c>
      <c r="AA436" s="139" t="s">
        <v>3401</v>
      </c>
    </row>
    <row r="437" spans="1:27" ht="17.25" customHeight="1">
      <c r="A437" s="69" t="str">
        <f>IF(priority(Main[[#This Row],[Comments]])&lt;&gt;0, priority(Main[[#This Row],[Comments]]),"")</f>
        <v/>
      </c>
      <c r="B437" s="63" t="s">
        <v>1272</v>
      </c>
      <c r="C437" s="148" t="s">
        <v>79</v>
      </c>
      <c r="D437" s="113" t="s">
        <v>345</v>
      </c>
      <c r="E437" s="129">
        <v>40072.642395833333</v>
      </c>
      <c r="F437" s="129">
        <v>40116</v>
      </c>
      <c r="G437" s="69" t="str">
        <f>IF(stdProdLT(Main[[#This Row],[Comments]])=0.1,"N/A",IF(stdProdLT(Main[[#This Row],[Comments]])=0,"",stdProdLT(Main[[#This Row],[Comments]])))</f>
        <v/>
      </c>
      <c r="H437" s="138" t="str">
        <f>IF(Main[[#This Row],[In Stock Date]]="N/A", "N/A",IF(AND(Main[[#This Row],[In Stock Date]]&lt;&gt;"",Main[[#This Row],[Revised Due Date]]&lt;&gt;"",Main[[#This Row],[In Stock Date]]&lt;&gt;""),Main[[#This Row],[In Stock Date]]-Main[[#This Row],[Revised Due Date]],""))</f>
        <v/>
      </c>
      <c r="I437" s="139" t="s">
        <v>4</v>
      </c>
      <c r="J437" s="139" t="s">
        <v>4</v>
      </c>
      <c r="K437" s="139" t="s">
        <v>4</v>
      </c>
      <c r="L437" s="129"/>
      <c r="M437" s="114" t="str">
        <f>IF(Main[[#This Row],[Tech Start Date]]&lt;1/1/1990,"",IF(Main[[#This Row],[Class]]="C",WORKDAY(Main[[#This Row],[Tech Start Date]],9),IF(Main[[#This Row],[Class]]="B", WORKDAY(Main[[#This Row],[Tech Start Date]],6),IF(Main[[#This Row],[Class]]="A",WORKDAY(Main[[#This Row],[Tech Start Date]],2),""))))</f>
        <v/>
      </c>
      <c r="N437" s="114" t="str">
        <f>IF(Main[[#This Row],[Tech Start Date]]&lt;1/1/1990,"",IF(Main[[#This Row],[Class]]="C",WORKDAY(Main[[#This Row],[Tech Start Date]],19),IF(Main[[#This Row],[Class]]="B", WORKDAY(Main[[#This Row],[Tech Start Date]],12),IF(Main[[#This Row],[Class]]="A",WORKDAY(Main[[#This Row],[Tech Start Date]],4),""))))</f>
        <v/>
      </c>
      <c r="O437" s="114" t="str">
        <f>IF(Main[[#This Row],[Tech Start Date]]&lt;1/1/1990,"",IF(Main[[#This Row],[Class]]="C",WORKDAY(Main[[#This Row],[Tech Start Date]],23),IF(Main[[#This Row],[Class]]="B", WORKDAY(Main[[#This Row],[Tech Start Date]],15),IF(Main[[#This Row],[Class]]="A",WORKDAY(Main[[#This Row],[Tech Start Date]],5),""))))</f>
        <v/>
      </c>
      <c r="P437" s="114" t="str">
        <f>IF(Main[[#This Row],[Tech Start Date]]&lt;1/1/1990,"",IF(Main[[#This Row],[Class]]="C",WORKDAY(Main[[#This Row],[Tech Start Date]],28),IF(Main[[#This Row],[Class]]="B", WORKDAY(Main[[#This Row],[Tech Start Date]],19),IF(Main[[#This Row],[Class]]="A",WORKDAY(Main[[#This Row],[Tech Start Date]],9),""))))</f>
        <v/>
      </c>
      <c r="Q437" s="129"/>
      <c r="R437" s="129"/>
      <c r="S437" s="139" t="s">
        <v>17</v>
      </c>
      <c r="T437" s="115" t="s">
        <v>4</v>
      </c>
      <c r="U437" s="139" t="s">
        <v>7</v>
      </c>
      <c r="V437" s="139" t="s">
        <v>1914</v>
      </c>
      <c r="W437" s="139" t="s">
        <v>1918</v>
      </c>
      <c r="X437" s="139" t="s">
        <v>2861</v>
      </c>
      <c r="Y437" s="112" t="s">
        <v>2956</v>
      </c>
      <c r="Z437" s="112" t="s">
        <v>4</v>
      </c>
      <c r="AA437" s="139" t="s">
        <v>2861</v>
      </c>
    </row>
    <row r="438" spans="1:27" ht="17.25" customHeight="1">
      <c r="A438" s="69" t="str">
        <f>IF(priority(Main[[#This Row],[Comments]])&lt;&gt;0, priority(Main[[#This Row],[Comments]]),"")</f>
        <v/>
      </c>
      <c r="B438" s="63" t="s">
        <v>1273</v>
      </c>
      <c r="C438" s="148" t="s">
        <v>4</v>
      </c>
      <c r="D438" s="113" t="s">
        <v>346</v>
      </c>
      <c r="E438" s="129">
        <v>40422.66909722222</v>
      </c>
      <c r="F438" s="129"/>
      <c r="G438" s="69" t="str">
        <f>IF(stdProdLT(Main[[#This Row],[Comments]])=0.1,"N/A",IF(stdProdLT(Main[[#This Row],[Comments]])=0,"",stdProdLT(Main[[#This Row],[Comments]])))</f>
        <v/>
      </c>
      <c r="H438" s="138" t="str">
        <f>IF(Main[[#This Row],[In Stock Date]]="N/A", "N/A",IF(AND(Main[[#This Row],[In Stock Date]]&lt;&gt;"",Main[[#This Row],[Revised Due Date]]&lt;&gt;"",Main[[#This Row],[In Stock Date]]&lt;&gt;""),Main[[#This Row],[In Stock Date]]-Main[[#This Row],[Revised Due Date]],""))</f>
        <v/>
      </c>
      <c r="I438" s="139" t="s">
        <v>4</v>
      </c>
      <c r="J438" s="139" t="s">
        <v>28</v>
      </c>
      <c r="K438" s="139" t="s">
        <v>4</v>
      </c>
      <c r="L438" s="129"/>
      <c r="M438" s="114" t="str">
        <f>IF(Main[[#This Row],[Tech Start Date]]&lt;1/1/1990,"",IF(Main[[#This Row],[Class]]="C",WORKDAY(Main[[#This Row],[Tech Start Date]],9),IF(Main[[#This Row],[Class]]="B", WORKDAY(Main[[#This Row],[Tech Start Date]],6),IF(Main[[#This Row],[Class]]="A",WORKDAY(Main[[#This Row],[Tech Start Date]],2),""))))</f>
        <v/>
      </c>
      <c r="N438" s="114" t="str">
        <f>IF(Main[[#This Row],[Tech Start Date]]&lt;1/1/1990,"",IF(Main[[#This Row],[Class]]="C",WORKDAY(Main[[#This Row],[Tech Start Date]],19),IF(Main[[#This Row],[Class]]="B", WORKDAY(Main[[#This Row],[Tech Start Date]],12),IF(Main[[#This Row],[Class]]="A",WORKDAY(Main[[#This Row],[Tech Start Date]],4),""))))</f>
        <v/>
      </c>
      <c r="O438" s="114" t="str">
        <f>IF(Main[[#This Row],[Tech Start Date]]&lt;1/1/1990,"",IF(Main[[#This Row],[Class]]="C",WORKDAY(Main[[#This Row],[Tech Start Date]],23),IF(Main[[#This Row],[Class]]="B", WORKDAY(Main[[#This Row],[Tech Start Date]],15),IF(Main[[#This Row],[Class]]="A",WORKDAY(Main[[#This Row],[Tech Start Date]],5),""))))</f>
        <v/>
      </c>
      <c r="P438" s="114" t="str">
        <f>IF(Main[[#This Row],[Tech Start Date]]&lt;1/1/1990,"",IF(Main[[#This Row],[Class]]="C",WORKDAY(Main[[#This Row],[Tech Start Date]],28),IF(Main[[#This Row],[Class]]="B", WORKDAY(Main[[#This Row],[Tech Start Date]],19),IF(Main[[#This Row],[Class]]="A",WORKDAY(Main[[#This Row],[Tech Start Date]],9),""))))</f>
        <v/>
      </c>
      <c r="Q438" s="129"/>
      <c r="R438" s="129"/>
      <c r="S438" s="139" t="s">
        <v>6</v>
      </c>
      <c r="T438" s="115" t="s">
        <v>4</v>
      </c>
      <c r="U438" s="139" t="s">
        <v>29</v>
      </c>
      <c r="V438" s="139" t="s">
        <v>1914</v>
      </c>
      <c r="W438" s="139" t="s">
        <v>1918</v>
      </c>
      <c r="X438" s="139" t="s">
        <v>399</v>
      </c>
      <c r="Y438" s="112" t="s">
        <v>3023</v>
      </c>
      <c r="Z438" s="112" t="s">
        <v>129</v>
      </c>
      <c r="AA438" s="139" t="s">
        <v>3378</v>
      </c>
    </row>
    <row r="439" spans="1:27" ht="17.25" customHeight="1">
      <c r="A439" s="69" t="str">
        <f>IF(priority(Main[[#This Row],[Comments]])&lt;&gt;0, priority(Main[[#This Row],[Comments]]),"")</f>
        <v/>
      </c>
      <c r="B439" s="63" t="s">
        <v>1274</v>
      </c>
      <c r="C439" s="148" t="s">
        <v>347</v>
      </c>
      <c r="D439" s="113" t="s">
        <v>348</v>
      </c>
      <c r="E439" s="129"/>
      <c r="F439" s="129"/>
      <c r="G439" s="69" t="str">
        <f>IF(stdProdLT(Main[[#This Row],[Comments]])=0.1,"N/A",IF(stdProdLT(Main[[#This Row],[Comments]])=0,"",stdProdLT(Main[[#This Row],[Comments]])))</f>
        <v/>
      </c>
      <c r="H439" s="138" t="str">
        <f>IF(Main[[#This Row],[In Stock Date]]="N/A", "N/A",IF(AND(Main[[#This Row],[In Stock Date]]&lt;&gt;"",Main[[#This Row],[Revised Due Date]]&lt;&gt;"",Main[[#This Row],[In Stock Date]]&lt;&gt;""),Main[[#This Row],[In Stock Date]]-Main[[#This Row],[Revised Due Date]],""))</f>
        <v/>
      </c>
      <c r="I439" s="139" t="s">
        <v>4</v>
      </c>
      <c r="J439" s="139" t="s">
        <v>4</v>
      </c>
      <c r="K439" s="139" t="s">
        <v>4</v>
      </c>
      <c r="L439" s="129"/>
      <c r="M439" s="114" t="str">
        <f>IF(Main[[#This Row],[Tech Start Date]]&lt;1/1/1990,"",IF(Main[[#This Row],[Class]]="C",WORKDAY(Main[[#This Row],[Tech Start Date]],9),IF(Main[[#This Row],[Class]]="B", WORKDAY(Main[[#This Row],[Tech Start Date]],6),IF(Main[[#This Row],[Class]]="A",WORKDAY(Main[[#This Row],[Tech Start Date]],2),""))))</f>
        <v/>
      </c>
      <c r="N439" s="114" t="str">
        <f>IF(Main[[#This Row],[Tech Start Date]]&lt;1/1/1990,"",IF(Main[[#This Row],[Class]]="C",WORKDAY(Main[[#This Row],[Tech Start Date]],19),IF(Main[[#This Row],[Class]]="B", WORKDAY(Main[[#This Row],[Tech Start Date]],12),IF(Main[[#This Row],[Class]]="A",WORKDAY(Main[[#This Row],[Tech Start Date]],4),""))))</f>
        <v/>
      </c>
      <c r="O439" s="114" t="str">
        <f>IF(Main[[#This Row],[Tech Start Date]]&lt;1/1/1990,"",IF(Main[[#This Row],[Class]]="C",WORKDAY(Main[[#This Row],[Tech Start Date]],23),IF(Main[[#This Row],[Class]]="B", WORKDAY(Main[[#This Row],[Tech Start Date]],15),IF(Main[[#This Row],[Class]]="A",WORKDAY(Main[[#This Row],[Tech Start Date]],5),""))))</f>
        <v/>
      </c>
      <c r="P439" s="114" t="str">
        <f>IF(Main[[#This Row],[Tech Start Date]]&lt;1/1/1990,"",IF(Main[[#This Row],[Class]]="C",WORKDAY(Main[[#This Row],[Tech Start Date]],28),IF(Main[[#This Row],[Class]]="B", WORKDAY(Main[[#This Row],[Tech Start Date]],19),IF(Main[[#This Row],[Class]]="A",WORKDAY(Main[[#This Row],[Tech Start Date]],9),""))))</f>
        <v/>
      </c>
      <c r="Q439" s="129"/>
      <c r="R439" s="129"/>
      <c r="S439" s="139" t="s">
        <v>11</v>
      </c>
      <c r="T439" s="115" t="s">
        <v>4</v>
      </c>
      <c r="U439" s="139" t="s">
        <v>14</v>
      </c>
      <c r="V439" s="139" t="s">
        <v>1915</v>
      </c>
      <c r="W439" s="139" t="s">
        <v>1919</v>
      </c>
      <c r="X439" s="139" t="s">
        <v>306</v>
      </c>
      <c r="Y439" s="112" t="s">
        <v>2941</v>
      </c>
      <c r="Z439" s="112" t="s">
        <v>4</v>
      </c>
      <c r="AA439" s="139" t="s">
        <v>306</v>
      </c>
    </row>
    <row r="440" spans="1:27" ht="17.25" customHeight="1">
      <c r="A440" s="69" t="str">
        <f>IF(priority(Main[[#This Row],[Comments]])&lt;&gt;0, priority(Main[[#This Row],[Comments]]),"")</f>
        <v/>
      </c>
      <c r="B440" s="63" t="s">
        <v>2371</v>
      </c>
      <c r="C440" s="148" t="s">
        <v>4</v>
      </c>
      <c r="D440" s="113" t="s">
        <v>2372</v>
      </c>
      <c r="E440" s="129">
        <v>40869.35837962963</v>
      </c>
      <c r="F440" s="129"/>
      <c r="G440" s="69" t="str">
        <f>IF(stdProdLT(Main[[#This Row],[Comments]])=0.1,"N/A",IF(stdProdLT(Main[[#This Row],[Comments]])=0,"",stdProdLT(Main[[#This Row],[Comments]])))</f>
        <v/>
      </c>
      <c r="H440" s="138" t="str">
        <f>IF(Main[[#This Row],[In Stock Date]]="N/A", "N/A",IF(AND(Main[[#This Row],[In Stock Date]]&lt;&gt;"",Main[[#This Row],[Revised Due Date]]&lt;&gt;"",Main[[#This Row],[In Stock Date]]&lt;&gt;""),Main[[#This Row],[In Stock Date]]-Main[[#This Row],[Revised Due Date]],""))</f>
        <v/>
      </c>
      <c r="I440" s="139" t="s">
        <v>4</v>
      </c>
      <c r="J440" s="139" t="s">
        <v>4</v>
      </c>
      <c r="K440" s="140" t="s">
        <v>4</v>
      </c>
      <c r="L440" s="129"/>
      <c r="M440" s="114" t="str">
        <f>IF(Main[[#This Row],[Tech Start Date]]&lt;1/1/1990,"",IF(Main[[#This Row],[Class]]="C",WORKDAY(Main[[#This Row],[Tech Start Date]],9),IF(Main[[#This Row],[Class]]="B", WORKDAY(Main[[#This Row],[Tech Start Date]],6),IF(Main[[#This Row],[Class]]="A",WORKDAY(Main[[#This Row],[Tech Start Date]],2),""))))</f>
        <v/>
      </c>
      <c r="N440" s="114" t="str">
        <f>IF(Main[[#This Row],[Tech Start Date]]&lt;1/1/1990,"",IF(Main[[#This Row],[Class]]="C",WORKDAY(Main[[#This Row],[Tech Start Date]],19),IF(Main[[#This Row],[Class]]="B", WORKDAY(Main[[#This Row],[Tech Start Date]],12),IF(Main[[#This Row],[Class]]="A",WORKDAY(Main[[#This Row],[Tech Start Date]],4),""))))</f>
        <v/>
      </c>
      <c r="O440" s="114" t="str">
        <f>IF(Main[[#This Row],[Tech Start Date]]&lt;1/1/1990,"",IF(Main[[#This Row],[Class]]="C",WORKDAY(Main[[#This Row],[Tech Start Date]],23),IF(Main[[#This Row],[Class]]="B", WORKDAY(Main[[#This Row],[Tech Start Date]],15),IF(Main[[#This Row],[Class]]="A",WORKDAY(Main[[#This Row],[Tech Start Date]],5),""))))</f>
        <v/>
      </c>
      <c r="P440" s="114" t="str">
        <f>IF(Main[[#This Row],[Tech Start Date]]&lt;1/1/1990,"",IF(Main[[#This Row],[Class]]="C",WORKDAY(Main[[#This Row],[Tech Start Date]],28),IF(Main[[#This Row],[Class]]="B", WORKDAY(Main[[#This Row],[Tech Start Date]],19),IF(Main[[#This Row],[Class]]="A",WORKDAY(Main[[#This Row],[Tech Start Date]],9),""))))</f>
        <v/>
      </c>
      <c r="Q440" s="129"/>
      <c r="R440" s="129"/>
      <c r="S440" s="139" t="s">
        <v>6</v>
      </c>
      <c r="T440" s="115" t="s">
        <v>4</v>
      </c>
      <c r="U440" s="139" t="s">
        <v>29</v>
      </c>
      <c r="V440" s="139" t="s">
        <v>1915</v>
      </c>
      <c r="W440" s="139" t="s">
        <v>1916</v>
      </c>
      <c r="X440" s="139" t="s">
        <v>102</v>
      </c>
      <c r="Y440" s="112" t="s">
        <v>3024</v>
      </c>
      <c r="Z440" s="112" t="s">
        <v>4</v>
      </c>
      <c r="AA440" s="139" t="s">
        <v>3407</v>
      </c>
    </row>
    <row r="441" spans="1:27" ht="17.25" customHeight="1">
      <c r="A441" s="69" t="str">
        <f>IF(priority(Main[[#This Row],[Comments]])&lt;&gt;0, priority(Main[[#This Row],[Comments]]),"")</f>
        <v/>
      </c>
      <c r="B441" s="63" t="s">
        <v>1275</v>
      </c>
      <c r="C441" s="148" t="s">
        <v>93</v>
      </c>
      <c r="D441" s="113" t="s">
        <v>349</v>
      </c>
      <c r="E441" s="129"/>
      <c r="F441" s="129"/>
      <c r="G441" s="69" t="str">
        <f>IF(stdProdLT(Main[[#This Row],[Comments]])=0.1,"N/A",IF(stdProdLT(Main[[#This Row],[Comments]])=0,"",stdProdLT(Main[[#This Row],[Comments]])))</f>
        <v/>
      </c>
      <c r="H441" s="138" t="str">
        <f>IF(Main[[#This Row],[In Stock Date]]="N/A", "N/A",IF(AND(Main[[#This Row],[In Stock Date]]&lt;&gt;"",Main[[#This Row],[Revised Due Date]]&lt;&gt;"",Main[[#This Row],[In Stock Date]]&lt;&gt;""),Main[[#This Row],[In Stock Date]]-Main[[#This Row],[Revised Due Date]],""))</f>
        <v/>
      </c>
      <c r="I441" s="139" t="s">
        <v>4</v>
      </c>
      <c r="J441" s="139" t="s">
        <v>4</v>
      </c>
      <c r="K441" s="139" t="s">
        <v>4</v>
      </c>
      <c r="L441" s="129"/>
      <c r="M441" s="114" t="str">
        <f>IF(Main[[#This Row],[Tech Start Date]]&lt;1/1/1990,"",IF(Main[[#This Row],[Class]]="C",WORKDAY(Main[[#This Row],[Tech Start Date]],9),IF(Main[[#This Row],[Class]]="B", WORKDAY(Main[[#This Row],[Tech Start Date]],6),IF(Main[[#This Row],[Class]]="A",WORKDAY(Main[[#This Row],[Tech Start Date]],2),""))))</f>
        <v/>
      </c>
      <c r="N441" s="114" t="str">
        <f>IF(Main[[#This Row],[Tech Start Date]]&lt;1/1/1990,"",IF(Main[[#This Row],[Class]]="C",WORKDAY(Main[[#This Row],[Tech Start Date]],19),IF(Main[[#This Row],[Class]]="B", WORKDAY(Main[[#This Row],[Tech Start Date]],12),IF(Main[[#This Row],[Class]]="A",WORKDAY(Main[[#This Row],[Tech Start Date]],4),""))))</f>
        <v/>
      </c>
      <c r="O441" s="114" t="str">
        <f>IF(Main[[#This Row],[Tech Start Date]]&lt;1/1/1990,"",IF(Main[[#This Row],[Class]]="C",WORKDAY(Main[[#This Row],[Tech Start Date]],23),IF(Main[[#This Row],[Class]]="B", WORKDAY(Main[[#This Row],[Tech Start Date]],15),IF(Main[[#This Row],[Class]]="A",WORKDAY(Main[[#This Row],[Tech Start Date]],5),""))))</f>
        <v/>
      </c>
      <c r="P441" s="114" t="str">
        <f>IF(Main[[#This Row],[Tech Start Date]]&lt;1/1/1990,"",IF(Main[[#This Row],[Class]]="C",WORKDAY(Main[[#This Row],[Tech Start Date]],28),IF(Main[[#This Row],[Class]]="B", WORKDAY(Main[[#This Row],[Tech Start Date]],19),IF(Main[[#This Row],[Class]]="A",WORKDAY(Main[[#This Row],[Tech Start Date]],9),""))))</f>
        <v/>
      </c>
      <c r="Q441" s="129"/>
      <c r="R441" s="129"/>
      <c r="S441" s="139" t="s">
        <v>11</v>
      </c>
      <c r="T441" s="115" t="s">
        <v>4</v>
      </c>
      <c r="U441" s="139" t="s">
        <v>14</v>
      </c>
      <c r="V441" s="139" t="s">
        <v>1917</v>
      </c>
      <c r="W441" s="139" t="s">
        <v>1920</v>
      </c>
      <c r="X441" s="139" t="s">
        <v>2853</v>
      </c>
      <c r="Y441" s="112" t="s">
        <v>2991</v>
      </c>
      <c r="Z441" s="112" t="s">
        <v>4</v>
      </c>
      <c r="AA441" s="139" t="s">
        <v>2853</v>
      </c>
    </row>
    <row r="442" spans="1:27" ht="17.25" customHeight="1">
      <c r="A442" s="69" t="str">
        <f>IF(priority(Main[[#This Row],[Comments]])&lt;&gt;0, priority(Main[[#This Row],[Comments]]),"")</f>
        <v/>
      </c>
      <c r="B442" s="63" t="s">
        <v>1277</v>
      </c>
      <c r="C442" s="148" t="s">
        <v>4</v>
      </c>
      <c r="D442" s="113" t="s">
        <v>350</v>
      </c>
      <c r="E442" s="129"/>
      <c r="F442" s="129"/>
      <c r="G442" s="69" t="str">
        <f>IF(stdProdLT(Main[[#This Row],[Comments]])=0.1,"N/A",IF(stdProdLT(Main[[#This Row],[Comments]])=0,"",stdProdLT(Main[[#This Row],[Comments]])))</f>
        <v/>
      </c>
      <c r="H442" s="138" t="str">
        <f>IF(Main[[#This Row],[In Stock Date]]="N/A", "N/A",IF(AND(Main[[#This Row],[In Stock Date]]&lt;&gt;"",Main[[#This Row],[Revised Due Date]]&lt;&gt;"",Main[[#This Row],[In Stock Date]]&lt;&gt;""),Main[[#This Row],[In Stock Date]]-Main[[#This Row],[Revised Due Date]],""))</f>
        <v/>
      </c>
      <c r="I442" s="139" t="s">
        <v>4</v>
      </c>
      <c r="J442" s="139" t="s">
        <v>4</v>
      </c>
      <c r="K442" s="139" t="s">
        <v>4</v>
      </c>
      <c r="L442" s="129"/>
      <c r="M442" s="114" t="str">
        <f>IF(Main[[#This Row],[Tech Start Date]]&lt;1/1/1990,"",IF(Main[[#This Row],[Class]]="C",WORKDAY(Main[[#This Row],[Tech Start Date]],9),IF(Main[[#This Row],[Class]]="B", WORKDAY(Main[[#This Row],[Tech Start Date]],6),IF(Main[[#This Row],[Class]]="A",WORKDAY(Main[[#This Row],[Tech Start Date]],2),""))))</f>
        <v/>
      </c>
      <c r="N442" s="114" t="str">
        <f>IF(Main[[#This Row],[Tech Start Date]]&lt;1/1/1990,"",IF(Main[[#This Row],[Class]]="C",WORKDAY(Main[[#This Row],[Tech Start Date]],19),IF(Main[[#This Row],[Class]]="B", WORKDAY(Main[[#This Row],[Tech Start Date]],12),IF(Main[[#This Row],[Class]]="A",WORKDAY(Main[[#This Row],[Tech Start Date]],4),""))))</f>
        <v/>
      </c>
      <c r="O442" s="114" t="str">
        <f>IF(Main[[#This Row],[Tech Start Date]]&lt;1/1/1990,"",IF(Main[[#This Row],[Class]]="C",WORKDAY(Main[[#This Row],[Tech Start Date]],23),IF(Main[[#This Row],[Class]]="B", WORKDAY(Main[[#This Row],[Tech Start Date]],15),IF(Main[[#This Row],[Class]]="A",WORKDAY(Main[[#This Row],[Tech Start Date]],5),""))))</f>
        <v/>
      </c>
      <c r="P442" s="114" t="str">
        <f>IF(Main[[#This Row],[Tech Start Date]]&lt;1/1/1990,"",IF(Main[[#This Row],[Class]]="C",WORKDAY(Main[[#This Row],[Tech Start Date]],28),IF(Main[[#This Row],[Class]]="B", WORKDAY(Main[[#This Row],[Tech Start Date]],19),IF(Main[[#This Row],[Class]]="A",WORKDAY(Main[[#This Row],[Tech Start Date]],9),""))))</f>
        <v/>
      </c>
      <c r="Q442" s="129"/>
      <c r="R442" s="129"/>
      <c r="S442" s="139" t="s">
        <v>11</v>
      </c>
      <c r="T442" s="115" t="s">
        <v>4</v>
      </c>
      <c r="U442" s="139" t="s">
        <v>14</v>
      </c>
      <c r="V442" s="139" t="s">
        <v>1917</v>
      </c>
      <c r="W442" s="139" t="s">
        <v>1916</v>
      </c>
      <c r="X442" s="139" t="s">
        <v>2877</v>
      </c>
      <c r="Y442" s="112" t="s">
        <v>3025</v>
      </c>
      <c r="Z442" s="112" t="s">
        <v>4</v>
      </c>
      <c r="AA442" s="139" t="s">
        <v>2877</v>
      </c>
    </row>
    <row r="443" spans="1:27" ht="17.25" customHeight="1">
      <c r="A443" s="69" t="str">
        <f>IF(priority(Main[[#This Row],[Comments]])&lt;&gt;0, priority(Main[[#This Row],[Comments]]),"")</f>
        <v/>
      </c>
      <c r="B443" s="63" t="s">
        <v>1278</v>
      </c>
      <c r="C443" s="148" t="s">
        <v>351</v>
      </c>
      <c r="D443" s="113" t="s">
        <v>352</v>
      </c>
      <c r="E443" s="129"/>
      <c r="F443" s="129">
        <v>40452</v>
      </c>
      <c r="G443" s="69" t="str">
        <f>IF(stdProdLT(Main[[#This Row],[Comments]])=0.1,"N/A",IF(stdProdLT(Main[[#This Row],[Comments]])=0,"",stdProdLT(Main[[#This Row],[Comments]])))</f>
        <v/>
      </c>
      <c r="H443" s="138" t="str">
        <f>IF(Main[[#This Row],[In Stock Date]]="N/A", "N/A",IF(AND(Main[[#This Row],[In Stock Date]]&lt;&gt;"",Main[[#This Row],[Revised Due Date]]&lt;&gt;"",Main[[#This Row],[In Stock Date]]&lt;&gt;""),Main[[#This Row],[In Stock Date]]-Main[[#This Row],[Revised Due Date]],""))</f>
        <v/>
      </c>
      <c r="I443" s="139" t="s">
        <v>4</v>
      </c>
      <c r="J443" s="139" t="s">
        <v>4</v>
      </c>
      <c r="K443" s="139" t="s">
        <v>4</v>
      </c>
      <c r="L443" s="129"/>
      <c r="M443" s="114" t="str">
        <f>IF(Main[[#This Row],[Tech Start Date]]&lt;1/1/1990,"",IF(Main[[#This Row],[Class]]="C",WORKDAY(Main[[#This Row],[Tech Start Date]],9),IF(Main[[#This Row],[Class]]="B", WORKDAY(Main[[#This Row],[Tech Start Date]],6),IF(Main[[#This Row],[Class]]="A",WORKDAY(Main[[#This Row],[Tech Start Date]],2),""))))</f>
        <v/>
      </c>
      <c r="N443" s="114" t="str">
        <f>IF(Main[[#This Row],[Tech Start Date]]&lt;1/1/1990,"",IF(Main[[#This Row],[Class]]="C",WORKDAY(Main[[#This Row],[Tech Start Date]],19),IF(Main[[#This Row],[Class]]="B", WORKDAY(Main[[#This Row],[Tech Start Date]],12),IF(Main[[#This Row],[Class]]="A",WORKDAY(Main[[#This Row],[Tech Start Date]],4),""))))</f>
        <v/>
      </c>
      <c r="O443" s="114" t="str">
        <f>IF(Main[[#This Row],[Tech Start Date]]&lt;1/1/1990,"",IF(Main[[#This Row],[Class]]="C",WORKDAY(Main[[#This Row],[Tech Start Date]],23),IF(Main[[#This Row],[Class]]="B", WORKDAY(Main[[#This Row],[Tech Start Date]],15),IF(Main[[#This Row],[Class]]="A",WORKDAY(Main[[#This Row],[Tech Start Date]],5),""))))</f>
        <v/>
      </c>
      <c r="P443" s="114" t="str">
        <f>IF(Main[[#This Row],[Tech Start Date]]&lt;1/1/1990,"",IF(Main[[#This Row],[Class]]="C",WORKDAY(Main[[#This Row],[Tech Start Date]],28),IF(Main[[#This Row],[Class]]="B", WORKDAY(Main[[#This Row],[Tech Start Date]],19),IF(Main[[#This Row],[Class]]="A",WORKDAY(Main[[#This Row],[Tech Start Date]],9),""))))</f>
        <v/>
      </c>
      <c r="Q443" s="129">
        <v>40344</v>
      </c>
      <c r="R443" s="129"/>
      <c r="S443" s="139" t="s">
        <v>11</v>
      </c>
      <c r="T443" s="115" t="s">
        <v>4</v>
      </c>
      <c r="U443" s="139" t="s">
        <v>14</v>
      </c>
      <c r="V443" s="139" t="s">
        <v>1917</v>
      </c>
      <c r="W443" s="139" t="s">
        <v>1920</v>
      </c>
      <c r="X443" s="139" t="s">
        <v>2872</v>
      </c>
      <c r="Y443" s="112" t="s">
        <v>2996</v>
      </c>
      <c r="Z443" s="112" t="s">
        <v>530</v>
      </c>
      <c r="AA443" s="139" t="s">
        <v>2872</v>
      </c>
    </row>
    <row r="444" spans="1:27" ht="17.25" customHeight="1">
      <c r="A444" s="69" t="str">
        <f>IF(priority(Main[[#This Row],[Comments]])&lt;&gt;0, priority(Main[[#This Row],[Comments]]),"")</f>
        <v/>
      </c>
      <c r="B444" s="63" t="s">
        <v>1279</v>
      </c>
      <c r="C444" s="148" t="s">
        <v>4</v>
      </c>
      <c r="D444" s="113" t="s">
        <v>353</v>
      </c>
      <c r="E444" s="129"/>
      <c r="F444" s="129"/>
      <c r="G444" s="69" t="str">
        <f>IF(stdProdLT(Main[[#This Row],[Comments]])=0.1,"N/A",IF(stdProdLT(Main[[#This Row],[Comments]])=0,"",stdProdLT(Main[[#This Row],[Comments]])))</f>
        <v/>
      </c>
      <c r="H444" s="138" t="str">
        <f>IF(Main[[#This Row],[In Stock Date]]="N/A", "N/A",IF(AND(Main[[#This Row],[In Stock Date]]&lt;&gt;"",Main[[#This Row],[Revised Due Date]]&lt;&gt;"",Main[[#This Row],[In Stock Date]]&lt;&gt;""),Main[[#This Row],[In Stock Date]]-Main[[#This Row],[Revised Due Date]],""))</f>
        <v/>
      </c>
      <c r="I444" s="139" t="s">
        <v>4</v>
      </c>
      <c r="J444" s="139" t="s">
        <v>4</v>
      </c>
      <c r="K444" s="139" t="s">
        <v>4</v>
      </c>
      <c r="L444" s="129"/>
      <c r="M444" s="114" t="str">
        <f>IF(Main[[#This Row],[Tech Start Date]]&lt;1/1/1990,"",IF(Main[[#This Row],[Class]]="C",WORKDAY(Main[[#This Row],[Tech Start Date]],9),IF(Main[[#This Row],[Class]]="B", WORKDAY(Main[[#This Row],[Tech Start Date]],6),IF(Main[[#This Row],[Class]]="A",WORKDAY(Main[[#This Row],[Tech Start Date]],2),""))))</f>
        <v/>
      </c>
      <c r="N444" s="114" t="str">
        <f>IF(Main[[#This Row],[Tech Start Date]]&lt;1/1/1990,"",IF(Main[[#This Row],[Class]]="C",WORKDAY(Main[[#This Row],[Tech Start Date]],19),IF(Main[[#This Row],[Class]]="B", WORKDAY(Main[[#This Row],[Tech Start Date]],12),IF(Main[[#This Row],[Class]]="A",WORKDAY(Main[[#This Row],[Tech Start Date]],4),""))))</f>
        <v/>
      </c>
      <c r="O444" s="114" t="str">
        <f>IF(Main[[#This Row],[Tech Start Date]]&lt;1/1/1990,"",IF(Main[[#This Row],[Class]]="C",WORKDAY(Main[[#This Row],[Tech Start Date]],23),IF(Main[[#This Row],[Class]]="B", WORKDAY(Main[[#This Row],[Tech Start Date]],15),IF(Main[[#This Row],[Class]]="A",WORKDAY(Main[[#This Row],[Tech Start Date]],5),""))))</f>
        <v/>
      </c>
      <c r="P444" s="114" t="str">
        <f>IF(Main[[#This Row],[Tech Start Date]]&lt;1/1/1990,"",IF(Main[[#This Row],[Class]]="C",WORKDAY(Main[[#This Row],[Tech Start Date]],28),IF(Main[[#This Row],[Class]]="B", WORKDAY(Main[[#This Row],[Tech Start Date]],19),IF(Main[[#This Row],[Class]]="A",WORKDAY(Main[[#This Row],[Tech Start Date]],9),""))))</f>
        <v/>
      </c>
      <c r="Q444" s="129"/>
      <c r="R444" s="129"/>
      <c r="S444" s="139" t="s">
        <v>4</v>
      </c>
      <c r="T444" s="115" t="s">
        <v>4</v>
      </c>
      <c r="U444" s="139" t="s">
        <v>14</v>
      </c>
      <c r="V444" s="139" t="s">
        <v>1914</v>
      </c>
      <c r="W444" s="139" t="s">
        <v>4</v>
      </c>
      <c r="X444" s="139" t="s">
        <v>2878</v>
      </c>
      <c r="Y444" s="112" t="s">
        <v>3026</v>
      </c>
      <c r="Z444" s="112" t="s">
        <v>4</v>
      </c>
      <c r="AA444" s="139" t="s">
        <v>2878</v>
      </c>
    </row>
    <row r="445" spans="1:27" ht="17.25" customHeight="1">
      <c r="A445" s="69" t="str">
        <f>IF(priority(Main[[#This Row],[Comments]])&lt;&gt;0, priority(Main[[#This Row],[Comments]]),"")</f>
        <v/>
      </c>
      <c r="B445" s="63" t="s">
        <v>1280</v>
      </c>
      <c r="C445" s="148" t="s">
        <v>33</v>
      </c>
      <c r="D445" s="113" t="s">
        <v>354</v>
      </c>
      <c r="E445" s="129"/>
      <c r="F445" s="129"/>
      <c r="G445" s="69" t="str">
        <f>IF(stdProdLT(Main[[#This Row],[Comments]])=0.1,"N/A",IF(stdProdLT(Main[[#This Row],[Comments]])=0,"",stdProdLT(Main[[#This Row],[Comments]])))</f>
        <v/>
      </c>
      <c r="H445" s="138" t="str">
        <f>IF(Main[[#This Row],[In Stock Date]]="N/A", "N/A",IF(AND(Main[[#This Row],[In Stock Date]]&lt;&gt;"",Main[[#This Row],[Revised Due Date]]&lt;&gt;"",Main[[#This Row],[In Stock Date]]&lt;&gt;""),Main[[#This Row],[In Stock Date]]-Main[[#This Row],[Revised Due Date]],""))</f>
        <v/>
      </c>
      <c r="I445" s="139" t="s">
        <v>4</v>
      </c>
      <c r="J445" s="139" t="s">
        <v>4</v>
      </c>
      <c r="K445" s="139" t="s">
        <v>4</v>
      </c>
      <c r="L445" s="129"/>
      <c r="M445" s="114" t="str">
        <f>IF(Main[[#This Row],[Tech Start Date]]&lt;1/1/1990,"",IF(Main[[#This Row],[Class]]="C",WORKDAY(Main[[#This Row],[Tech Start Date]],9),IF(Main[[#This Row],[Class]]="B", WORKDAY(Main[[#This Row],[Tech Start Date]],6),IF(Main[[#This Row],[Class]]="A",WORKDAY(Main[[#This Row],[Tech Start Date]],2),""))))</f>
        <v/>
      </c>
      <c r="N445" s="114" t="str">
        <f>IF(Main[[#This Row],[Tech Start Date]]&lt;1/1/1990,"",IF(Main[[#This Row],[Class]]="C",WORKDAY(Main[[#This Row],[Tech Start Date]],19),IF(Main[[#This Row],[Class]]="B", WORKDAY(Main[[#This Row],[Tech Start Date]],12),IF(Main[[#This Row],[Class]]="A",WORKDAY(Main[[#This Row],[Tech Start Date]],4),""))))</f>
        <v/>
      </c>
      <c r="O445" s="114" t="str">
        <f>IF(Main[[#This Row],[Tech Start Date]]&lt;1/1/1990,"",IF(Main[[#This Row],[Class]]="C",WORKDAY(Main[[#This Row],[Tech Start Date]],23),IF(Main[[#This Row],[Class]]="B", WORKDAY(Main[[#This Row],[Tech Start Date]],15),IF(Main[[#This Row],[Class]]="A",WORKDAY(Main[[#This Row],[Tech Start Date]],5),""))))</f>
        <v/>
      </c>
      <c r="P445" s="114" t="str">
        <f>IF(Main[[#This Row],[Tech Start Date]]&lt;1/1/1990,"",IF(Main[[#This Row],[Class]]="C",WORKDAY(Main[[#This Row],[Tech Start Date]],28),IF(Main[[#This Row],[Class]]="B", WORKDAY(Main[[#This Row],[Tech Start Date]],19),IF(Main[[#This Row],[Class]]="A",WORKDAY(Main[[#This Row],[Tech Start Date]],9),""))))</f>
        <v/>
      </c>
      <c r="Q445" s="129"/>
      <c r="R445" s="129"/>
      <c r="S445" s="139" t="s">
        <v>11</v>
      </c>
      <c r="T445" s="115" t="s">
        <v>4</v>
      </c>
      <c r="U445" s="139" t="s">
        <v>14</v>
      </c>
      <c r="V445" s="139" t="s">
        <v>1915</v>
      </c>
      <c r="W445" s="139" t="s">
        <v>1922</v>
      </c>
      <c r="X445" s="139" t="s">
        <v>2827</v>
      </c>
      <c r="Y445" s="112" t="s">
        <v>2948</v>
      </c>
      <c r="Z445" s="112" t="s">
        <v>4</v>
      </c>
      <c r="AA445" s="139" t="s">
        <v>2827</v>
      </c>
    </row>
    <row r="446" spans="1:27" ht="17.25" customHeight="1">
      <c r="A446" s="69" t="str">
        <f>IF(priority(Main[[#This Row],[Comments]])&lt;&gt;0, priority(Main[[#This Row],[Comments]]),"")</f>
        <v/>
      </c>
      <c r="B446" s="63" t="s">
        <v>1282</v>
      </c>
      <c r="C446" s="148" t="s">
        <v>211</v>
      </c>
      <c r="D446" s="113" t="s">
        <v>356</v>
      </c>
      <c r="E446" s="129"/>
      <c r="F446" s="129">
        <v>40087</v>
      </c>
      <c r="G446" s="69" t="str">
        <f>IF(stdProdLT(Main[[#This Row],[Comments]])=0.1,"N/A",IF(stdProdLT(Main[[#This Row],[Comments]])=0,"",stdProdLT(Main[[#This Row],[Comments]])))</f>
        <v/>
      </c>
      <c r="H446" s="138" t="str">
        <f>IF(Main[[#This Row],[In Stock Date]]="N/A", "N/A",IF(AND(Main[[#This Row],[In Stock Date]]&lt;&gt;"",Main[[#This Row],[Revised Due Date]]&lt;&gt;"",Main[[#This Row],[In Stock Date]]&lt;&gt;""),Main[[#This Row],[In Stock Date]]-Main[[#This Row],[Revised Due Date]],""))</f>
        <v/>
      </c>
      <c r="I446" s="139" t="s">
        <v>4</v>
      </c>
      <c r="J446" s="139" t="s">
        <v>4</v>
      </c>
      <c r="K446" s="139" t="s">
        <v>4</v>
      </c>
      <c r="L446" s="129"/>
      <c r="M446" s="114" t="str">
        <f>IF(Main[[#This Row],[Tech Start Date]]&lt;1/1/1990,"",IF(Main[[#This Row],[Class]]="C",WORKDAY(Main[[#This Row],[Tech Start Date]],9),IF(Main[[#This Row],[Class]]="B", WORKDAY(Main[[#This Row],[Tech Start Date]],6),IF(Main[[#This Row],[Class]]="A",WORKDAY(Main[[#This Row],[Tech Start Date]],2),""))))</f>
        <v/>
      </c>
      <c r="N446" s="114" t="str">
        <f>IF(Main[[#This Row],[Tech Start Date]]&lt;1/1/1990,"",IF(Main[[#This Row],[Class]]="C",WORKDAY(Main[[#This Row],[Tech Start Date]],19),IF(Main[[#This Row],[Class]]="B", WORKDAY(Main[[#This Row],[Tech Start Date]],12),IF(Main[[#This Row],[Class]]="A",WORKDAY(Main[[#This Row],[Tech Start Date]],4),""))))</f>
        <v/>
      </c>
      <c r="O446" s="114" t="str">
        <f>IF(Main[[#This Row],[Tech Start Date]]&lt;1/1/1990,"",IF(Main[[#This Row],[Class]]="C",WORKDAY(Main[[#This Row],[Tech Start Date]],23),IF(Main[[#This Row],[Class]]="B", WORKDAY(Main[[#This Row],[Tech Start Date]],15),IF(Main[[#This Row],[Class]]="A",WORKDAY(Main[[#This Row],[Tech Start Date]],5),""))))</f>
        <v/>
      </c>
      <c r="P446" s="114" t="str">
        <f>IF(Main[[#This Row],[Tech Start Date]]&lt;1/1/1990,"",IF(Main[[#This Row],[Class]]="C",WORKDAY(Main[[#This Row],[Tech Start Date]],28),IF(Main[[#This Row],[Class]]="B", WORKDAY(Main[[#This Row],[Tech Start Date]],19),IF(Main[[#This Row],[Class]]="A",WORKDAY(Main[[#This Row],[Tech Start Date]],9),""))))</f>
        <v/>
      </c>
      <c r="Q446" s="129">
        <v>39891</v>
      </c>
      <c r="R446" s="129"/>
      <c r="S446" s="139" t="s">
        <v>11</v>
      </c>
      <c r="T446" s="115" t="s">
        <v>4</v>
      </c>
      <c r="U446" s="139" t="s">
        <v>12</v>
      </c>
      <c r="V446" s="139" t="s">
        <v>1914</v>
      </c>
      <c r="W446" s="139" t="s">
        <v>1919</v>
      </c>
      <c r="X446" s="139" t="s">
        <v>2833</v>
      </c>
      <c r="Y446" s="112" t="s">
        <v>4</v>
      </c>
      <c r="Z446" s="112" t="s">
        <v>4</v>
      </c>
      <c r="AA446" s="139" t="s">
        <v>2833</v>
      </c>
    </row>
    <row r="447" spans="1:27" ht="17.25" customHeight="1">
      <c r="A447" s="69" t="str">
        <f>IF(priority(Main[[#This Row],[Comments]])&lt;&gt;0, priority(Main[[#This Row],[Comments]]),"")</f>
        <v/>
      </c>
      <c r="B447" s="63" t="s">
        <v>1284</v>
      </c>
      <c r="C447" s="148" t="s">
        <v>211</v>
      </c>
      <c r="D447" s="113" t="s">
        <v>357</v>
      </c>
      <c r="E447" s="129"/>
      <c r="F447" s="129">
        <v>40087</v>
      </c>
      <c r="G447" s="69" t="str">
        <f>IF(stdProdLT(Main[[#This Row],[Comments]])=0.1,"N/A",IF(stdProdLT(Main[[#This Row],[Comments]])=0,"",stdProdLT(Main[[#This Row],[Comments]])))</f>
        <v/>
      </c>
      <c r="H447" s="138" t="str">
        <f>IF(Main[[#This Row],[In Stock Date]]="N/A", "N/A",IF(AND(Main[[#This Row],[In Stock Date]]&lt;&gt;"",Main[[#This Row],[Revised Due Date]]&lt;&gt;"",Main[[#This Row],[In Stock Date]]&lt;&gt;""),Main[[#This Row],[In Stock Date]]-Main[[#This Row],[Revised Due Date]],""))</f>
        <v/>
      </c>
      <c r="I447" s="139" t="s">
        <v>4</v>
      </c>
      <c r="J447" s="139" t="s">
        <v>4</v>
      </c>
      <c r="K447" s="139" t="s">
        <v>4</v>
      </c>
      <c r="L447" s="129"/>
      <c r="M447" s="114" t="str">
        <f>IF(Main[[#This Row],[Tech Start Date]]&lt;1/1/1990,"",IF(Main[[#This Row],[Class]]="C",WORKDAY(Main[[#This Row],[Tech Start Date]],9),IF(Main[[#This Row],[Class]]="B", WORKDAY(Main[[#This Row],[Tech Start Date]],6),IF(Main[[#This Row],[Class]]="A",WORKDAY(Main[[#This Row],[Tech Start Date]],2),""))))</f>
        <v/>
      </c>
      <c r="N447" s="114" t="str">
        <f>IF(Main[[#This Row],[Tech Start Date]]&lt;1/1/1990,"",IF(Main[[#This Row],[Class]]="C",WORKDAY(Main[[#This Row],[Tech Start Date]],19),IF(Main[[#This Row],[Class]]="B", WORKDAY(Main[[#This Row],[Tech Start Date]],12),IF(Main[[#This Row],[Class]]="A",WORKDAY(Main[[#This Row],[Tech Start Date]],4),""))))</f>
        <v/>
      </c>
      <c r="O447" s="114" t="str">
        <f>IF(Main[[#This Row],[Tech Start Date]]&lt;1/1/1990,"",IF(Main[[#This Row],[Class]]="C",WORKDAY(Main[[#This Row],[Tech Start Date]],23),IF(Main[[#This Row],[Class]]="B", WORKDAY(Main[[#This Row],[Tech Start Date]],15),IF(Main[[#This Row],[Class]]="A",WORKDAY(Main[[#This Row],[Tech Start Date]],5),""))))</f>
        <v/>
      </c>
      <c r="P447" s="114" t="str">
        <f>IF(Main[[#This Row],[Tech Start Date]]&lt;1/1/1990,"",IF(Main[[#This Row],[Class]]="C",WORKDAY(Main[[#This Row],[Tech Start Date]],28),IF(Main[[#This Row],[Class]]="B", WORKDAY(Main[[#This Row],[Tech Start Date]],19),IF(Main[[#This Row],[Class]]="A",WORKDAY(Main[[#This Row],[Tech Start Date]],9),""))))</f>
        <v/>
      </c>
      <c r="Q447" s="129">
        <v>39891</v>
      </c>
      <c r="R447" s="129"/>
      <c r="S447" s="139" t="s">
        <v>11</v>
      </c>
      <c r="T447" s="115" t="s">
        <v>4</v>
      </c>
      <c r="U447" s="139" t="s">
        <v>12</v>
      </c>
      <c r="V447" s="139" t="s">
        <v>1914</v>
      </c>
      <c r="W447" s="139" t="s">
        <v>1919</v>
      </c>
      <c r="X447" s="139" t="s">
        <v>2833</v>
      </c>
      <c r="Y447" s="112" t="s">
        <v>4</v>
      </c>
      <c r="Z447" s="112" t="s">
        <v>4</v>
      </c>
      <c r="AA447" s="139" t="s">
        <v>2833</v>
      </c>
    </row>
    <row r="448" spans="1:27" ht="17.25" customHeight="1">
      <c r="A448" s="69" t="str">
        <f>IF(priority(Main[[#This Row],[Comments]])&lt;&gt;0, priority(Main[[#This Row],[Comments]]),"")</f>
        <v/>
      </c>
      <c r="B448" s="63" t="s">
        <v>2712</v>
      </c>
      <c r="C448" s="148" t="s">
        <v>4</v>
      </c>
      <c r="D448" s="113" t="s">
        <v>2713</v>
      </c>
      <c r="E448" s="129"/>
      <c r="F448" s="129"/>
      <c r="G448" s="69" t="str">
        <f>IF(stdProdLT(Main[[#This Row],[Comments]])=0.1,"N/A",IF(stdProdLT(Main[[#This Row],[Comments]])=0,"",stdProdLT(Main[[#This Row],[Comments]])))</f>
        <v/>
      </c>
      <c r="H448" s="138" t="str">
        <f>IF(Main[[#This Row],[In Stock Date]]="N/A", "N/A",IF(AND(Main[[#This Row],[In Stock Date]]&lt;&gt;"",Main[[#This Row],[Revised Due Date]]&lt;&gt;"",Main[[#This Row],[In Stock Date]]&lt;&gt;""),Main[[#This Row],[In Stock Date]]-Main[[#This Row],[Revised Due Date]],""))</f>
        <v/>
      </c>
      <c r="I448" s="139" t="s">
        <v>4</v>
      </c>
      <c r="J448" s="139" t="s">
        <v>4</v>
      </c>
      <c r="K448" s="139" t="s">
        <v>4</v>
      </c>
      <c r="L448" s="129"/>
      <c r="M448" s="114" t="str">
        <f>IF(Main[[#This Row],[Tech Start Date]]&lt;1/1/1990,"",IF(Main[[#This Row],[Class]]="C",WORKDAY(Main[[#This Row],[Tech Start Date]],9),IF(Main[[#This Row],[Class]]="B", WORKDAY(Main[[#This Row],[Tech Start Date]],6),IF(Main[[#This Row],[Class]]="A",WORKDAY(Main[[#This Row],[Tech Start Date]],2),""))))</f>
        <v/>
      </c>
      <c r="N448" s="114" t="str">
        <f>IF(Main[[#This Row],[Tech Start Date]]&lt;1/1/1990,"",IF(Main[[#This Row],[Class]]="C",WORKDAY(Main[[#This Row],[Tech Start Date]],19),IF(Main[[#This Row],[Class]]="B", WORKDAY(Main[[#This Row],[Tech Start Date]],12),IF(Main[[#This Row],[Class]]="A",WORKDAY(Main[[#This Row],[Tech Start Date]],4),""))))</f>
        <v/>
      </c>
      <c r="O448" s="114" t="str">
        <f>IF(Main[[#This Row],[Tech Start Date]]&lt;1/1/1990,"",IF(Main[[#This Row],[Class]]="C",WORKDAY(Main[[#This Row],[Tech Start Date]],23),IF(Main[[#This Row],[Class]]="B", WORKDAY(Main[[#This Row],[Tech Start Date]],15),IF(Main[[#This Row],[Class]]="A",WORKDAY(Main[[#This Row],[Tech Start Date]],5),""))))</f>
        <v/>
      </c>
      <c r="P448" s="114" t="str">
        <f>IF(Main[[#This Row],[Tech Start Date]]&lt;1/1/1990,"",IF(Main[[#This Row],[Class]]="C",WORKDAY(Main[[#This Row],[Tech Start Date]],28),IF(Main[[#This Row],[Class]]="B", WORKDAY(Main[[#This Row],[Tech Start Date]],19),IF(Main[[#This Row],[Class]]="A",WORKDAY(Main[[#This Row],[Tech Start Date]],9),""))))</f>
        <v/>
      </c>
      <c r="Q448" s="129">
        <v>40896</v>
      </c>
      <c r="R448" s="129"/>
      <c r="S448" s="139" t="s">
        <v>17</v>
      </c>
      <c r="T448" s="115" t="s">
        <v>4</v>
      </c>
      <c r="U448" s="139" t="s">
        <v>14</v>
      </c>
      <c r="V448" s="139" t="s">
        <v>1917</v>
      </c>
      <c r="W448" s="139" t="s">
        <v>1922</v>
      </c>
      <c r="X448" s="139" t="s">
        <v>2879</v>
      </c>
      <c r="Y448" s="112" t="s">
        <v>3027</v>
      </c>
      <c r="Z448" s="112" t="s">
        <v>4</v>
      </c>
      <c r="AA448" s="139" t="s">
        <v>2879</v>
      </c>
    </row>
    <row r="449" spans="1:27" ht="17.25" customHeight="1">
      <c r="A449" s="69" t="str">
        <f>IF(priority(Main[[#This Row],[Comments]])&lt;&gt;0, priority(Main[[#This Row],[Comments]]),"")</f>
        <v/>
      </c>
      <c r="B449" s="63" t="s">
        <v>1285</v>
      </c>
      <c r="C449" s="148" t="s">
        <v>33</v>
      </c>
      <c r="D449" s="113" t="s">
        <v>359</v>
      </c>
      <c r="E449" s="129"/>
      <c r="F449" s="129"/>
      <c r="G449" s="69" t="str">
        <f>IF(stdProdLT(Main[[#This Row],[Comments]])=0.1,"N/A",IF(stdProdLT(Main[[#This Row],[Comments]])=0,"",stdProdLT(Main[[#This Row],[Comments]])))</f>
        <v/>
      </c>
      <c r="H449" s="138" t="str">
        <f>IF(Main[[#This Row],[In Stock Date]]="N/A", "N/A",IF(AND(Main[[#This Row],[In Stock Date]]&lt;&gt;"",Main[[#This Row],[Revised Due Date]]&lt;&gt;"",Main[[#This Row],[In Stock Date]]&lt;&gt;""),Main[[#This Row],[In Stock Date]]-Main[[#This Row],[Revised Due Date]],""))</f>
        <v/>
      </c>
      <c r="I449" s="139" t="s">
        <v>4</v>
      </c>
      <c r="J449" s="139" t="s">
        <v>4</v>
      </c>
      <c r="K449" s="139" t="s">
        <v>4</v>
      </c>
      <c r="L449" s="129"/>
      <c r="M449" s="114" t="str">
        <f>IF(Main[[#This Row],[Tech Start Date]]&lt;1/1/1990,"",IF(Main[[#This Row],[Class]]="C",WORKDAY(Main[[#This Row],[Tech Start Date]],9),IF(Main[[#This Row],[Class]]="B", WORKDAY(Main[[#This Row],[Tech Start Date]],6),IF(Main[[#This Row],[Class]]="A",WORKDAY(Main[[#This Row],[Tech Start Date]],2),""))))</f>
        <v/>
      </c>
      <c r="N449" s="114" t="str">
        <f>IF(Main[[#This Row],[Tech Start Date]]&lt;1/1/1990,"",IF(Main[[#This Row],[Class]]="C",WORKDAY(Main[[#This Row],[Tech Start Date]],19),IF(Main[[#This Row],[Class]]="B", WORKDAY(Main[[#This Row],[Tech Start Date]],12),IF(Main[[#This Row],[Class]]="A",WORKDAY(Main[[#This Row],[Tech Start Date]],4),""))))</f>
        <v/>
      </c>
      <c r="O449" s="114" t="str">
        <f>IF(Main[[#This Row],[Tech Start Date]]&lt;1/1/1990,"",IF(Main[[#This Row],[Class]]="C",WORKDAY(Main[[#This Row],[Tech Start Date]],23),IF(Main[[#This Row],[Class]]="B", WORKDAY(Main[[#This Row],[Tech Start Date]],15),IF(Main[[#This Row],[Class]]="A",WORKDAY(Main[[#This Row],[Tech Start Date]],5),""))))</f>
        <v/>
      </c>
      <c r="P449" s="114" t="str">
        <f>IF(Main[[#This Row],[Tech Start Date]]&lt;1/1/1990,"",IF(Main[[#This Row],[Class]]="C",WORKDAY(Main[[#This Row],[Tech Start Date]],28),IF(Main[[#This Row],[Class]]="B", WORKDAY(Main[[#This Row],[Tech Start Date]],19),IF(Main[[#This Row],[Class]]="A",WORKDAY(Main[[#This Row],[Tech Start Date]],9),""))))</f>
        <v/>
      </c>
      <c r="Q449" s="129"/>
      <c r="R449" s="129"/>
      <c r="S449" s="139" t="s">
        <v>11</v>
      </c>
      <c r="T449" s="115" t="s">
        <v>4</v>
      </c>
      <c r="U449" s="139" t="s">
        <v>14</v>
      </c>
      <c r="V449" s="139" t="s">
        <v>1915</v>
      </c>
      <c r="W449" s="139" t="s">
        <v>1922</v>
      </c>
      <c r="X449" s="139" t="s">
        <v>2827</v>
      </c>
      <c r="Y449" s="112" t="s">
        <v>2948</v>
      </c>
      <c r="Z449" s="112" t="s">
        <v>4</v>
      </c>
      <c r="AA449" s="139" t="s">
        <v>2827</v>
      </c>
    </row>
    <row r="450" spans="1:27" ht="17.25" customHeight="1">
      <c r="A450" s="69" t="str">
        <f>IF(priority(Main[[#This Row],[Comments]])&lt;&gt;0, priority(Main[[#This Row],[Comments]]),"")</f>
        <v/>
      </c>
      <c r="B450" s="63" t="s">
        <v>1286</v>
      </c>
      <c r="C450" s="148" t="s">
        <v>33</v>
      </c>
      <c r="D450" s="113" t="s">
        <v>360</v>
      </c>
      <c r="E450" s="129"/>
      <c r="F450" s="129"/>
      <c r="G450" s="69" t="str">
        <f>IF(stdProdLT(Main[[#This Row],[Comments]])=0.1,"N/A",IF(stdProdLT(Main[[#This Row],[Comments]])=0,"",stdProdLT(Main[[#This Row],[Comments]])))</f>
        <v/>
      </c>
      <c r="H450" s="138" t="str">
        <f>IF(Main[[#This Row],[In Stock Date]]="N/A", "N/A",IF(AND(Main[[#This Row],[In Stock Date]]&lt;&gt;"",Main[[#This Row],[Revised Due Date]]&lt;&gt;"",Main[[#This Row],[In Stock Date]]&lt;&gt;""),Main[[#This Row],[In Stock Date]]-Main[[#This Row],[Revised Due Date]],""))</f>
        <v/>
      </c>
      <c r="I450" s="139" t="s">
        <v>4</v>
      </c>
      <c r="J450" s="139" t="s">
        <v>4</v>
      </c>
      <c r="K450" s="139" t="s">
        <v>4</v>
      </c>
      <c r="L450" s="129"/>
      <c r="M450" s="114" t="str">
        <f>IF(Main[[#This Row],[Tech Start Date]]&lt;1/1/1990,"",IF(Main[[#This Row],[Class]]="C",WORKDAY(Main[[#This Row],[Tech Start Date]],9),IF(Main[[#This Row],[Class]]="B", WORKDAY(Main[[#This Row],[Tech Start Date]],6),IF(Main[[#This Row],[Class]]="A",WORKDAY(Main[[#This Row],[Tech Start Date]],2),""))))</f>
        <v/>
      </c>
      <c r="N450" s="114" t="str">
        <f>IF(Main[[#This Row],[Tech Start Date]]&lt;1/1/1990,"",IF(Main[[#This Row],[Class]]="C",WORKDAY(Main[[#This Row],[Tech Start Date]],19),IF(Main[[#This Row],[Class]]="B", WORKDAY(Main[[#This Row],[Tech Start Date]],12),IF(Main[[#This Row],[Class]]="A",WORKDAY(Main[[#This Row],[Tech Start Date]],4),""))))</f>
        <v/>
      </c>
      <c r="O450" s="114" t="str">
        <f>IF(Main[[#This Row],[Tech Start Date]]&lt;1/1/1990,"",IF(Main[[#This Row],[Class]]="C",WORKDAY(Main[[#This Row],[Tech Start Date]],23),IF(Main[[#This Row],[Class]]="B", WORKDAY(Main[[#This Row],[Tech Start Date]],15),IF(Main[[#This Row],[Class]]="A",WORKDAY(Main[[#This Row],[Tech Start Date]],5),""))))</f>
        <v/>
      </c>
      <c r="P450" s="114" t="str">
        <f>IF(Main[[#This Row],[Tech Start Date]]&lt;1/1/1990,"",IF(Main[[#This Row],[Class]]="C",WORKDAY(Main[[#This Row],[Tech Start Date]],28),IF(Main[[#This Row],[Class]]="B", WORKDAY(Main[[#This Row],[Tech Start Date]],19),IF(Main[[#This Row],[Class]]="A",WORKDAY(Main[[#This Row],[Tech Start Date]],9),""))))</f>
        <v/>
      </c>
      <c r="Q450" s="129"/>
      <c r="R450" s="129"/>
      <c r="S450" s="139" t="s">
        <v>11</v>
      </c>
      <c r="T450" s="115" t="s">
        <v>4</v>
      </c>
      <c r="U450" s="139" t="s">
        <v>14</v>
      </c>
      <c r="V450" s="139" t="s">
        <v>1915</v>
      </c>
      <c r="W450" s="139" t="s">
        <v>1922</v>
      </c>
      <c r="X450" s="139" t="s">
        <v>2827</v>
      </c>
      <c r="Y450" s="112" t="s">
        <v>2948</v>
      </c>
      <c r="Z450" s="112" t="s">
        <v>4</v>
      </c>
      <c r="AA450" s="139" t="s">
        <v>2827</v>
      </c>
    </row>
    <row r="451" spans="1:27" ht="17.25" customHeight="1">
      <c r="A451" s="69" t="str">
        <f>IF(priority(Main[[#This Row],[Comments]])&lt;&gt;0, priority(Main[[#This Row],[Comments]]),"")</f>
        <v/>
      </c>
      <c r="B451" s="63" t="s">
        <v>1287</v>
      </c>
      <c r="C451" s="148" t="s">
        <v>361</v>
      </c>
      <c r="D451" s="113" t="s">
        <v>362</v>
      </c>
      <c r="E451" s="129"/>
      <c r="F451" s="129"/>
      <c r="G451" s="69" t="str">
        <f>IF(stdProdLT(Main[[#This Row],[Comments]])=0.1,"N/A",IF(stdProdLT(Main[[#This Row],[Comments]])=0,"",stdProdLT(Main[[#This Row],[Comments]])))</f>
        <v/>
      </c>
      <c r="H451" s="138" t="str">
        <f>IF(Main[[#This Row],[In Stock Date]]="N/A", "N/A",IF(AND(Main[[#This Row],[In Stock Date]]&lt;&gt;"",Main[[#This Row],[Revised Due Date]]&lt;&gt;"",Main[[#This Row],[In Stock Date]]&lt;&gt;""),Main[[#This Row],[In Stock Date]]-Main[[#This Row],[Revised Due Date]],""))</f>
        <v/>
      </c>
      <c r="I451" s="139" t="s">
        <v>4</v>
      </c>
      <c r="J451" s="139" t="s">
        <v>4</v>
      </c>
      <c r="K451" s="139" t="s">
        <v>4</v>
      </c>
      <c r="L451" s="129"/>
      <c r="M451" s="114" t="str">
        <f>IF(Main[[#This Row],[Tech Start Date]]&lt;1/1/1990,"",IF(Main[[#This Row],[Class]]="C",WORKDAY(Main[[#This Row],[Tech Start Date]],9),IF(Main[[#This Row],[Class]]="B", WORKDAY(Main[[#This Row],[Tech Start Date]],6),IF(Main[[#This Row],[Class]]="A",WORKDAY(Main[[#This Row],[Tech Start Date]],2),""))))</f>
        <v/>
      </c>
      <c r="N451" s="114" t="str">
        <f>IF(Main[[#This Row],[Tech Start Date]]&lt;1/1/1990,"",IF(Main[[#This Row],[Class]]="C",WORKDAY(Main[[#This Row],[Tech Start Date]],19),IF(Main[[#This Row],[Class]]="B", WORKDAY(Main[[#This Row],[Tech Start Date]],12),IF(Main[[#This Row],[Class]]="A",WORKDAY(Main[[#This Row],[Tech Start Date]],4),""))))</f>
        <v/>
      </c>
      <c r="O451" s="114" t="str">
        <f>IF(Main[[#This Row],[Tech Start Date]]&lt;1/1/1990,"",IF(Main[[#This Row],[Class]]="C",WORKDAY(Main[[#This Row],[Tech Start Date]],23),IF(Main[[#This Row],[Class]]="B", WORKDAY(Main[[#This Row],[Tech Start Date]],15),IF(Main[[#This Row],[Class]]="A",WORKDAY(Main[[#This Row],[Tech Start Date]],5),""))))</f>
        <v/>
      </c>
      <c r="P451" s="114" t="str">
        <f>IF(Main[[#This Row],[Tech Start Date]]&lt;1/1/1990,"",IF(Main[[#This Row],[Class]]="C",WORKDAY(Main[[#This Row],[Tech Start Date]],28),IF(Main[[#This Row],[Class]]="B", WORKDAY(Main[[#This Row],[Tech Start Date]],19),IF(Main[[#This Row],[Class]]="A",WORKDAY(Main[[#This Row],[Tech Start Date]],9),""))))</f>
        <v/>
      </c>
      <c r="Q451" s="129"/>
      <c r="R451" s="129"/>
      <c r="S451" s="139" t="s">
        <v>11</v>
      </c>
      <c r="T451" s="115" t="s">
        <v>4</v>
      </c>
      <c r="U451" s="139" t="s">
        <v>14</v>
      </c>
      <c r="V451" s="139" t="s">
        <v>1915</v>
      </c>
      <c r="W451" s="139" t="s">
        <v>1922</v>
      </c>
      <c r="X451" s="139" t="s">
        <v>2827</v>
      </c>
      <c r="Y451" s="112" t="s">
        <v>2948</v>
      </c>
      <c r="Z451" s="112" t="s">
        <v>4</v>
      </c>
      <c r="AA451" s="139" t="s">
        <v>2827</v>
      </c>
    </row>
    <row r="452" spans="1:27" ht="17.25" customHeight="1">
      <c r="A452" s="69" t="str">
        <f>IF(priority(Main[[#This Row],[Comments]])&lt;&gt;0, priority(Main[[#This Row],[Comments]]),"")</f>
        <v/>
      </c>
      <c r="B452" s="63" t="s">
        <v>1288</v>
      </c>
      <c r="C452" s="148" t="s">
        <v>363</v>
      </c>
      <c r="D452" s="113" t="s">
        <v>364</v>
      </c>
      <c r="E452" s="129"/>
      <c r="F452" s="129"/>
      <c r="G452" s="69" t="str">
        <f>IF(stdProdLT(Main[[#This Row],[Comments]])=0.1,"N/A",IF(stdProdLT(Main[[#This Row],[Comments]])=0,"",stdProdLT(Main[[#This Row],[Comments]])))</f>
        <v/>
      </c>
      <c r="H452" s="138" t="str">
        <f>IF(Main[[#This Row],[In Stock Date]]="N/A", "N/A",IF(AND(Main[[#This Row],[In Stock Date]]&lt;&gt;"",Main[[#This Row],[Revised Due Date]]&lt;&gt;"",Main[[#This Row],[In Stock Date]]&lt;&gt;""),Main[[#This Row],[In Stock Date]]-Main[[#This Row],[Revised Due Date]],""))</f>
        <v/>
      </c>
      <c r="I452" s="139" t="s">
        <v>4</v>
      </c>
      <c r="J452" s="139" t="s">
        <v>4</v>
      </c>
      <c r="K452" s="139" t="s">
        <v>4</v>
      </c>
      <c r="L452" s="129"/>
      <c r="M452" s="114" t="str">
        <f>IF(Main[[#This Row],[Tech Start Date]]&lt;1/1/1990,"",IF(Main[[#This Row],[Class]]="C",WORKDAY(Main[[#This Row],[Tech Start Date]],9),IF(Main[[#This Row],[Class]]="B", WORKDAY(Main[[#This Row],[Tech Start Date]],6),IF(Main[[#This Row],[Class]]="A",WORKDAY(Main[[#This Row],[Tech Start Date]],2),""))))</f>
        <v/>
      </c>
      <c r="N452" s="114" t="str">
        <f>IF(Main[[#This Row],[Tech Start Date]]&lt;1/1/1990,"",IF(Main[[#This Row],[Class]]="C",WORKDAY(Main[[#This Row],[Tech Start Date]],19),IF(Main[[#This Row],[Class]]="B", WORKDAY(Main[[#This Row],[Tech Start Date]],12),IF(Main[[#This Row],[Class]]="A",WORKDAY(Main[[#This Row],[Tech Start Date]],4),""))))</f>
        <v/>
      </c>
      <c r="O452" s="114" t="str">
        <f>IF(Main[[#This Row],[Tech Start Date]]&lt;1/1/1990,"",IF(Main[[#This Row],[Class]]="C",WORKDAY(Main[[#This Row],[Tech Start Date]],23),IF(Main[[#This Row],[Class]]="B", WORKDAY(Main[[#This Row],[Tech Start Date]],15),IF(Main[[#This Row],[Class]]="A",WORKDAY(Main[[#This Row],[Tech Start Date]],5),""))))</f>
        <v/>
      </c>
      <c r="P452" s="114" t="str">
        <f>IF(Main[[#This Row],[Tech Start Date]]&lt;1/1/1990,"",IF(Main[[#This Row],[Class]]="C",WORKDAY(Main[[#This Row],[Tech Start Date]],28),IF(Main[[#This Row],[Class]]="B", WORKDAY(Main[[#This Row],[Tech Start Date]],19),IF(Main[[#This Row],[Class]]="A",WORKDAY(Main[[#This Row],[Tech Start Date]],9),""))))</f>
        <v/>
      </c>
      <c r="Q452" s="129"/>
      <c r="R452" s="129"/>
      <c r="S452" s="139" t="s">
        <v>11</v>
      </c>
      <c r="T452" s="115" t="s">
        <v>4</v>
      </c>
      <c r="U452" s="139" t="s">
        <v>14</v>
      </c>
      <c r="V452" s="139" t="s">
        <v>1915</v>
      </c>
      <c r="W452" s="139" t="s">
        <v>1922</v>
      </c>
      <c r="X452" s="139" t="s">
        <v>2827</v>
      </c>
      <c r="Y452" s="112" t="s">
        <v>2948</v>
      </c>
      <c r="Z452" s="112" t="s">
        <v>4</v>
      </c>
      <c r="AA452" s="139" t="s">
        <v>2827</v>
      </c>
    </row>
    <row r="453" spans="1:27" ht="17.25" customHeight="1">
      <c r="A453" s="69" t="str">
        <f>IF(priority(Main[[#This Row],[Comments]])&lt;&gt;0, priority(Main[[#This Row],[Comments]]),"")</f>
        <v/>
      </c>
      <c r="B453" s="63" t="s">
        <v>1289</v>
      </c>
      <c r="C453" s="148" t="s">
        <v>365</v>
      </c>
      <c r="D453" s="113" t="s">
        <v>366</v>
      </c>
      <c r="E453" s="129"/>
      <c r="F453" s="129"/>
      <c r="G453" s="69" t="str">
        <f>IF(stdProdLT(Main[[#This Row],[Comments]])=0.1,"N/A",IF(stdProdLT(Main[[#This Row],[Comments]])=0,"",stdProdLT(Main[[#This Row],[Comments]])))</f>
        <v/>
      </c>
      <c r="H453" s="138" t="str">
        <f>IF(Main[[#This Row],[In Stock Date]]="N/A", "N/A",IF(AND(Main[[#This Row],[In Stock Date]]&lt;&gt;"",Main[[#This Row],[Revised Due Date]]&lt;&gt;"",Main[[#This Row],[In Stock Date]]&lt;&gt;""),Main[[#This Row],[In Stock Date]]-Main[[#This Row],[Revised Due Date]],""))</f>
        <v/>
      </c>
      <c r="I453" s="139" t="s">
        <v>4</v>
      </c>
      <c r="J453" s="139" t="s">
        <v>4</v>
      </c>
      <c r="K453" s="139" t="s">
        <v>4</v>
      </c>
      <c r="L453" s="129"/>
      <c r="M453" s="114" t="str">
        <f>IF(Main[[#This Row],[Tech Start Date]]&lt;1/1/1990,"",IF(Main[[#This Row],[Class]]="C",WORKDAY(Main[[#This Row],[Tech Start Date]],9),IF(Main[[#This Row],[Class]]="B", WORKDAY(Main[[#This Row],[Tech Start Date]],6),IF(Main[[#This Row],[Class]]="A",WORKDAY(Main[[#This Row],[Tech Start Date]],2),""))))</f>
        <v/>
      </c>
      <c r="N453" s="114" t="str">
        <f>IF(Main[[#This Row],[Tech Start Date]]&lt;1/1/1990,"",IF(Main[[#This Row],[Class]]="C",WORKDAY(Main[[#This Row],[Tech Start Date]],19),IF(Main[[#This Row],[Class]]="B", WORKDAY(Main[[#This Row],[Tech Start Date]],12),IF(Main[[#This Row],[Class]]="A",WORKDAY(Main[[#This Row],[Tech Start Date]],4),""))))</f>
        <v/>
      </c>
      <c r="O453" s="114" t="str">
        <f>IF(Main[[#This Row],[Tech Start Date]]&lt;1/1/1990,"",IF(Main[[#This Row],[Class]]="C",WORKDAY(Main[[#This Row],[Tech Start Date]],23),IF(Main[[#This Row],[Class]]="B", WORKDAY(Main[[#This Row],[Tech Start Date]],15),IF(Main[[#This Row],[Class]]="A",WORKDAY(Main[[#This Row],[Tech Start Date]],5),""))))</f>
        <v/>
      </c>
      <c r="P453" s="114" t="str">
        <f>IF(Main[[#This Row],[Tech Start Date]]&lt;1/1/1990,"",IF(Main[[#This Row],[Class]]="C",WORKDAY(Main[[#This Row],[Tech Start Date]],28),IF(Main[[#This Row],[Class]]="B", WORKDAY(Main[[#This Row],[Tech Start Date]],19),IF(Main[[#This Row],[Class]]="A",WORKDAY(Main[[#This Row],[Tech Start Date]],9),""))))</f>
        <v/>
      </c>
      <c r="Q453" s="129"/>
      <c r="R453" s="129"/>
      <c r="S453" s="139" t="s">
        <v>11</v>
      </c>
      <c r="T453" s="115" t="s">
        <v>4</v>
      </c>
      <c r="U453" s="139" t="s">
        <v>14</v>
      </c>
      <c r="V453" s="139" t="s">
        <v>1915</v>
      </c>
      <c r="W453" s="139" t="s">
        <v>1922</v>
      </c>
      <c r="X453" s="139" t="s">
        <v>2827</v>
      </c>
      <c r="Y453" s="112" t="s">
        <v>2948</v>
      </c>
      <c r="Z453" s="112" t="s">
        <v>4</v>
      </c>
      <c r="AA453" s="139" t="s">
        <v>2827</v>
      </c>
    </row>
    <row r="454" spans="1:27" ht="17.25" customHeight="1">
      <c r="A454" s="69" t="str">
        <f>IF(priority(Main[[#This Row],[Comments]])&lt;&gt;0, priority(Main[[#This Row],[Comments]]),"")</f>
        <v/>
      </c>
      <c r="B454" s="63" t="s">
        <v>1290</v>
      </c>
      <c r="C454" s="148" t="s">
        <v>367</v>
      </c>
      <c r="D454" s="113" t="s">
        <v>368</v>
      </c>
      <c r="E454" s="129">
        <v>40210.419814814813</v>
      </c>
      <c r="F454" s="129">
        <v>40405</v>
      </c>
      <c r="G454" s="69" t="str">
        <f>IF(stdProdLT(Main[[#This Row],[Comments]])=0.1,"N/A",IF(stdProdLT(Main[[#This Row],[Comments]])=0,"",stdProdLT(Main[[#This Row],[Comments]])))</f>
        <v/>
      </c>
      <c r="H454" s="138" t="str">
        <f>IF(Main[[#This Row],[In Stock Date]]="N/A", "N/A",IF(AND(Main[[#This Row],[In Stock Date]]&lt;&gt;"",Main[[#This Row],[Revised Due Date]]&lt;&gt;"",Main[[#This Row],[In Stock Date]]&lt;&gt;""),Main[[#This Row],[In Stock Date]]-Main[[#This Row],[Revised Due Date]],""))</f>
        <v/>
      </c>
      <c r="I454" s="139" t="s">
        <v>163</v>
      </c>
      <c r="J454" s="139" t="s">
        <v>4</v>
      </c>
      <c r="K454" s="139" t="s">
        <v>1926</v>
      </c>
      <c r="L454" s="129"/>
      <c r="M454" s="114" t="str">
        <f>IF(Main[[#This Row],[Tech Start Date]]&lt;1/1/1990,"",IF(Main[[#This Row],[Class]]="C",WORKDAY(Main[[#This Row],[Tech Start Date]],9),IF(Main[[#This Row],[Class]]="B", WORKDAY(Main[[#This Row],[Tech Start Date]],6),IF(Main[[#This Row],[Class]]="A",WORKDAY(Main[[#This Row],[Tech Start Date]],2),""))))</f>
        <v/>
      </c>
      <c r="N454" s="114" t="str">
        <f>IF(Main[[#This Row],[Tech Start Date]]&lt;1/1/1990,"",IF(Main[[#This Row],[Class]]="C",WORKDAY(Main[[#This Row],[Tech Start Date]],19),IF(Main[[#This Row],[Class]]="B", WORKDAY(Main[[#This Row],[Tech Start Date]],12),IF(Main[[#This Row],[Class]]="A",WORKDAY(Main[[#This Row],[Tech Start Date]],4),""))))</f>
        <v/>
      </c>
      <c r="O454" s="114" t="str">
        <f>IF(Main[[#This Row],[Tech Start Date]]&lt;1/1/1990,"",IF(Main[[#This Row],[Class]]="C",WORKDAY(Main[[#This Row],[Tech Start Date]],23),IF(Main[[#This Row],[Class]]="B", WORKDAY(Main[[#This Row],[Tech Start Date]],15),IF(Main[[#This Row],[Class]]="A",WORKDAY(Main[[#This Row],[Tech Start Date]],5),""))))</f>
        <v/>
      </c>
      <c r="P454" s="114" t="str">
        <f>IF(Main[[#This Row],[Tech Start Date]]&lt;1/1/1990,"",IF(Main[[#This Row],[Class]]="C",WORKDAY(Main[[#This Row],[Tech Start Date]],28),IF(Main[[#This Row],[Class]]="B", WORKDAY(Main[[#This Row],[Tech Start Date]],19),IF(Main[[#This Row],[Class]]="A",WORKDAY(Main[[#This Row],[Tech Start Date]],9),""))))</f>
        <v/>
      </c>
      <c r="Q454" s="129">
        <v>40223</v>
      </c>
      <c r="R454" s="129"/>
      <c r="S454" s="139" t="s">
        <v>17</v>
      </c>
      <c r="T454" s="115" t="s">
        <v>4</v>
      </c>
      <c r="U454" s="139" t="s">
        <v>29</v>
      </c>
      <c r="V454" s="139" t="s">
        <v>1917</v>
      </c>
      <c r="W454" s="139" t="s">
        <v>1919</v>
      </c>
      <c r="X454" s="139" t="s">
        <v>553</v>
      </c>
      <c r="Y454" s="112" t="s">
        <v>4</v>
      </c>
      <c r="Z454" s="112" t="s">
        <v>4</v>
      </c>
      <c r="AA454" s="139" t="s">
        <v>553</v>
      </c>
    </row>
    <row r="455" spans="1:27" ht="17.25" customHeight="1">
      <c r="A455" s="69" t="str">
        <f>IF(priority(Main[[#This Row],[Comments]])&lt;&gt;0, priority(Main[[#This Row],[Comments]]),"")</f>
        <v/>
      </c>
      <c r="B455" s="63" t="s">
        <v>1294</v>
      </c>
      <c r="C455" s="148" t="s">
        <v>4</v>
      </c>
      <c r="D455" s="113" t="s">
        <v>412</v>
      </c>
      <c r="E455" s="129"/>
      <c r="F455" s="129"/>
      <c r="G455" s="69" t="str">
        <f>IF(stdProdLT(Main[[#This Row],[Comments]])=0.1,"N/A",IF(stdProdLT(Main[[#This Row],[Comments]])=0,"",stdProdLT(Main[[#This Row],[Comments]])))</f>
        <v/>
      </c>
      <c r="H455" s="138" t="str">
        <f>IF(Main[[#This Row],[In Stock Date]]="N/A", "N/A",IF(AND(Main[[#This Row],[In Stock Date]]&lt;&gt;"",Main[[#This Row],[Revised Due Date]]&lt;&gt;"",Main[[#This Row],[In Stock Date]]&lt;&gt;""),Main[[#This Row],[In Stock Date]]-Main[[#This Row],[Revised Due Date]],""))</f>
        <v/>
      </c>
      <c r="I455" s="139" t="s">
        <v>306</v>
      </c>
      <c r="J455" s="139" t="s">
        <v>75</v>
      </c>
      <c r="K455" s="139" t="s">
        <v>1923</v>
      </c>
      <c r="L455" s="129"/>
      <c r="M455" s="114" t="str">
        <f>IF(Main[[#This Row],[Tech Start Date]]&lt;1/1/1990,"",IF(Main[[#This Row],[Class]]="C",WORKDAY(Main[[#This Row],[Tech Start Date]],9),IF(Main[[#This Row],[Class]]="B", WORKDAY(Main[[#This Row],[Tech Start Date]],6),IF(Main[[#This Row],[Class]]="A",WORKDAY(Main[[#This Row],[Tech Start Date]],2),""))))</f>
        <v/>
      </c>
      <c r="N455" s="114" t="str">
        <f>IF(Main[[#This Row],[Tech Start Date]]&lt;1/1/1990,"",IF(Main[[#This Row],[Class]]="C",WORKDAY(Main[[#This Row],[Tech Start Date]],19),IF(Main[[#This Row],[Class]]="B", WORKDAY(Main[[#This Row],[Tech Start Date]],12),IF(Main[[#This Row],[Class]]="A",WORKDAY(Main[[#This Row],[Tech Start Date]],4),""))))</f>
        <v/>
      </c>
      <c r="O455" s="114" t="str">
        <f>IF(Main[[#This Row],[Tech Start Date]]&lt;1/1/1990,"",IF(Main[[#This Row],[Class]]="C",WORKDAY(Main[[#This Row],[Tech Start Date]],23),IF(Main[[#This Row],[Class]]="B", WORKDAY(Main[[#This Row],[Tech Start Date]],15),IF(Main[[#This Row],[Class]]="A",WORKDAY(Main[[#This Row],[Tech Start Date]],5),""))))</f>
        <v/>
      </c>
      <c r="P455" s="114" t="str">
        <f>IF(Main[[#This Row],[Tech Start Date]]&lt;1/1/1990,"",IF(Main[[#This Row],[Class]]="C",WORKDAY(Main[[#This Row],[Tech Start Date]],28),IF(Main[[#This Row],[Class]]="B", WORKDAY(Main[[#This Row],[Tech Start Date]],19),IF(Main[[#This Row],[Class]]="A",WORKDAY(Main[[#This Row],[Tech Start Date]],9),""))))</f>
        <v/>
      </c>
      <c r="Q455" s="129">
        <v>40655</v>
      </c>
      <c r="R455" s="129"/>
      <c r="S455" s="139" t="s">
        <v>6</v>
      </c>
      <c r="T455" s="115" t="s">
        <v>4</v>
      </c>
      <c r="U455" s="139" t="s">
        <v>14</v>
      </c>
      <c r="V455" s="139" t="s">
        <v>1917</v>
      </c>
      <c r="W455" s="139" t="s">
        <v>1916</v>
      </c>
      <c r="X455" s="139" t="s">
        <v>2819</v>
      </c>
      <c r="Y455" s="112" t="s">
        <v>2932</v>
      </c>
      <c r="Z455" s="112" t="s">
        <v>44</v>
      </c>
      <c r="AA455" s="139" t="s">
        <v>2819</v>
      </c>
    </row>
    <row r="456" spans="1:27" ht="17.25" customHeight="1">
      <c r="A456" s="69" t="str">
        <f>IF(priority(Main[[#This Row],[Comments]])&lt;&gt;0, priority(Main[[#This Row],[Comments]]),"")</f>
        <v/>
      </c>
      <c r="B456" s="63" t="s">
        <v>1295</v>
      </c>
      <c r="C456" s="148" t="s">
        <v>211</v>
      </c>
      <c r="D456" s="113" t="s">
        <v>413</v>
      </c>
      <c r="E456" s="129"/>
      <c r="F456" s="129">
        <v>40452</v>
      </c>
      <c r="G456" s="69" t="str">
        <f>IF(stdProdLT(Main[[#This Row],[Comments]])=0.1,"N/A",IF(stdProdLT(Main[[#This Row],[Comments]])=0,"",stdProdLT(Main[[#This Row],[Comments]])))</f>
        <v/>
      </c>
      <c r="H456" s="138" t="str">
        <f>IF(Main[[#This Row],[In Stock Date]]="N/A", "N/A",IF(AND(Main[[#This Row],[In Stock Date]]&lt;&gt;"",Main[[#This Row],[Revised Due Date]]&lt;&gt;"",Main[[#This Row],[In Stock Date]]&lt;&gt;""),Main[[#This Row],[In Stock Date]]-Main[[#This Row],[Revised Due Date]],""))</f>
        <v/>
      </c>
      <c r="I456" s="139" t="s">
        <v>4</v>
      </c>
      <c r="J456" s="139" t="s">
        <v>4</v>
      </c>
      <c r="K456" s="140" t="s">
        <v>4</v>
      </c>
      <c r="L456" s="129"/>
      <c r="M456" s="114" t="str">
        <f>IF(Main[[#This Row],[Tech Start Date]]&lt;1/1/1990,"",IF(Main[[#This Row],[Class]]="C",WORKDAY(Main[[#This Row],[Tech Start Date]],9),IF(Main[[#This Row],[Class]]="B", WORKDAY(Main[[#This Row],[Tech Start Date]],6),IF(Main[[#This Row],[Class]]="A",WORKDAY(Main[[#This Row],[Tech Start Date]],2),""))))</f>
        <v/>
      </c>
      <c r="N456" s="114" t="str">
        <f>IF(Main[[#This Row],[Tech Start Date]]&lt;1/1/1990,"",IF(Main[[#This Row],[Class]]="C",WORKDAY(Main[[#This Row],[Tech Start Date]],19),IF(Main[[#This Row],[Class]]="B", WORKDAY(Main[[#This Row],[Tech Start Date]],12),IF(Main[[#This Row],[Class]]="A",WORKDAY(Main[[#This Row],[Tech Start Date]],4),""))))</f>
        <v/>
      </c>
      <c r="O456" s="114" t="str">
        <f>IF(Main[[#This Row],[Tech Start Date]]&lt;1/1/1990,"",IF(Main[[#This Row],[Class]]="C",WORKDAY(Main[[#This Row],[Tech Start Date]],23),IF(Main[[#This Row],[Class]]="B", WORKDAY(Main[[#This Row],[Tech Start Date]],15),IF(Main[[#This Row],[Class]]="A",WORKDAY(Main[[#This Row],[Tech Start Date]],5),""))))</f>
        <v/>
      </c>
      <c r="P456" s="114" t="str">
        <f>IF(Main[[#This Row],[Tech Start Date]]&lt;1/1/1990,"",IF(Main[[#This Row],[Class]]="C",WORKDAY(Main[[#This Row],[Tech Start Date]],28),IF(Main[[#This Row],[Class]]="B", WORKDAY(Main[[#This Row],[Tech Start Date]],19),IF(Main[[#This Row],[Class]]="A",WORKDAY(Main[[#This Row],[Tech Start Date]],9),""))))</f>
        <v/>
      </c>
      <c r="Q456" s="129">
        <v>40357</v>
      </c>
      <c r="R456" s="129"/>
      <c r="S456" s="139" t="s">
        <v>11</v>
      </c>
      <c r="T456" s="115" t="s">
        <v>4</v>
      </c>
      <c r="U456" s="139" t="s">
        <v>12</v>
      </c>
      <c r="V456" s="139" t="s">
        <v>1914</v>
      </c>
      <c r="W456" s="139" t="s">
        <v>1922</v>
      </c>
      <c r="X456" s="139" t="s">
        <v>2833</v>
      </c>
      <c r="Y456" s="112" t="s">
        <v>4</v>
      </c>
      <c r="Z456" s="112" t="s">
        <v>4</v>
      </c>
      <c r="AA456" s="139" t="s">
        <v>2833</v>
      </c>
    </row>
    <row r="457" spans="1:27" ht="17.25" customHeight="1">
      <c r="A457" s="69" t="str">
        <f>IF(priority(Main[[#This Row],[Comments]])&lt;&gt;0, priority(Main[[#This Row],[Comments]]),"")</f>
        <v/>
      </c>
      <c r="B457" s="63" t="s">
        <v>1334</v>
      </c>
      <c r="C457" s="148" t="s">
        <v>4</v>
      </c>
      <c r="D457" s="113" t="s">
        <v>414</v>
      </c>
      <c r="E457" s="129"/>
      <c r="F457" s="129">
        <v>40633</v>
      </c>
      <c r="G457" s="69" t="str">
        <f>IF(stdProdLT(Main[[#This Row],[Comments]])=0.1,"N/A",IF(stdProdLT(Main[[#This Row],[Comments]])=0,"",stdProdLT(Main[[#This Row],[Comments]])))</f>
        <v/>
      </c>
      <c r="H457" s="138" t="str">
        <f>IF(Main[[#This Row],[In Stock Date]]="N/A", "N/A",IF(AND(Main[[#This Row],[In Stock Date]]&lt;&gt;"",Main[[#This Row],[Revised Due Date]]&lt;&gt;"",Main[[#This Row],[In Stock Date]]&lt;&gt;""),Main[[#This Row],[In Stock Date]]-Main[[#This Row],[Revised Due Date]],""))</f>
        <v/>
      </c>
      <c r="I457" s="139" t="s">
        <v>415</v>
      </c>
      <c r="J457" s="139" t="s">
        <v>28</v>
      </c>
      <c r="K457" s="139" t="s">
        <v>1923</v>
      </c>
      <c r="L457" s="129"/>
      <c r="M457" s="114" t="str">
        <f>IF(Main[[#This Row],[Tech Start Date]]&lt;1/1/1990,"",IF(Main[[#This Row],[Class]]="C",WORKDAY(Main[[#This Row],[Tech Start Date]],9),IF(Main[[#This Row],[Class]]="B", WORKDAY(Main[[#This Row],[Tech Start Date]],6),IF(Main[[#This Row],[Class]]="A",WORKDAY(Main[[#This Row],[Tech Start Date]],2),""))))</f>
        <v/>
      </c>
      <c r="N457" s="114" t="str">
        <f>IF(Main[[#This Row],[Tech Start Date]]&lt;1/1/1990,"",IF(Main[[#This Row],[Class]]="C",WORKDAY(Main[[#This Row],[Tech Start Date]],19),IF(Main[[#This Row],[Class]]="B", WORKDAY(Main[[#This Row],[Tech Start Date]],12),IF(Main[[#This Row],[Class]]="A",WORKDAY(Main[[#This Row],[Tech Start Date]],4),""))))</f>
        <v/>
      </c>
      <c r="O457" s="114" t="str">
        <f>IF(Main[[#This Row],[Tech Start Date]]&lt;1/1/1990,"",IF(Main[[#This Row],[Class]]="C",WORKDAY(Main[[#This Row],[Tech Start Date]],23),IF(Main[[#This Row],[Class]]="B", WORKDAY(Main[[#This Row],[Tech Start Date]],15),IF(Main[[#This Row],[Class]]="A",WORKDAY(Main[[#This Row],[Tech Start Date]],5),""))))</f>
        <v/>
      </c>
      <c r="P457" s="114" t="str">
        <f>IF(Main[[#This Row],[Tech Start Date]]&lt;1/1/1990,"",IF(Main[[#This Row],[Class]]="C",WORKDAY(Main[[#This Row],[Tech Start Date]],28),IF(Main[[#This Row],[Class]]="B", WORKDAY(Main[[#This Row],[Tech Start Date]],19),IF(Main[[#This Row],[Class]]="A",WORKDAY(Main[[#This Row],[Tech Start Date]],9),""))))</f>
        <v/>
      </c>
      <c r="Q457" s="129">
        <v>40633</v>
      </c>
      <c r="R457" s="129"/>
      <c r="S457" s="139" t="s">
        <v>6</v>
      </c>
      <c r="T457" s="115" t="s">
        <v>4</v>
      </c>
      <c r="U457" s="139" t="s">
        <v>14</v>
      </c>
      <c r="V457" s="139" t="s">
        <v>1917</v>
      </c>
      <c r="W457" s="139" t="s">
        <v>1916</v>
      </c>
      <c r="X457" s="139" t="s">
        <v>2819</v>
      </c>
      <c r="Y457" s="112" t="s">
        <v>2932</v>
      </c>
      <c r="Z457" s="112" t="s">
        <v>30</v>
      </c>
      <c r="AA457" s="139" t="s">
        <v>2819</v>
      </c>
    </row>
    <row r="458" spans="1:27" ht="17.25" customHeight="1">
      <c r="A458" s="69" t="str">
        <f>IF(priority(Main[[#This Row],[Comments]])&lt;&gt;0, priority(Main[[#This Row],[Comments]]),"")</f>
        <v/>
      </c>
      <c r="B458" s="63" t="s">
        <v>1834</v>
      </c>
      <c r="C458" s="148" t="s">
        <v>4</v>
      </c>
      <c r="D458" s="113" t="s">
        <v>888</v>
      </c>
      <c r="E458" s="129">
        <v>40365.442546296297</v>
      </c>
      <c r="F458" s="129"/>
      <c r="G458" s="69" t="str">
        <f>IF(stdProdLT(Main[[#This Row],[Comments]])=0.1,"N/A",IF(stdProdLT(Main[[#This Row],[Comments]])=0,"",stdProdLT(Main[[#This Row],[Comments]])))</f>
        <v/>
      </c>
      <c r="H458" s="138" t="str">
        <f>IF(Main[[#This Row],[In Stock Date]]="N/A", "N/A",IF(AND(Main[[#This Row],[In Stock Date]]&lt;&gt;"",Main[[#This Row],[Revised Due Date]]&lt;&gt;"",Main[[#This Row],[In Stock Date]]&lt;&gt;""),Main[[#This Row],[In Stock Date]]-Main[[#This Row],[Revised Due Date]],""))</f>
        <v/>
      </c>
      <c r="I458" s="139" t="s">
        <v>889</v>
      </c>
      <c r="J458" s="139" t="s">
        <v>28</v>
      </c>
      <c r="K458" s="139" t="s">
        <v>1926</v>
      </c>
      <c r="L458" s="129"/>
      <c r="M458" s="114" t="str">
        <f>IF(Main[[#This Row],[Tech Start Date]]&lt;1/1/1990,"",IF(Main[[#This Row],[Class]]="C",WORKDAY(Main[[#This Row],[Tech Start Date]],9),IF(Main[[#This Row],[Class]]="B", WORKDAY(Main[[#This Row],[Tech Start Date]],6),IF(Main[[#This Row],[Class]]="A",WORKDAY(Main[[#This Row],[Tech Start Date]],2),""))))</f>
        <v/>
      </c>
      <c r="N458" s="114" t="str">
        <f>IF(Main[[#This Row],[Tech Start Date]]&lt;1/1/1990,"",IF(Main[[#This Row],[Class]]="C",WORKDAY(Main[[#This Row],[Tech Start Date]],19),IF(Main[[#This Row],[Class]]="B", WORKDAY(Main[[#This Row],[Tech Start Date]],12),IF(Main[[#This Row],[Class]]="A",WORKDAY(Main[[#This Row],[Tech Start Date]],4),""))))</f>
        <v/>
      </c>
      <c r="O458" s="114" t="str">
        <f>IF(Main[[#This Row],[Tech Start Date]]&lt;1/1/1990,"",IF(Main[[#This Row],[Class]]="C",WORKDAY(Main[[#This Row],[Tech Start Date]],23),IF(Main[[#This Row],[Class]]="B", WORKDAY(Main[[#This Row],[Tech Start Date]],15),IF(Main[[#This Row],[Class]]="A",WORKDAY(Main[[#This Row],[Tech Start Date]],5),""))))</f>
        <v/>
      </c>
      <c r="P458" s="114" t="str">
        <f>IF(Main[[#This Row],[Tech Start Date]]&lt;1/1/1990,"",IF(Main[[#This Row],[Class]]="C",WORKDAY(Main[[#This Row],[Tech Start Date]],28),IF(Main[[#This Row],[Class]]="B", WORKDAY(Main[[#This Row],[Tech Start Date]],19),IF(Main[[#This Row],[Class]]="A",WORKDAY(Main[[#This Row],[Tech Start Date]],9),""))))</f>
        <v/>
      </c>
      <c r="Q458" s="129">
        <v>40420</v>
      </c>
      <c r="R458" s="129">
        <v>40420</v>
      </c>
      <c r="S458" s="139" t="s">
        <v>318</v>
      </c>
      <c r="T458" s="115" t="s">
        <v>4</v>
      </c>
      <c r="U458" s="139" t="s">
        <v>29</v>
      </c>
      <c r="V458" s="139" t="s">
        <v>1914</v>
      </c>
      <c r="W458" s="139" t="s">
        <v>1918</v>
      </c>
      <c r="X458" s="139" t="s">
        <v>129</v>
      </c>
      <c r="Y458" s="112" t="s">
        <v>2933</v>
      </c>
      <c r="Z458" s="112" t="s">
        <v>129</v>
      </c>
      <c r="AA458" s="139" t="s">
        <v>129</v>
      </c>
    </row>
    <row r="459" spans="1:27" ht="17.25" customHeight="1">
      <c r="A459" s="69" t="str">
        <f>IF(priority(Main[[#This Row],[Comments]])&lt;&gt;0, priority(Main[[#This Row],[Comments]]),"")</f>
        <v/>
      </c>
      <c r="B459" s="63" t="s">
        <v>1335</v>
      </c>
      <c r="C459" s="148" t="s">
        <v>31</v>
      </c>
      <c r="D459" s="113" t="s">
        <v>416</v>
      </c>
      <c r="E459" s="129"/>
      <c r="F459" s="129">
        <v>40330</v>
      </c>
      <c r="G459" s="69" t="str">
        <f>IF(stdProdLT(Main[[#This Row],[Comments]])=0.1,"N/A",IF(stdProdLT(Main[[#This Row],[Comments]])=0,"",stdProdLT(Main[[#This Row],[Comments]])))</f>
        <v/>
      </c>
      <c r="H459" s="138" t="str">
        <f>IF(Main[[#This Row],[In Stock Date]]="N/A", "N/A",IF(AND(Main[[#This Row],[In Stock Date]]&lt;&gt;"",Main[[#This Row],[Revised Due Date]]&lt;&gt;"",Main[[#This Row],[In Stock Date]]&lt;&gt;""),Main[[#This Row],[In Stock Date]]-Main[[#This Row],[Revised Due Date]],""))</f>
        <v/>
      </c>
      <c r="I459" s="139" t="s">
        <v>417</v>
      </c>
      <c r="J459" s="139" t="s">
        <v>4</v>
      </c>
      <c r="K459" s="139" t="s">
        <v>4</v>
      </c>
      <c r="L459" s="129"/>
      <c r="M459" s="114" t="str">
        <f>IF(Main[[#This Row],[Tech Start Date]]&lt;1/1/1990,"",IF(Main[[#This Row],[Class]]="C",WORKDAY(Main[[#This Row],[Tech Start Date]],9),IF(Main[[#This Row],[Class]]="B", WORKDAY(Main[[#This Row],[Tech Start Date]],6),IF(Main[[#This Row],[Class]]="A",WORKDAY(Main[[#This Row],[Tech Start Date]],2),""))))</f>
        <v/>
      </c>
      <c r="N459" s="114" t="str">
        <f>IF(Main[[#This Row],[Tech Start Date]]&lt;1/1/1990,"",IF(Main[[#This Row],[Class]]="C",WORKDAY(Main[[#This Row],[Tech Start Date]],19),IF(Main[[#This Row],[Class]]="B", WORKDAY(Main[[#This Row],[Tech Start Date]],12),IF(Main[[#This Row],[Class]]="A",WORKDAY(Main[[#This Row],[Tech Start Date]],4),""))))</f>
        <v/>
      </c>
      <c r="O459" s="114" t="str">
        <f>IF(Main[[#This Row],[Tech Start Date]]&lt;1/1/1990,"",IF(Main[[#This Row],[Class]]="C",WORKDAY(Main[[#This Row],[Tech Start Date]],23),IF(Main[[#This Row],[Class]]="B", WORKDAY(Main[[#This Row],[Tech Start Date]],15),IF(Main[[#This Row],[Class]]="A",WORKDAY(Main[[#This Row],[Tech Start Date]],5),""))))</f>
        <v/>
      </c>
      <c r="P459" s="114" t="str">
        <f>IF(Main[[#This Row],[Tech Start Date]]&lt;1/1/1990,"",IF(Main[[#This Row],[Class]]="C",WORKDAY(Main[[#This Row],[Tech Start Date]],28),IF(Main[[#This Row],[Class]]="B", WORKDAY(Main[[#This Row],[Tech Start Date]],19),IF(Main[[#This Row],[Class]]="A",WORKDAY(Main[[#This Row],[Tech Start Date]],9),""))))</f>
        <v/>
      </c>
      <c r="Q459" s="129">
        <v>40210</v>
      </c>
      <c r="R459" s="129"/>
      <c r="S459" s="139" t="s">
        <v>11</v>
      </c>
      <c r="T459" s="115" t="s">
        <v>4</v>
      </c>
      <c r="U459" s="139" t="s">
        <v>14</v>
      </c>
      <c r="V459" s="139" t="s">
        <v>1917</v>
      </c>
      <c r="W459" s="139" t="s">
        <v>1920</v>
      </c>
      <c r="X459" s="139" t="s">
        <v>2824</v>
      </c>
      <c r="Y459" s="112" t="s">
        <v>2943</v>
      </c>
      <c r="Z459" s="112" t="s">
        <v>4</v>
      </c>
      <c r="AA459" s="139" t="s">
        <v>2824</v>
      </c>
    </row>
    <row r="460" spans="1:27" ht="17.25" customHeight="1">
      <c r="A460" s="69" t="str">
        <f>IF(priority(Main[[#This Row],[Comments]])&lt;&gt;0, priority(Main[[#This Row],[Comments]]),"")</f>
        <v/>
      </c>
      <c r="B460" s="63" t="s">
        <v>1336</v>
      </c>
      <c r="C460" s="148" t="s">
        <v>4</v>
      </c>
      <c r="D460" s="113" t="s">
        <v>418</v>
      </c>
      <c r="E460" s="129">
        <v>40305.512083333335</v>
      </c>
      <c r="F460" s="129"/>
      <c r="G460" s="69" t="str">
        <f>IF(stdProdLT(Main[[#This Row],[Comments]])=0.1,"N/A",IF(stdProdLT(Main[[#This Row],[Comments]])=0,"",stdProdLT(Main[[#This Row],[Comments]])))</f>
        <v/>
      </c>
      <c r="H460" s="138" t="str">
        <f>IF(Main[[#This Row],[In Stock Date]]="N/A", "N/A",IF(AND(Main[[#This Row],[In Stock Date]]&lt;&gt;"",Main[[#This Row],[Revised Due Date]]&lt;&gt;"",Main[[#This Row],[In Stock Date]]&lt;&gt;""),Main[[#This Row],[In Stock Date]]-Main[[#This Row],[Revised Due Date]],""))</f>
        <v/>
      </c>
      <c r="I460" s="139" t="s">
        <v>4</v>
      </c>
      <c r="J460" s="139" t="s">
        <v>4</v>
      </c>
      <c r="K460" s="139" t="s">
        <v>4</v>
      </c>
      <c r="L460" s="129"/>
      <c r="M460" s="114" t="str">
        <f>IF(Main[[#This Row],[Tech Start Date]]&lt;1/1/1990,"",IF(Main[[#This Row],[Class]]="C",WORKDAY(Main[[#This Row],[Tech Start Date]],9),IF(Main[[#This Row],[Class]]="B", WORKDAY(Main[[#This Row],[Tech Start Date]],6),IF(Main[[#This Row],[Class]]="A",WORKDAY(Main[[#This Row],[Tech Start Date]],2),""))))</f>
        <v/>
      </c>
      <c r="N460" s="114" t="str">
        <f>IF(Main[[#This Row],[Tech Start Date]]&lt;1/1/1990,"",IF(Main[[#This Row],[Class]]="C",WORKDAY(Main[[#This Row],[Tech Start Date]],19),IF(Main[[#This Row],[Class]]="B", WORKDAY(Main[[#This Row],[Tech Start Date]],12),IF(Main[[#This Row],[Class]]="A",WORKDAY(Main[[#This Row],[Tech Start Date]],4),""))))</f>
        <v/>
      </c>
      <c r="O460" s="114" t="str">
        <f>IF(Main[[#This Row],[Tech Start Date]]&lt;1/1/1990,"",IF(Main[[#This Row],[Class]]="C",WORKDAY(Main[[#This Row],[Tech Start Date]],23),IF(Main[[#This Row],[Class]]="B", WORKDAY(Main[[#This Row],[Tech Start Date]],15),IF(Main[[#This Row],[Class]]="A",WORKDAY(Main[[#This Row],[Tech Start Date]],5),""))))</f>
        <v/>
      </c>
      <c r="P460" s="114" t="str">
        <f>IF(Main[[#This Row],[Tech Start Date]]&lt;1/1/1990,"",IF(Main[[#This Row],[Class]]="C",WORKDAY(Main[[#This Row],[Tech Start Date]],28),IF(Main[[#This Row],[Class]]="B", WORKDAY(Main[[#This Row],[Tech Start Date]],19),IF(Main[[#This Row],[Class]]="A",WORKDAY(Main[[#This Row],[Tech Start Date]],9),""))))</f>
        <v/>
      </c>
      <c r="Q460" s="129">
        <v>40312</v>
      </c>
      <c r="R460" s="129"/>
      <c r="S460" s="139" t="s">
        <v>6</v>
      </c>
      <c r="T460" s="115" t="s">
        <v>4</v>
      </c>
      <c r="U460" s="139" t="s">
        <v>7</v>
      </c>
      <c r="V460" s="139" t="s">
        <v>1914</v>
      </c>
      <c r="W460" s="139" t="s">
        <v>4</v>
      </c>
      <c r="X460" s="139" t="s">
        <v>102</v>
      </c>
      <c r="Y460" s="112" t="s">
        <v>3011</v>
      </c>
      <c r="Z460" s="112" t="s">
        <v>4</v>
      </c>
      <c r="AA460" s="139" t="s">
        <v>3408</v>
      </c>
    </row>
    <row r="461" spans="1:27" ht="17.25" customHeight="1">
      <c r="A461" s="69" t="str">
        <f>IF(priority(Main[[#This Row],[Comments]])&lt;&gt;0, priority(Main[[#This Row],[Comments]]),"")</f>
        <v/>
      </c>
      <c r="B461" s="63" t="s">
        <v>1297</v>
      </c>
      <c r="C461" s="148" t="s">
        <v>31</v>
      </c>
      <c r="D461" s="113" t="s">
        <v>371</v>
      </c>
      <c r="E461" s="129"/>
      <c r="F461" s="129"/>
      <c r="G461" s="69" t="str">
        <f>IF(stdProdLT(Main[[#This Row],[Comments]])=0.1,"N/A",IF(stdProdLT(Main[[#This Row],[Comments]])=0,"",stdProdLT(Main[[#This Row],[Comments]])))</f>
        <v/>
      </c>
      <c r="H461" s="138" t="str">
        <f>IF(Main[[#This Row],[In Stock Date]]="N/A", "N/A",IF(AND(Main[[#This Row],[In Stock Date]]&lt;&gt;"",Main[[#This Row],[Revised Due Date]]&lt;&gt;"",Main[[#This Row],[In Stock Date]]&lt;&gt;""),Main[[#This Row],[In Stock Date]]-Main[[#This Row],[Revised Due Date]],""))</f>
        <v/>
      </c>
      <c r="I461" s="139" t="s">
        <v>4</v>
      </c>
      <c r="J461" s="139" t="s">
        <v>4</v>
      </c>
      <c r="K461" s="139" t="s">
        <v>4</v>
      </c>
      <c r="L461" s="129"/>
      <c r="M461" s="114" t="str">
        <f>IF(Main[[#This Row],[Tech Start Date]]&lt;1/1/1990,"",IF(Main[[#This Row],[Class]]="C",WORKDAY(Main[[#This Row],[Tech Start Date]],9),IF(Main[[#This Row],[Class]]="B", WORKDAY(Main[[#This Row],[Tech Start Date]],6),IF(Main[[#This Row],[Class]]="A",WORKDAY(Main[[#This Row],[Tech Start Date]],2),""))))</f>
        <v/>
      </c>
      <c r="N461" s="114" t="str">
        <f>IF(Main[[#This Row],[Tech Start Date]]&lt;1/1/1990,"",IF(Main[[#This Row],[Class]]="C",WORKDAY(Main[[#This Row],[Tech Start Date]],19),IF(Main[[#This Row],[Class]]="B", WORKDAY(Main[[#This Row],[Tech Start Date]],12),IF(Main[[#This Row],[Class]]="A",WORKDAY(Main[[#This Row],[Tech Start Date]],4),""))))</f>
        <v/>
      </c>
      <c r="O461" s="114" t="str">
        <f>IF(Main[[#This Row],[Tech Start Date]]&lt;1/1/1990,"",IF(Main[[#This Row],[Class]]="C",WORKDAY(Main[[#This Row],[Tech Start Date]],23),IF(Main[[#This Row],[Class]]="B", WORKDAY(Main[[#This Row],[Tech Start Date]],15),IF(Main[[#This Row],[Class]]="A",WORKDAY(Main[[#This Row],[Tech Start Date]],5),""))))</f>
        <v/>
      </c>
      <c r="P461" s="114" t="str">
        <f>IF(Main[[#This Row],[Tech Start Date]]&lt;1/1/1990,"",IF(Main[[#This Row],[Class]]="C",WORKDAY(Main[[#This Row],[Tech Start Date]],28),IF(Main[[#This Row],[Class]]="B", WORKDAY(Main[[#This Row],[Tech Start Date]],19),IF(Main[[#This Row],[Class]]="A",WORKDAY(Main[[#This Row],[Tech Start Date]],9),""))))</f>
        <v/>
      </c>
      <c r="Q461" s="129">
        <v>40318</v>
      </c>
      <c r="R461" s="129"/>
      <c r="S461" s="139" t="s">
        <v>11</v>
      </c>
      <c r="T461" s="115" t="s">
        <v>4</v>
      </c>
      <c r="U461" s="139" t="s">
        <v>14</v>
      </c>
      <c r="V461" s="139" t="s">
        <v>1917</v>
      </c>
      <c r="W461" s="139" t="s">
        <v>1916</v>
      </c>
      <c r="X461" s="139" t="s">
        <v>2830</v>
      </c>
      <c r="Y461" s="112" t="s">
        <v>4</v>
      </c>
      <c r="Z461" s="112" t="s">
        <v>4</v>
      </c>
      <c r="AA461" s="139" t="s">
        <v>2830</v>
      </c>
    </row>
    <row r="462" spans="1:27" ht="17.25" customHeight="1">
      <c r="A462" s="69" t="str">
        <f>IF(priority(Main[[#This Row],[Comments]])&lt;&gt;0, priority(Main[[#This Row],[Comments]]),"")</f>
        <v/>
      </c>
      <c r="B462" s="63" t="s">
        <v>1298</v>
      </c>
      <c r="C462" s="148" t="s">
        <v>4</v>
      </c>
      <c r="D462" s="113" t="s">
        <v>372</v>
      </c>
      <c r="E462" s="129">
        <v>40679.255486111113</v>
      </c>
      <c r="F462" s="129"/>
      <c r="G462" s="69" t="str">
        <f>IF(stdProdLT(Main[[#This Row],[Comments]])=0.1,"N/A",IF(stdProdLT(Main[[#This Row],[Comments]])=0,"",stdProdLT(Main[[#This Row],[Comments]])))</f>
        <v/>
      </c>
      <c r="H462" s="138" t="str">
        <f>IF(Main[[#This Row],[In Stock Date]]="N/A", "N/A",IF(AND(Main[[#This Row],[In Stock Date]]&lt;&gt;"",Main[[#This Row],[Revised Due Date]]&lt;&gt;"",Main[[#This Row],[In Stock Date]]&lt;&gt;""),Main[[#This Row],[In Stock Date]]-Main[[#This Row],[Revised Due Date]],""))</f>
        <v/>
      </c>
      <c r="I462" s="139" t="s">
        <v>4</v>
      </c>
      <c r="J462" s="139" t="s">
        <v>4</v>
      </c>
      <c r="K462" s="139" t="s">
        <v>4</v>
      </c>
      <c r="L462" s="129"/>
      <c r="M462" s="114" t="str">
        <f>IF(Main[[#This Row],[Tech Start Date]]&lt;1/1/1990,"",IF(Main[[#This Row],[Class]]="C",WORKDAY(Main[[#This Row],[Tech Start Date]],9),IF(Main[[#This Row],[Class]]="B", WORKDAY(Main[[#This Row],[Tech Start Date]],6),IF(Main[[#This Row],[Class]]="A",WORKDAY(Main[[#This Row],[Tech Start Date]],2),""))))</f>
        <v/>
      </c>
      <c r="N462" s="114" t="str">
        <f>IF(Main[[#This Row],[Tech Start Date]]&lt;1/1/1990,"",IF(Main[[#This Row],[Class]]="C",WORKDAY(Main[[#This Row],[Tech Start Date]],19),IF(Main[[#This Row],[Class]]="B", WORKDAY(Main[[#This Row],[Tech Start Date]],12),IF(Main[[#This Row],[Class]]="A",WORKDAY(Main[[#This Row],[Tech Start Date]],4),""))))</f>
        <v/>
      </c>
      <c r="O462" s="114" t="str">
        <f>IF(Main[[#This Row],[Tech Start Date]]&lt;1/1/1990,"",IF(Main[[#This Row],[Class]]="C",WORKDAY(Main[[#This Row],[Tech Start Date]],23),IF(Main[[#This Row],[Class]]="B", WORKDAY(Main[[#This Row],[Tech Start Date]],15),IF(Main[[#This Row],[Class]]="A",WORKDAY(Main[[#This Row],[Tech Start Date]],5),""))))</f>
        <v/>
      </c>
      <c r="P462" s="114" t="str">
        <f>IF(Main[[#This Row],[Tech Start Date]]&lt;1/1/1990,"",IF(Main[[#This Row],[Class]]="C",WORKDAY(Main[[#This Row],[Tech Start Date]],28),IF(Main[[#This Row],[Class]]="B", WORKDAY(Main[[#This Row],[Tech Start Date]],19),IF(Main[[#This Row],[Class]]="A",WORKDAY(Main[[#This Row],[Tech Start Date]],9),""))))</f>
        <v/>
      </c>
      <c r="Q462" s="129">
        <v>40724</v>
      </c>
      <c r="R462" s="129"/>
      <c r="S462" s="139" t="s">
        <v>6</v>
      </c>
      <c r="T462" s="115" t="s">
        <v>4</v>
      </c>
      <c r="U462" s="139" t="s">
        <v>7</v>
      </c>
      <c r="V462" s="139" t="s">
        <v>1914</v>
      </c>
      <c r="W462" s="139" t="s">
        <v>4</v>
      </c>
      <c r="X462" s="139" t="s">
        <v>2822</v>
      </c>
      <c r="Y462" s="112" t="s">
        <v>2938</v>
      </c>
      <c r="Z462" s="112" t="s">
        <v>4</v>
      </c>
      <c r="AA462" s="139" t="s">
        <v>2822</v>
      </c>
    </row>
    <row r="463" spans="1:27" ht="17.25" customHeight="1">
      <c r="A463" s="69" t="str">
        <f>IF(priority(Main[[#This Row],[Comments]])&lt;&gt;0, priority(Main[[#This Row],[Comments]]),"")</f>
        <v/>
      </c>
      <c r="B463" s="63" t="s">
        <v>1299</v>
      </c>
      <c r="C463" s="148" t="s">
        <v>4</v>
      </c>
      <c r="D463" s="113" t="s">
        <v>373</v>
      </c>
      <c r="E463" s="129"/>
      <c r="F463" s="129"/>
      <c r="G463" s="69" t="str">
        <f>IF(stdProdLT(Main[[#This Row],[Comments]])=0.1,"N/A",IF(stdProdLT(Main[[#This Row],[Comments]])=0,"",stdProdLT(Main[[#This Row],[Comments]])))</f>
        <v/>
      </c>
      <c r="H463" s="138" t="str">
        <f>IF(Main[[#This Row],[In Stock Date]]="N/A", "N/A",IF(AND(Main[[#This Row],[In Stock Date]]&lt;&gt;"",Main[[#This Row],[Revised Due Date]]&lt;&gt;"",Main[[#This Row],[In Stock Date]]&lt;&gt;""),Main[[#This Row],[In Stock Date]]-Main[[#This Row],[Revised Due Date]],""))</f>
        <v/>
      </c>
      <c r="I463" s="139" t="s">
        <v>4</v>
      </c>
      <c r="J463" s="139" t="s">
        <v>4</v>
      </c>
      <c r="K463" s="139" t="s">
        <v>4</v>
      </c>
      <c r="L463" s="129"/>
      <c r="M463" s="114" t="str">
        <f>IF(Main[[#This Row],[Tech Start Date]]&lt;1/1/1990,"",IF(Main[[#This Row],[Class]]="C",WORKDAY(Main[[#This Row],[Tech Start Date]],9),IF(Main[[#This Row],[Class]]="B", WORKDAY(Main[[#This Row],[Tech Start Date]],6),IF(Main[[#This Row],[Class]]="A",WORKDAY(Main[[#This Row],[Tech Start Date]],2),""))))</f>
        <v/>
      </c>
      <c r="N463" s="114" t="str">
        <f>IF(Main[[#This Row],[Tech Start Date]]&lt;1/1/1990,"",IF(Main[[#This Row],[Class]]="C",WORKDAY(Main[[#This Row],[Tech Start Date]],19),IF(Main[[#This Row],[Class]]="B", WORKDAY(Main[[#This Row],[Tech Start Date]],12),IF(Main[[#This Row],[Class]]="A",WORKDAY(Main[[#This Row],[Tech Start Date]],4),""))))</f>
        <v/>
      </c>
      <c r="O463" s="114" t="str">
        <f>IF(Main[[#This Row],[Tech Start Date]]&lt;1/1/1990,"",IF(Main[[#This Row],[Class]]="C",WORKDAY(Main[[#This Row],[Tech Start Date]],23),IF(Main[[#This Row],[Class]]="B", WORKDAY(Main[[#This Row],[Tech Start Date]],15),IF(Main[[#This Row],[Class]]="A",WORKDAY(Main[[#This Row],[Tech Start Date]],5),""))))</f>
        <v/>
      </c>
      <c r="P463" s="114" t="str">
        <f>IF(Main[[#This Row],[Tech Start Date]]&lt;1/1/1990,"",IF(Main[[#This Row],[Class]]="C",WORKDAY(Main[[#This Row],[Tech Start Date]],28),IF(Main[[#This Row],[Class]]="B", WORKDAY(Main[[#This Row],[Tech Start Date]],19),IF(Main[[#This Row],[Class]]="A",WORKDAY(Main[[#This Row],[Tech Start Date]],9),""))))</f>
        <v/>
      </c>
      <c r="Q463" s="129"/>
      <c r="R463" s="129"/>
      <c r="S463" s="139" t="s">
        <v>11</v>
      </c>
      <c r="T463" s="115" t="s">
        <v>4</v>
      </c>
      <c r="U463" s="139" t="s">
        <v>14</v>
      </c>
      <c r="V463" s="139" t="s">
        <v>1917</v>
      </c>
      <c r="W463" s="139" t="s">
        <v>1925</v>
      </c>
      <c r="X463" s="139" t="s">
        <v>306</v>
      </c>
      <c r="Y463" s="112" t="s">
        <v>4</v>
      </c>
      <c r="Z463" s="112" t="s">
        <v>4</v>
      </c>
      <c r="AA463" s="139" t="s">
        <v>3396</v>
      </c>
    </row>
    <row r="464" spans="1:27" ht="17.25" customHeight="1">
      <c r="A464" s="69" t="str">
        <f>IF(priority(Main[[#This Row],[Comments]])&lt;&gt;0, priority(Main[[#This Row],[Comments]]),"")</f>
        <v/>
      </c>
      <c r="B464" s="63" t="s">
        <v>1983</v>
      </c>
      <c r="C464" s="148" t="s">
        <v>4</v>
      </c>
      <c r="D464" s="113" t="s">
        <v>1984</v>
      </c>
      <c r="E464" s="129"/>
      <c r="F464" s="129"/>
      <c r="G464" s="69" t="str">
        <f>IF(stdProdLT(Main[[#This Row],[Comments]])=0.1,"N/A",IF(stdProdLT(Main[[#This Row],[Comments]])=0,"",stdProdLT(Main[[#This Row],[Comments]])))</f>
        <v/>
      </c>
      <c r="H464" s="138" t="str">
        <f>IF(Main[[#This Row],[In Stock Date]]="N/A", "N/A",IF(AND(Main[[#This Row],[In Stock Date]]&lt;&gt;"",Main[[#This Row],[Revised Due Date]]&lt;&gt;"",Main[[#This Row],[In Stock Date]]&lt;&gt;""),Main[[#This Row],[In Stock Date]]-Main[[#This Row],[Revised Due Date]],""))</f>
        <v/>
      </c>
      <c r="I464" s="139" t="s">
        <v>4</v>
      </c>
      <c r="J464" s="139" t="s">
        <v>4</v>
      </c>
      <c r="K464" s="139" t="s">
        <v>4</v>
      </c>
      <c r="L464" s="129"/>
      <c r="M464" s="114" t="str">
        <f>IF(Main[[#This Row],[Tech Start Date]]&lt;1/1/1990,"",IF(Main[[#This Row],[Class]]="C",WORKDAY(Main[[#This Row],[Tech Start Date]],9),IF(Main[[#This Row],[Class]]="B", WORKDAY(Main[[#This Row],[Tech Start Date]],6),IF(Main[[#This Row],[Class]]="A",WORKDAY(Main[[#This Row],[Tech Start Date]],2),""))))</f>
        <v/>
      </c>
      <c r="N464" s="114" t="str">
        <f>IF(Main[[#This Row],[Tech Start Date]]&lt;1/1/1990,"",IF(Main[[#This Row],[Class]]="C",WORKDAY(Main[[#This Row],[Tech Start Date]],19),IF(Main[[#This Row],[Class]]="B", WORKDAY(Main[[#This Row],[Tech Start Date]],12),IF(Main[[#This Row],[Class]]="A",WORKDAY(Main[[#This Row],[Tech Start Date]],4),""))))</f>
        <v/>
      </c>
      <c r="O464" s="114" t="str">
        <f>IF(Main[[#This Row],[Tech Start Date]]&lt;1/1/1990,"",IF(Main[[#This Row],[Class]]="C",WORKDAY(Main[[#This Row],[Tech Start Date]],23),IF(Main[[#This Row],[Class]]="B", WORKDAY(Main[[#This Row],[Tech Start Date]],15),IF(Main[[#This Row],[Class]]="A",WORKDAY(Main[[#This Row],[Tech Start Date]],5),""))))</f>
        <v/>
      </c>
      <c r="P464" s="114" t="str">
        <f>IF(Main[[#This Row],[Tech Start Date]]&lt;1/1/1990,"",IF(Main[[#This Row],[Class]]="C",WORKDAY(Main[[#This Row],[Tech Start Date]],28),IF(Main[[#This Row],[Class]]="B", WORKDAY(Main[[#This Row],[Tech Start Date]],19),IF(Main[[#This Row],[Class]]="A",WORKDAY(Main[[#This Row],[Tech Start Date]],9),""))))</f>
        <v/>
      </c>
      <c r="Q464" s="129"/>
      <c r="R464" s="129"/>
      <c r="S464" s="139" t="s">
        <v>11</v>
      </c>
      <c r="T464" s="115" t="s">
        <v>4</v>
      </c>
      <c r="U464" s="139" t="s">
        <v>12</v>
      </c>
      <c r="V464" s="139" t="s">
        <v>1914</v>
      </c>
      <c r="W464" s="139" t="s">
        <v>1918</v>
      </c>
      <c r="X464" s="139" t="s">
        <v>937</v>
      </c>
      <c r="Y464" s="112" t="s">
        <v>2984</v>
      </c>
      <c r="Z464" s="112" t="s">
        <v>4</v>
      </c>
      <c r="AA464" s="139" t="s">
        <v>937</v>
      </c>
    </row>
    <row r="465" spans="1:27" ht="17.25" customHeight="1">
      <c r="A465" s="69" t="str">
        <f>IF(priority(Main[[#This Row],[Comments]])&lt;&gt;0, priority(Main[[#This Row],[Comments]]),"")</f>
        <v/>
      </c>
      <c r="B465" s="63" t="s">
        <v>1301</v>
      </c>
      <c r="C465" s="148" t="s">
        <v>4</v>
      </c>
      <c r="D465" s="113" t="s">
        <v>97</v>
      </c>
      <c r="E465" s="129"/>
      <c r="F465" s="129"/>
      <c r="G465" s="69" t="str">
        <f>IF(stdProdLT(Main[[#This Row],[Comments]])=0.1,"N/A",IF(stdProdLT(Main[[#This Row],[Comments]])=0,"",stdProdLT(Main[[#This Row],[Comments]])))</f>
        <v/>
      </c>
      <c r="H465" s="138" t="str">
        <f>IF(Main[[#This Row],[In Stock Date]]="N/A", "N/A",IF(AND(Main[[#This Row],[In Stock Date]]&lt;&gt;"",Main[[#This Row],[Revised Due Date]]&lt;&gt;"",Main[[#This Row],[In Stock Date]]&lt;&gt;""),Main[[#This Row],[In Stock Date]]-Main[[#This Row],[Revised Due Date]],""))</f>
        <v/>
      </c>
      <c r="I465" s="139" t="s">
        <v>4</v>
      </c>
      <c r="J465" s="139" t="s">
        <v>4</v>
      </c>
      <c r="K465" s="139" t="s">
        <v>4</v>
      </c>
      <c r="L465" s="129"/>
      <c r="M465" s="114" t="str">
        <f>IF(Main[[#This Row],[Tech Start Date]]&lt;1/1/1990,"",IF(Main[[#This Row],[Class]]="C",WORKDAY(Main[[#This Row],[Tech Start Date]],9),IF(Main[[#This Row],[Class]]="B", WORKDAY(Main[[#This Row],[Tech Start Date]],6),IF(Main[[#This Row],[Class]]="A",WORKDAY(Main[[#This Row],[Tech Start Date]],2),""))))</f>
        <v/>
      </c>
      <c r="N465" s="114" t="str">
        <f>IF(Main[[#This Row],[Tech Start Date]]&lt;1/1/1990,"",IF(Main[[#This Row],[Class]]="C",WORKDAY(Main[[#This Row],[Tech Start Date]],19),IF(Main[[#This Row],[Class]]="B", WORKDAY(Main[[#This Row],[Tech Start Date]],12),IF(Main[[#This Row],[Class]]="A",WORKDAY(Main[[#This Row],[Tech Start Date]],4),""))))</f>
        <v/>
      </c>
      <c r="O465" s="114" t="str">
        <f>IF(Main[[#This Row],[Tech Start Date]]&lt;1/1/1990,"",IF(Main[[#This Row],[Class]]="C",WORKDAY(Main[[#This Row],[Tech Start Date]],23),IF(Main[[#This Row],[Class]]="B", WORKDAY(Main[[#This Row],[Tech Start Date]],15),IF(Main[[#This Row],[Class]]="A",WORKDAY(Main[[#This Row],[Tech Start Date]],5),""))))</f>
        <v/>
      </c>
      <c r="P465" s="114" t="str">
        <f>IF(Main[[#This Row],[Tech Start Date]]&lt;1/1/1990,"",IF(Main[[#This Row],[Class]]="C",WORKDAY(Main[[#This Row],[Tech Start Date]],28),IF(Main[[#This Row],[Class]]="B", WORKDAY(Main[[#This Row],[Tech Start Date]],19),IF(Main[[#This Row],[Class]]="A",WORKDAY(Main[[#This Row],[Tech Start Date]],9),""))))</f>
        <v/>
      </c>
      <c r="Q465" s="129">
        <v>40858</v>
      </c>
      <c r="R465" s="129"/>
      <c r="S465" s="139" t="s">
        <v>17</v>
      </c>
      <c r="T465" s="115" t="s">
        <v>4</v>
      </c>
      <c r="U465" s="139" t="s">
        <v>14</v>
      </c>
      <c r="V465" s="139" t="s">
        <v>1914</v>
      </c>
      <c r="W465" s="139" t="s">
        <v>1919</v>
      </c>
      <c r="X465" s="139" t="s">
        <v>50</v>
      </c>
      <c r="Y465" s="112" t="s">
        <v>2959</v>
      </c>
      <c r="Z465" s="112" t="s">
        <v>4</v>
      </c>
      <c r="AA465" s="139" t="s">
        <v>2828</v>
      </c>
    </row>
    <row r="466" spans="1:27" ht="17.25" customHeight="1">
      <c r="A466" s="69" t="str">
        <f>IF(priority(Main[[#This Row],[Comments]])&lt;&gt;0, priority(Main[[#This Row],[Comments]]),"")</f>
        <v/>
      </c>
      <c r="B466" s="63" t="s">
        <v>1302</v>
      </c>
      <c r="C466" s="148" t="s">
        <v>95</v>
      </c>
      <c r="D466" s="113" t="s">
        <v>375</v>
      </c>
      <c r="E466" s="129"/>
      <c r="F466" s="129">
        <v>40195</v>
      </c>
      <c r="G466" s="69" t="str">
        <f>IF(stdProdLT(Main[[#This Row],[Comments]])=0.1,"N/A",IF(stdProdLT(Main[[#This Row],[Comments]])=0,"",stdProdLT(Main[[#This Row],[Comments]])))</f>
        <v/>
      </c>
      <c r="H466" s="138" t="str">
        <f>IF(Main[[#This Row],[In Stock Date]]="N/A", "N/A",IF(AND(Main[[#This Row],[In Stock Date]]&lt;&gt;"",Main[[#This Row],[Revised Due Date]]&lt;&gt;"",Main[[#This Row],[In Stock Date]]&lt;&gt;""),Main[[#This Row],[In Stock Date]]-Main[[#This Row],[Revised Due Date]],""))</f>
        <v/>
      </c>
      <c r="I466" s="139" t="s">
        <v>4</v>
      </c>
      <c r="J466" s="139" t="s">
        <v>4</v>
      </c>
      <c r="K466" s="139" t="s">
        <v>4</v>
      </c>
      <c r="L466" s="129"/>
      <c r="M466" s="114" t="str">
        <f>IF(Main[[#This Row],[Tech Start Date]]&lt;1/1/1990,"",IF(Main[[#This Row],[Class]]="C",WORKDAY(Main[[#This Row],[Tech Start Date]],9),IF(Main[[#This Row],[Class]]="B", WORKDAY(Main[[#This Row],[Tech Start Date]],6),IF(Main[[#This Row],[Class]]="A",WORKDAY(Main[[#This Row],[Tech Start Date]],2),""))))</f>
        <v/>
      </c>
      <c r="N466" s="114" t="str">
        <f>IF(Main[[#This Row],[Tech Start Date]]&lt;1/1/1990,"",IF(Main[[#This Row],[Class]]="C",WORKDAY(Main[[#This Row],[Tech Start Date]],19),IF(Main[[#This Row],[Class]]="B", WORKDAY(Main[[#This Row],[Tech Start Date]],12),IF(Main[[#This Row],[Class]]="A",WORKDAY(Main[[#This Row],[Tech Start Date]],4),""))))</f>
        <v/>
      </c>
      <c r="O466" s="114" t="str">
        <f>IF(Main[[#This Row],[Tech Start Date]]&lt;1/1/1990,"",IF(Main[[#This Row],[Class]]="C",WORKDAY(Main[[#This Row],[Tech Start Date]],23),IF(Main[[#This Row],[Class]]="B", WORKDAY(Main[[#This Row],[Tech Start Date]],15),IF(Main[[#This Row],[Class]]="A",WORKDAY(Main[[#This Row],[Tech Start Date]],5),""))))</f>
        <v/>
      </c>
      <c r="P466" s="114" t="str">
        <f>IF(Main[[#This Row],[Tech Start Date]]&lt;1/1/1990,"",IF(Main[[#This Row],[Class]]="C",WORKDAY(Main[[#This Row],[Tech Start Date]],28),IF(Main[[#This Row],[Class]]="B", WORKDAY(Main[[#This Row],[Tech Start Date]],19),IF(Main[[#This Row],[Class]]="A",WORKDAY(Main[[#This Row],[Tech Start Date]],9),""))))</f>
        <v/>
      </c>
      <c r="Q466" s="129">
        <v>40070</v>
      </c>
      <c r="R466" s="129"/>
      <c r="S466" s="139" t="s">
        <v>11</v>
      </c>
      <c r="T466" s="115" t="s">
        <v>4</v>
      </c>
      <c r="U466" s="139" t="s">
        <v>14</v>
      </c>
      <c r="V466" s="139" t="s">
        <v>1917</v>
      </c>
      <c r="W466" s="139" t="s">
        <v>1920</v>
      </c>
      <c r="X466" s="139" t="s">
        <v>2876</v>
      </c>
      <c r="Y466" s="112" t="s">
        <v>4</v>
      </c>
      <c r="Z466" s="112" t="s">
        <v>4</v>
      </c>
      <c r="AA466" s="139" t="s">
        <v>3406</v>
      </c>
    </row>
    <row r="467" spans="1:27" ht="17.25" customHeight="1">
      <c r="A467" s="69" t="str">
        <f>IF(priority(Main[[#This Row],[Comments]])&lt;&gt;0, priority(Main[[#This Row],[Comments]]),"")</f>
        <v/>
      </c>
      <c r="B467" s="63" t="s">
        <v>1826</v>
      </c>
      <c r="C467" s="148" t="s">
        <v>4</v>
      </c>
      <c r="D467" s="113" t="s">
        <v>878</v>
      </c>
      <c r="E467" s="129">
        <v>40122.528101851851</v>
      </c>
      <c r="F467" s="129"/>
      <c r="G467" s="69" t="str">
        <f>IF(stdProdLT(Main[[#This Row],[Comments]])=0.1,"N/A",IF(stdProdLT(Main[[#This Row],[Comments]])=0,"",stdProdLT(Main[[#This Row],[Comments]])))</f>
        <v/>
      </c>
      <c r="H467" s="138" t="str">
        <f>IF(Main[[#This Row],[In Stock Date]]="N/A", "N/A",IF(AND(Main[[#This Row],[In Stock Date]]&lt;&gt;"",Main[[#This Row],[Revised Due Date]]&lt;&gt;"",Main[[#This Row],[In Stock Date]]&lt;&gt;""),Main[[#This Row],[In Stock Date]]-Main[[#This Row],[Revised Due Date]],""))</f>
        <v/>
      </c>
      <c r="I467" s="139" t="s">
        <v>4</v>
      </c>
      <c r="J467" s="139" t="s">
        <v>4</v>
      </c>
      <c r="K467" s="139" t="s">
        <v>4</v>
      </c>
      <c r="L467" s="129"/>
      <c r="M467" s="114" t="str">
        <f>IF(Main[[#This Row],[Tech Start Date]]&lt;1/1/1990,"",IF(Main[[#This Row],[Class]]="C",WORKDAY(Main[[#This Row],[Tech Start Date]],9),IF(Main[[#This Row],[Class]]="B", WORKDAY(Main[[#This Row],[Tech Start Date]],6),IF(Main[[#This Row],[Class]]="A",WORKDAY(Main[[#This Row],[Tech Start Date]],2),""))))</f>
        <v/>
      </c>
      <c r="N467" s="114" t="str">
        <f>IF(Main[[#This Row],[Tech Start Date]]&lt;1/1/1990,"",IF(Main[[#This Row],[Class]]="C",WORKDAY(Main[[#This Row],[Tech Start Date]],19),IF(Main[[#This Row],[Class]]="B", WORKDAY(Main[[#This Row],[Tech Start Date]],12),IF(Main[[#This Row],[Class]]="A",WORKDAY(Main[[#This Row],[Tech Start Date]],4),""))))</f>
        <v/>
      </c>
      <c r="O467" s="114" t="str">
        <f>IF(Main[[#This Row],[Tech Start Date]]&lt;1/1/1990,"",IF(Main[[#This Row],[Class]]="C",WORKDAY(Main[[#This Row],[Tech Start Date]],23),IF(Main[[#This Row],[Class]]="B", WORKDAY(Main[[#This Row],[Tech Start Date]],15),IF(Main[[#This Row],[Class]]="A",WORKDAY(Main[[#This Row],[Tech Start Date]],5),""))))</f>
        <v/>
      </c>
      <c r="P467" s="114" t="str">
        <f>IF(Main[[#This Row],[Tech Start Date]]&lt;1/1/1990,"",IF(Main[[#This Row],[Class]]="C",WORKDAY(Main[[#This Row],[Tech Start Date]],28),IF(Main[[#This Row],[Class]]="B", WORKDAY(Main[[#This Row],[Tech Start Date]],19),IF(Main[[#This Row],[Class]]="A",WORKDAY(Main[[#This Row],[Tech Start Date]],9),""))))</f>
        <v/>
      </c>
      <c r="Q467" s="129"/>
      <c r="R467" s="129">
        <v>40368</v>
      </c>
      <c r="S467" s="139" t="s">
        <v>17</v>
      </c>
      <c r="T467" s="115" t="s">
        <v>4</v>
      </c>
      <c r="U467" s="139" t="s">
        <v>29</v>
      </c>
      <c r="V467" s="139" t="s">
        <v>1915</v>
      </c>
      <c r="W467" s="139" t="s">
        <v>1919</v>
      </c>
      <c r="X467" s="139" t="s">
        <v>2862</v>
      </c>
      <c r="Y467" s="112" t="s">
        <v>3006</v>
      </c>
      <c r="Z467" s="112" t="s">
        <v>4</v>
      </c>
      <c r="AA467" s="139" t="s">
        <v>2862</v>
      </c>
    </row>
    <row r="468" spans="1:27" ht="17.25" customHeight="1">
      <c r="A468" s="69" t="str">
        <f>IF(priority(Main[[#This Row],[Comments]])&lt;&gt;0, priority(Main[[#This Row],[Comments]]),"")</f>
        <v/>
      </c>
      <c r="B468" s="63" t="s">
        <v>1852</v>
      </c>
      <c r="C468" s="148" t="s">
        <v>67</v>
      </c>
      <c r="D468" s="113" t="s">
        <v>908</v>
      </c>
      <c r="E468" s="129">
        <v>39981.49927083333</v>
      </c>
      <c r="F468" s="129"/>
      <c r="G468" s="69" t="str">
        <f>IF(stdProdLT(Main[[#This Row],[Comments]])=0.1,"N/A",IF(stdProdLT(Main[[#This Row],[Comments]])=0,"",stdProdLT(Main[[#This Row],[Comments]])))</f>
        <v/>
      </c>
      <c r="H468" s="138" t="str">
        <f>IF(Main[[#This Row],[In Stock Date]]="N/A", "N/A",IF(AND(Main[[#This Row],[In Stock Date]]&lt;&gt;"",Main[[#This Row],[Revised Due Date]]&lt;&gt;"",Main[[#This Row],[In Stock Date]]&lt;&gt;""),Main[[#This Row],[In Stock Date]]-Main[[#This Row],[Revised Due Date]],""))</f>
        <v/>
      </c>
      <c r="I468" s="139" t="s">
        <v>974</v>
      </c>
      <c r="J468" s="139" t="s">
        <v>4</v>
      </c>
      <c r="K468" s="139" t="s">
        <v>1926</v>
      </c>
      <c r="L468" s="129"/>
      <c r="M468" s="114" t="str">
        <f>IF(Main[[#This Row],[Tech Start Date]]&lt;1/1/1990,"",IF(Main[[#This Row],[Class]]="C",WORKDAY(Main[[#This Row],[Tech Start Date]],9),IF(Main[[#This Row],[Class]]="B", WORKDAY(Main[[#This Row],[Tech Start Date]],6),IF(Main[[#This Row],[Class]]="A",WORKDAY(Main[[#This Row],[Tech Start Date]],2),""))))</f>
        <v/>
      </c>
      <c r="N468" s="114" t="str">
        <f>IF(Main[[#This Row],[Tech Start Date]]&lt;1/1/1990,"",IF(Main[[#This Row],[Class]]="C",WORKDAY(Main[[#This Row],[Tech Start Date]],19),IF(Main[[#This Row],[Class]]="B", WORKDAY(Main[[#This Row],[Tech Start Date]],12),IF(Main[[#This Row],[Class]]="A",WORKDAY(Main[[#This Row],[Tech Start Date]],4),""))))</f>
        <v/>
      </c>
      <c r="O468" s="114" t="str">
        <f>IF(Main[[#This Row],[Tech Start Date]]&lt;1/1/1990,"",IF(Main[[#This Row],[Class]]="C",WORKDAY(Main[[#This Row],[Tech Start Date]],23),IF(Main[[#This Row],[Class]]="B", WORKDAY(Main[[#This Row],[Tech Start Date]],15),IF(Main[[#This Row],[Class]]="A",WORKDAY(Main[[#This Row],[Tech Start Date]],5),""))))</f>
        <v/>
      </c>
      <c r="P468" s="114" t="str">
        <f>IF(Main[[#This Row],[Tech Start Date]]&lt;1/1/1990,"",IF(Main[[#This Row],[Class]]="C",WORKDAY(Main[[#This Row],[Tech Start Date]],28),IF(Main[[#This Row],[Class]]="B", WORKDAY(Main[[#This Row],[Tech Start Date]],19),IF(Main[[#This Row],[Class]]="A",WORKDAY(Main[[#This Row],[Tech Start Date]],9),""))))</f>
        <v/>
      </c>
      <c r="Q468" s="129">
        <v>40057</v>
      </c>
      <c r="R468" s="129">
        <v>40908</v>
      </c>
      <c r="S468" s="139" t="s">
        <v>17</v>
      </c>
      <c r="T468" s="115" t="s">
        <v>4</v>
      </c>
      <c r="U468" s="139" t="s">
        <v>29</v>
      </c>
      <c r="V468" s="139" t="s">
        <v>1917</v>
      </c>
      <c r="W468" s="139" t="s">
        <v>1919</v>
      </c>
      <c r="X468" s="139" t="s">
        <v>2820</v>
      </c>
      <c r="Y468" s="112" t="s">
        <v>3028</v>
      </c>
      <c r="Z468" s="112" t="s">
        <v>415</v>
      </c>
      <c r="AA468" s="139" t="s">
        <v>3409</v>
      </c>
    </row>
    <row r="469" spans="1:27" ht="17.25" customHeight="1">
      <c r="A469" s="69" t="str">
        <f>IF(priority(Main[[#This Row],[Comments]])&lt;&gt;0, priority(Main[[#This Row],[Comments]]),"")</f>
        <v/>
      </c>
      <c r="B469" s="63" t="s">
        <v>2079</v>
      </c>
      <c r="C469" s="148" t="s">
        <v>951</v>
      </c>
      <c r="D469" s="113" t="s">
        <v>2080</v>
      </c>
      <c r="E469" s="129"/>
      <c r="F469" s="129">
        <v>40871</v>
      </c>
      <c r="G469" s="69" t="str">
        <f>IF(stdProdLT(Main[[#This Row],[Comments]])=0.1,"N/A",IF(stdProdLT(Main[[#This Row],[Comments]])=0,"",stdProdLT(Main[[#This Row],[Comments]])))</f>
        <v/>
      </c>
      <c r="H469" s="138" t="str">
        <f>IF(Main[[#This Row],[In Stock Date]]="N/A", "N/A",IF(AND(Main[[#This Row],[In Stock Date]]&lt;&gt;"",Main[[#This Row],[Revised Due Date]]&lt;&gt;"",Main[[#This Row],[In Stock Date]]&lt;&gt;""),Main[[#This Row],[In Stock Date]]-Main[[#This Row],[Revised Due Date]],""))</f>
        <v/>
      </c>
      <c r="I469" s="139" t="s">
        <v>4</v>
      </c>
      <c r="J469" s="139" t="s">
        <v>4</v>
      </c>
      <c r="K469" s="139" t="s">
        <v>4</v>
      </c>
      <c r="L469" s="129"/>
      <c r="M469" s="114" t="str">
        <f>IF(Main[[#This Row],[Tech Start Date]]&lt;1/1/1990,"",IF(Main[[#This Row],[Class]]="C",WORKDAY(Main[[#This Row],[Tech Start Date]],9),IF(Main[[#This Row],[Class]]="B", WORKDAY(Main[[#This Row],[Tech Start Date]],6),IF(Main[[#This Row],[Class]]="A",WORKDAY(Main[[#This Row],[Tech Start Date]],2),""))))</f>
        <v/>
      </c>
      <c r="N469" s="114" t="str">
        <f>IF(Main[[#This Row],[Tech Start Date]]&lt;1/1/1990,"",IF(Main[[#This Row],[Class]]="C",WORKDAY(Main[[#This Row],[Tech Start Date]],19),IF(Main[[#This Row],[Class]]="B", WORKDAY(Main[[#This Row],[Tech Start Date]],12),IF(Main[[#This Row],[Class]]="A",WORKDAY(Main[[#This Row],[Tech Start Date]],4),""))))</f>
        <v/>
      </c>
      <c r="O469" s="114" t="str">
        <f>IF(Main[[#This Row],[Tech Start Date]]&lt;1/1/1990,"",IF(Main[[#This Row],[Class]]="C",WORKDAY(Main[[#This Row],[Tech Start Date]],23),IF(Main[[#This Row],[Class]]="B", WORKDAY(Main[[#This Row],[Tech Start Date]],15),IF(Main[[#This Row],[Class]]="A",WORKDAY(Main[[#This Row],[Tech Start Date]],5),""))))</f>
        <v/>
      </c>
      <c r="P469" s="114" t="str">
        <f>IF(Main[[#This Row],[Tech Start Date]]&lt;1/1/1990,"",IF(Main[[#This Row],[Class]]="C",WORKDAY(Main[[#This Row],[Tech Start Date]],28),IF(Main[[#This Row],[Class]]="B", WORKDAY(Main[[#This Row],[Tech Start Date]],19),IF(Main[[#This Row],[Class]]="A",WORKDAY(Main[[#This Row],[Tech Start Date]],9),""))))</f>
        <v/>
      </c>
      <c r="Q469" s="129"/>
      <c r="R469" s="129"/>
      <c r="S469" s="139" t="s">
        <v>11</v>
      </c>
      <c r="T469" s="115" t="s">
        <v>4</v>
      </c>
      <c r="U469" s="139" t="s">
        <v>14</v>
      </c>
      <c r="V469" s="139" t="s">
        <v>1917</v>
      </c>
      <c r="W469" s="139" t="s">
        <v>1922</v>
      </c>
      <c r="X469" s="139" t="s">
        <v>50</v>
      </c>
      <c r="Y469" s="112" t="s">
        <v>2961</v>
      </c>
      <c r="Z469" s="112" t="s">
        <v>4</v>
      </c>
      <c r="AA469" s="139" t="s">
        <v>50</v>
      </c>
    </row>
    <row r="470" spans="1:27" ht="17.25" customHeight="1">
      <c r="A470" s="69" t="str">
        <f>IF(priority(Main[[#This Row],[Comments]])&lt;&gt;0, priority(Main[[#This Row],[Comments]]),"")</f>
        <v/>
      </c>
      <c r="B470" s="63" t="s">
        <v>1303</v>
      </c>
      <c r="C470" s="148" t="s">
        <v>376</v>
      </c>
      <c r="D470" s="113" t="s">
        <v>377</v>
      </c>
      <c r="E470" s="129">
        <v>39952.325474537036</v>
      </c>
      <c r="F470" s="129"/>
      <c r="G470" s="69" t="str">
        <f>IF(stdProdLT(Main[[#This Row],[Comments]])=0.1,"N/A",IF(stdProdLT(Main[[#This Row],[Comments]])=0,"",stdProdLT(Main[[#This Row],[Comments]])))</f>
        <v/>
      </c>
      <c r="H470" s="138" t="str">
        <f>IF(Main[[#This Row],[In Stock Date]]="N/A", "N/A",IF(AND(Main[[#This Row],[In Stock Date]]&lt;&gt;"",Main[[#This Row],[Revised Due Date]]&lt;&gt;"",Main[[#This Row],[In Stock Date]]&lt;&gt;""),Main[[#This Row],[In Stock Date]]-Main[[#This Row],[Revised Due Date]],""))</f>
        <v/>
      </c>
      <c r="I470" s="139" t="s">
        <v>4</v>
      </c>
      <c r="J470" s="139" t="s">
        <v>4</v>
      </c>
      <c r="K470" s="139" t="s">
        <v>4</v>
      </c>
      <c r="L470" s="129"/>
      <c r="M470" s="114" t="str">
        <f>IF(Main[[#This Row],[Tech Start Date]]&lt;1/1/1990,"",IF(Main[[#This Row],[Class]]="C",WORKDAY(Main[[#This Row],[Tech Start Date]],9),IF(Main[[#This Row],[Class]]="B", WORKDAY(Main[[#This Row],[Tech Start Date]],6),IF(Main[[#This Row],[Class]]="A",WORKDAY(Main[[#This Row],[Tech Start Date]],2),""))))</f>
        <v/>
      </c>
      <c r="N470" s="114" t="str">
        <f>IF(Main[[#This Row],[Tech Start Date]]&lt;1/1/1990,"",IF(Main[[#This Row],[Class]]="C",WORKDAY(Main[[#This Row],[Tech Start Date]],19),IF(Main[[#This Row],[Class]]="B", WORKDAY(Main[[#This Row],[Tech Start Date]],12),IF(Main[[#This Row],[Class]]="A",WORKDAY(Main[[#This Row],[Tech Start Date]],4),""))))</f>
        <v/>
      </c>
      <c r="O470" s="114" t="str">
        <f>IF(Main[[#This Row],[Tech Start Date]]&lt;1/1/1990,"",IF(Main[[#This Row],[Class]]="C",WORKDAY(Main[[#This Row],[Tech Start Date]],23),IF(Main[[#This Row],[Class]]="B", WORKDAY(Main[[#This Row],[Tech Start Date]],15),IF(Main[[#This Row],[Class]]="A",WORKDAY(Main[[#This Row],[Tech Start Date]],5),""))))</f>
        <v/>
      </c>
      <c r="P470" s="114" t="str">
        <f>IF(Main[[#This Row],[Tech Start Date]]&lt;1/1/1990,"",IF(Main[[#This Row],[Class]]="C",WORKDAY(Main[[#This Row],[Tech Start Date]],28),IF(Main[[#This Row],[Class]]="B", WORKDAY(Main[[#This Row],[Tech Start Date]],19),IF(Main[[#This Row],[Class]]="A",WORKDAY(Main[[#This Row],[Tech Start Date]],9),""))))</f>
        <v/>
      </c>
      <c r="Q470" s="129"/>
      <c r="R470" s="129"/>
      <c r="S470" s="139" t="s">
        <v>17</v>
      </c>
      <c r="T470" s="115" t="s">
        <v>4</v>
      </c>
      <c r="U470" s="139" t="s">
        <v>7</v>
      </c>
      <c r="V470" s="139" t="s">
        <v>1917</v>
      </c>
      <c r="W470" s="139" t="s">
        <v>4</v>
      </c>
      <c r="X470" s="139" t="s">
        <v>2880</v>
      </c>
      <c r="Y470" s="112" t="s">
        <v>4</v>
      </c>
      <c r="Z470" s="112" t="s">
        <v>4</v>
      </c>
      <c r="AA470" s="139" t="s">
        <v>2880</v>
      </c>
    </row>
    <row r="471" spans="1:27" ht="17.25" customHeight="1">
      <c r="A471" s="69" t="str">
        <f>IF(priority(Main[[#This Row],[Comments]])&lt;&gt;0, priority(Main[[#This Row],[Comments]]),"")</f>
        <v/>
      </c>
      <c r="B471" s="63" t="s">
        <v>1304</v>
      </c>
      <c r="C471" s="148" t="s">
        <v>378</v>
      </c>
      <c r="D471" s="113" t="s">
        <v>379</v>
      </c>
      <c r="E471" s="129"/>
      <c r="F471" s="129">
        <v>40228</v>
      </c>
      <c r="G471" s="69" t="str">
        <f>IF(stdProdLT(Main[[#This Row],[Comments]])=0.1,"N/A",IF(stdProdLT(Main[[#This Row],[Comments]])=0,"",stdProdLT(Main[[#This Row],[Comments]])))</f>
        <v/>
      </c>
      <c r="H471" s="138" t="str">
        <f>IF(Main[[#This Row],[In Stock Date]]="N/A", "N/A",IF(AND(Main[[#This Row],[In Stock Date]]&lt;&gt;"",Main[[#This Row],[Revised Due Date]]&lt;&gt;"",Main[[#This Row],[In Stock Date]]&lt;&gt;""),Main[[#This Row],[In Stock Date]]-Main[[#This Row],[Revised Due Date]],""))</f>
        <v/>
      </c>
      <c r="I471" s="139" t="s">
        <v>4</v>
      </c>
      <c r="J471" s="139" t="s">
        <v>4</v>
      </c>
      <c r="K471" s="139" t="s">
        <v>4</v>
      </c>
      <c r="L471" s="129"/>
      <c r="M471" s="114" t="str">
        <f>IF(Main[[#This Row],[Tech Start Date]]&lt;1/1/1990,"",IF(Main[[#This Row],[Class]]="C",WORKDAY(Main[[#This Row],[Tech Start Date]],9),IF(Main[[#This Row],[Class]]="B", WORKDAY(Main[[#This Row],[Tech Start Date]],6),IF(Main[[#This Row],[Class]]="A",WORKDAY(Main[[#This Row],[Tech Start Date]],2),""))))</f>
        <v/>
      </c>
      <c r="N471" s="114" t="str">
        <f>IF(Main[[#This Row],[Tech Start Date]]&lt;1/1/1990,"",IF(Main[[#This Row],[Class]]="C",WORKDAY(Main[[#This Row],[Tech Start Date]],19),IF(Main[[#This Row],[Class]]="B", WORKDAY(Main[[#This Row],[Tech Start Date]],12),IF(Main[[#This Row],[Class]]="A",WORKDAY(Main[[#This Row],[Tech Start Date]],4),""))))</f>
        <v/>
      </c>
      <c r="O471" s="114" t="str">
        <f>IF(Main[[#This Row],[Tech Start Date]]&lt;1/1/1990,"",IF(Main[[#This Row],[Class]]="C",WORKDAY(Main[[#This Row],[Tech Start Date]],23),IF(Main[[#This Row],[Class]]="B", WORKDAY(Main[[#This Row],[Tech Start Date]],15),IF(Main[[#This Row],[Class]]="A",WORKDAY(Main[[#This Row],[Tech Start Date]],5),""))))</f>
        <v/>
      </c>
      <c r="P471" s="114" t="str">
        <f>IF(Main[[#This Row],[Tech Start Date]]&lt;1/1/1990,"",IF(Main[[#This Row],[Class]]="C",WORKDAY(Main[[#This Row],[Tech Start Date]],28),IF(Main[[#This Row],[Class]]="B", WORKDAY(Main[[#This Row],[Tech Start Date]],19),IF(Main[[#This Row],[Class]]="A",WORKDAY(Main[[#This Row],[Tech Start Date]],9),""))))</f>
        <v/>
      </c>
      <c r="Q471" s="129">
        <v>40153</v>
      </c>
      <c r="R471" s="129"/>
      <c r="S471" s="139" t="s">
        <v>11</v>
      </c>
      <c r="T471" s="115" t="s">
        <v>4</v>
      </c>
      <c r="U471" s="139" t="s">
        <v>14</v>
      </c>
      <c r="V471" s="139" t="s">
        <v>1917</v>
      </c>
      <c r="W471" s="139" t="s">
        <v>1922</v>
      </c>
      <c r="X471" s="139" t="s">
        <v>2863</v>
      </c>
      <c r="Y471" s="112" t="s">
        <v>4</v>
      </c>
      <c r="Z471" s="112" t="s">
        <v>4</v>
      </c>
      <c r="AA471" s="139" t="s">
        <v>2863</v>
      </c>
    </row>
    <row r="472" spans="1:27" ht="17.25" customHeight="1">
      <c r="A472" s="69" t="str">
        <f>IF(priority(Main[[#This Row],[Comments]])&lt;&gt;0, priority(Main[[#This Row],[Comments]]),"")</f>
        <v/>
      </c>
      <c r="B472" s="63" t="s">
        <v>1306</v>
      </c>
      <c r="C472" s="148" t="s">
        <v>380</v>
      </c>
      <c r="D472" s="113" t="s">
        <v>381</v>
      </c>
      <c r="E472" s="129"/>
      <c r="F472" s="129"/>
      <c r="G472" s="69" t="str">
        <f>IF(stdProdLT(Main[[#This Row],[Comments]])=0.1,"N/A",IF(stdProdLT(Main[[#This Row],[Comments]])=0,"",stdProdLT(Main[[#This Row],[Comments]])))</f>
        <v/>
      </c>
      <c r="H472" s="138" t="str">
        <f>IF(Main[[#This Row],[In Stock Date]]="N/A", "N/A",IF(AND(Main[[#This Row],[In Stock Date]]&lt;&gt;"",Main[[#This Row],[Revised Due Date]]&lt;&gt;"",Main[[#This Row],[In Stock Date]]&lt;&gt;""),Main[[#This Row],[In Stock Date]]-Main[[#This Row],[Revised Due Date]],""))</f>
        <v/>
      </c>
      <c r="I472" s="139" t="s">
        <v>4</v>
      </c>
      <c r="J472" s="139" t="s">
        <v>4</v>
      </c>
      <c r="K472" s="139" t="s">
        <v>4</v>
      </c>
      <c r="L472" s="129"/>
      <c r="M472" s="114" t="str">
        <f>IF(Main[[#This Row],[Tech Start Date]]&lt;1/1/1990,"",IF(Main[[#This Row],[Class]]="C",WORKDAY(Main[[#This Row],[Tech Start Date]],9),IF(Main[[#This Row],[Class]]="B", WORKDAY(Main[[#This Row],[Tech Start Date]],6),IF(Main[[#This Row],[Class]]="A",WORKDAY(Main[[#This Row],[Tech Start Date]],2),""))))</f>
        <v/>
      </c>
      <c r="N472" s="114" t="str">
        <f>IF(Main[[#This Row],[Tech Start Date]]&lt;1/1/1990,"",IF(Main[[#This Row],[Class]]="C",WORKDAY(Main[[#This Row],[Tech Start Date]],19),IF(Main[[#This Row],[Class]]="B", WORKDAY(Main[[#This Row],[Tech Start Date]],12),IF(Main[[#This Row],[Class]]="A",WORKDAY(Main[[#This Row],[Tech Start Date]],4),""))))</f>
        <v/>
      </c>
      <c r="O472" s="114" t="str">
        <f>IF(Main[[#This Row],[Tech Start Date]]&lt;1/1/1990,"",IF(Main[[#This Row],[Class]]="C",WORKDAY(Main[[#This Row],[Tech Start Date]],23),IF(Main[[#This Row],[Class]]="B", WORKDAY(Main[[#This Row],[Tech Start Date]],15),IF(Main[[#This Row],[Class]]="A",WORKDAY(Main[[#This Row],[Tech Start Date]],5),""))))</f>
        <v/>
      </c>
      <c r="P472" s="114" t="str">
        <f>IF(Main[[#This Row],[Tech Start Date]]&lt;1/1/1990,"",IF(Main[[#This Row],[Class]]="C",WORKDAY(Main[[#This Row],[Tech Start Date]],28),IF(Main[[#This Row],[Class]]="B", WORKDAY(Main[[#This Row],[Tech Start Date]],19),IF(Main[[#This Row],[Class]]="A",WORKDAY(Main[[#This Row],[Tech Start Date]],9),""))))</f>
        <v/>
      </c>
      <c r="Q472" s="129"/>
      <c r="R472" s="129"/>
      <c r="S472" s="139" t="s">
        <v>11</v>
      </c>
      <c r="T472" s="115" t="s">
        <v>4</v>
      </c>
      <c r="U472" s="139" t="s">
        <v>14</v>
      </c>
      <c r="V472" s="139" t="s">
        <v>1915</v>
      </c>
      <c r="W472" s="139" t="s">
        <v>1922</v>
      </c>
      <c r="X472" s="139" t="s">
        <v>2827</v>
      </c>
      <c r="Y472" s="112" t="s">
        <v>2948</v>
      </c>
      <c r="Z472" s="112" t="s">
        <v>4</v>
      </c>
      <c r="AA472" s="139" t="s">
        <v>2827</v>
      </c>
    </row>
    <row r="473" spans="1:27" ht="17.25" customHeight="1">
      <c r="A473" s="69" t="str">
        <f>IF(priority(Main[[#This Row],[Comments]])&lt;&gt;0, priority(Main[[#This Row],[Comments]]),"")</f>
        <v/>
      </c>
      <c r="B473" s="63" t="s">
        <v>1307</v>
      </c>
      <c r="C473" s="148" t="s">
        <v>382</v>
      </c>
      <c r="D473" s="113" t="s">
        <v>383</v>
      </c>
      <c r="E473" s="129"/>
      <c r="F473" s="129"/>
      <c r="G473" s="69" t="str">
        <f>IF(stdProdLT(Main[[#This Row],[Comments]])=0.1,"N/A",IF(stdProdLT(Main[[#This Row],[Comments]])=0,"",stdProdLT(Main[[#This Row],[Comments]])))</f>
        <v/>
      </c>
      <c r="H473" s="138" t="str">
        <f>IF(Main[[#This Row],[In Stock Date]]="N/A", "N/A",IF(AND(Main[[#This Row],[In Stock Date]]&lt;&gt;"",Main[[#This Row],[Revised Due Date]]&lt;&gt;"",Main[[#This Row],[In Stock Date]]&lt;&gt;""),Main[[#This Row],[In Stock Date]]-Main[[#This Row],[Revised Due Date]],""))</f>
        <v/>
      </c>
      <c r="I473" s="139" t="s">
        <v>4</v>
      </c>
      <c r="J473" s="139" t="s">
        <v>4</v>
      </c>
      <c r="K473" s="139" t="s">
        <v>4</v>
      </c>
      <c r="L473" s="129"/>
      <c r="M473" s="114" t="str">
        <f>IF(Main[[#This Row],[Tech Start Date]]&lt;1/1/1990,"",IF(Main[[#This Row],[Class]]="C",WORKDAY(Main[[#This Row],[Tech Start Date]],9),IF(Main[[#This Row],[Class]]="B", WORKDAY(Main[[#This Row],[Tech Start Date]],6),IF(Main[[#This Row],[Class]]="A",WORKDAY(Main[[#This Row],[Tech Start Date]],2),""))))</f>
        <v/>
      </c>
      <c r="N473" s="114" t="str">
        <f>IF(Main[[#This Row],[Tech Start Date]]&lt;1/1/1990,"",IF(Main[[#This Row],[Class]]="C",WORKDAY(Main[[#This Row],[Tech Start Date]],19),IF(Main[[#This Row],[Class]]="B", WORKDAY(Main[[#This Row],[Tech Start Date]],12),IF(Main[[#This Row],[Class]]="A",WORKDAY(Main[[#This Row],[Tech Start Date]],4),""))))</f>
        <v/>
      </c>
      <c r="O473" s="114" t="str">
        <f>IF(Main[[#This Row],[Tech Start Date]]&lt;1/1/1990,"",IF(Main[[#This Row],[Class]]="C",WORKDAY(Main[[#This Row],[Tech Start Date]],23),IF(Main[[#This Row],[Class]]="B", WORKDAY(Main[[#This Row],[Tech Start Date]],15),IF(Main[[#This Row],[Class]]="A",WORKDAY(Main[[#This Row],[Tech Start Date]],5),""))))</f>
        <v/>
      </c>
      <c r="P473" s="114" t="str">
        <f>IF(Main[[#This Row],[Tech Start Date]]&lt;1/1/1990,"",IF(Main[[#This Row],[Class]]="C",WORKDAY(Main[[#This Row],[Tech Start Date]],28),IF(Main[[#This Row],[Class]]="B", WORKDAY(Main[[#This Row],[Tech Start Date]],19),IF(Main[[#This Row],[Class]]="A",WORKDAY(Main[[#This Row],[Tech Start Date]],9),""))))</f>
        <v/>
      </c>
      <c r="Q473" s="129"/>
      <c r="R473" s="129"/>
      <c r="S473" s="139" t="s">
        <v>11</v>
      </c>
      <c r="T473" s="115" t="s">
        <v>4</v>
      </c>
      <c r="U473" s="139" t="s">
        <v>14</v>
      </c>
      <c r="V473" s="139" t="s">
        <v>1915</v>
      </c>
      <c r="W473" s="139" t="s">
        <v>1922</v>
      </c>
      <c r="X473" s="139" t="s">
        <v>2827</v>
      </c>
      <c r="Y473" s="112" t="s">
        <v>2948</v>
      </c>
      <c r="Z473" s="112" t="s">
        <v>4</v>
      </c>
      <c r="AA473" s="139" t="s">
        <v>2827</v>
      </c>
    </row>
    <row r="474" spans="1:27" ht="17.25" customHeight="1">
      <c r="A474" s="69" t="str">
        <f>IF(priority(Main[[#This Row],[Comments]])&lt;&gt;0, priority(Main[[#This Row],[Comments]]),"")</f>
        <v/>
      </c>
      <c r="B474" s="63" t="s">
        <v>1329</v>
      </c>
      <c r="C474" s="148" t="s">
        <v>93</v>
      </c>
      <c r="D474" s="113" t="s">
        <v>384</v>
      </c>
      <c r="E474" s="129"/>
      <c r="F474" s="129">
        <v>40299</v>
      </c>
      <c r="G474" s="69" t="str">
        <f>IF(stdProdLT(Main[[#This Row],[Comments]])=0.1,"N/A",IF(stdProdLT(Main[[#This Row],[Comments]])=0,"",stdProdLT(Main[[#This Row],[Comments]])))</f>
        <v/>
      </c>
      <c r="H474" s="138" t="str">
        <f>IF(Main[[#This Row],[In Stock Date]]="N/A", "N/A",IF(AND(Main[[#This Row],[In Stock Date]]&lt;&gt;"",Main[[#This Row],[Revised Due Date]]&lt;&gt;"",Main[[#This Row],[In Stock Date]]&lt;&gt;""),Main[[#This Row],[In Stock Date]]-Main[[#This Row],[Revised Due Date]],""))</f>
        <v/>
      </c>
      <c r="I474" s="139" t="s">
        <v>4</v>
      </c>
      <c r="J474" s="139" t="s">
        <v>4</v>
      </c>
      <c r="K474" s="139" t="s">
        <v>4</v>
      </c>
      <c r="L474" s="129"/>
      <c r="M474" s="114" t="str">
        <f>IF(Main[[#This Row],[Tech Start Date]]&lt;1/1/1990,"",IF(Main[[#This Row],[Class]]="C",WORKDAY(Main[[#This Row],[Tech Start Date]],9),IF(Main[[#This Row],[Class]]="B", WORKDAY(Main[[#This Row],[Tech Start Date]],6),IF(Main[[#This Row],[Class]]="A",WORKDAY(Main[[#This Row],[Tech Start Date]],2),""))))</f>
        <v/>
      </c>
      <c r="N474" s="114" t="str">
        <f>IF(Main[[#This Row],[Tech Start Date]]&lt;1/1/1990,"",IF(Main[[#This Row],[Class]]="C",WORKDAY(Main[[#This Row],[Tech Start Date]],19),IF(Main[[#This Row],[Class]]="B", WORKDAY(Main[[#This Row],[Tech Start Date]],12),IF(Main[[#This Row],[Class]]="A",WORKDAY(Main[[#This Row],[Tech Start Date]],4),""))))</f>
        <v/>
      </c>
      <c r="O474" s="114" t="str">
        <f>IF(Main[[#This Row],[Tech Start Date]]&lt;1/1/1990,"",IF(Main[[#This Row],[Class]]="C",WORKDAY(Main[[#This Row],[Tech Start Date]],23),IF(Main[[#This Row],[Class]]="B", WORKDAY(Main[[#This Row],[Tech Start Date]],15),IF(Main[[#This Row],[Class]]="A",WORKDAY(Main[[#This Row],[Tech Start Date]],5),""))))</f>
        <v/>
      </c>
      <c r="P474" s="114" t="str">
        <f>IF(Main[[#This Row],[Tech Start Date]]&lt;1/1/1990,"",IF(Main[[#This Row],[Class]]="C",WORKDAY(Main[[#This Row],[Tech Start Date]],28),IF(Main[[#This Row],[Class]]="B", WORKDAY(Main[[#This Row],[Tech Start Date]],19),IF(Main[[#This Row],[Class]]="A",WORKDAY(Main[[#This Row],[Tech Start Date]],9),""))))</f>
        <v/>
      </c>
      <c r="Q474" s="129">
        <v>40209</v>
      </c>
      <c r="R474" s="129"/>
      <c r="S474" s="139" t="s">
        <v>11</v>
      </c>
      <c r="T474" s="115" t="s">
        <v>4</v>
      </c>
      <c r="U474" s="139" t="s">
        <v>14</v>
      </c>
      <c r="V474" s="139" t="s">
        <v>1914</v>
      </c>
      <c r="W474" s="139" t="s">
        <v>1925</v>
      </c>
      <c r="X474" s="139" t="s">
        <v>2845</v>
      </c>
      <c r="Y474" s="112" t="s">
        <v>4</v>
      </c>
      <c r="Z474" s="112" t="s">
        <v>4</v>
      </c>
      <c r="AA474" s="139" t="s">
        <v>2845</v>
      </c>
    </row>
    <row r="475" spans="1:27" ht="17.25" customHeight="1">
      <c r="A475" s="69" t="str">
        <f>IF(priority(Main[[#This Row],[Comments]])&lt;&gt;0, priority(Main[[#This Row],[Comments]]),"")</f>
        <v/>
      </c>
      <c r="B475" s="63" t="s">
        <v>2083</v>
      </c>
      <c r="C475" s="148" t="s">
        <v>4</v>
      </c>
      <c r="D475" s="113" t="s">
        <v>2084</v>
      </c>
      <c r="E475" s="129">
        <v>40763.356041666666</v>
      </c>
      <c r="F475" s="129"/>
      <c r="G475" s="69" t="str">
        <f>IF(stdProdLT(Main[[#This Row],[Comments]])=0.1,"N/A",IF(stdProdLT(Main[[#This Row],[Comments]])=0,"",stdProdLT(Main[[#This Row],[Comments]])))</f>
        <v/>
      </c>
      <c r="H475" s="138" t="str">
        <f>IF(Main[[#This Row],[In Stock Date]]="N/A", "N/A",IF(AND(Main[[#This Row],[In Stock Date]]&lt;&gt;"",Main[[#This Row],[Revised Due Date]]&lt;&gt;"",Main[[#This Row],[In Stock Date]]&lt;&gt;""),Main[[#This Row],[In Stock Date]]-Main[[#This Row],[Revised Due Date]],""))</f>
        <v/>
      </c>
      <c r="I475" s="139" t="s">
        <v>912</v>
      </c>
      <c r="J475" s="139" t="s">
        <v>52</v>
      </c>
      <c r="K475" s="139" t="s">
        <v>4</v>
      </c>
      <c r="L475" s="129"/>
      <c r="M475" s="114" t="str">
        <f>IF(Main[[#This Row],[Tech Start Date]]&lt;1/1/1990,"",IF(Main[[#This Row],[Class]]="C",WORKDAY(Main[[#This Row],[Tech Start Date]],9),IF(Main[[#This Row],[Class]]="B", WORKDAY(Main[[#This Row],[Tech Start Date]],6),IF(Main[[#This Row],[Class]]="A",WORKDAY(Main[[#This Row],[Tech Start Date]],2),""))))</f>
        <v/>
      </c>
      <c r="N475" s="114" t="str">
        <f>IF(Main[[#This Row],[Tech Start Date]]&lt;1/1/1990,"",IF(Main[[#This Row],[Class]]="C",WORKDAY(Main[[#This Row],[Tech Start Date]],19),IF(Main[[#This Row],[Class]]="B", WORKDAY(Main[[#This Row],[Tech Start Date]],12),IF(Main[[#This Row],[Class]]="A",WORKDAY(Main[[#This Row],[Tech Start Date]],4),""))))</f>
        <v/>
      </c>
      <c r="O475" s="114" t="str">
        <f>IF(Main[[#This Row],[Tech Start Date]]&lt;1/1/1990,"",IF(Main[[#This Row],[Class]]="C",WORKDAY(Main[[#This Row],[Tech Start Date]],23),IF(Main[[#This Row],[Class]]="B", WORKDAY(Main[[#This Row],[Tech Start Date]],15),IF(Main[[#This Row],[Class]]="A",WORKDAY(Main[[#This Row],[Tech Start Date]],5),""))))</f>
        <v/>
      </c>
      <c r="P475" s="114" t="str">
        <f>IF(Main[[#This Row],[Tech Start Date]]&lt;1/1/1990,"",IF(Main[[#This Row],[Class]]="C",WORKDAY(Main[[#This Row],[Tech Start Date]],28),IF(Main[[#This Row],[Class]]="B", WORKDAY(Main[[#This Row],[Tech Start Date]],19),IF(Main[[#This Row],[Class]]="A",WORKDAY(Main[[#This Row],[Tech Start Date]],9),""))))</f>
        <v/>
      </c>
      <c r="Q475" s="129">
        <v>40787</v>
      </c>
      <c r="R475" s="129"/>
      <c r="S475" s="139" t="s">
        <v>6</v>
      </c>
      <c r="T475" s="115" t="s">
        <v>4</v>
      </c>
      <c r="U475" s="139" t="s">
        <v>29</v>
      </c>
      <c r="V475" s="139" t="s">
        <v>1914</v>
      </c>
      <c r="W475" s="139" t="s">
        <v>4</v>
      </c>
      <c r="X475" s="139" t="s">
        <v>2822</v>
      </c>
      <c r="Y475" s="112" t="s">
        <v>2938</v>
      </c>
      <c r="Z475" s="112" t="s">
        <v>129</v>
      </c>
      <c r="AA475" s="139" t="s">
        <v>2822</v>
      </c>
    </row>
    <row r="476" spans="1:27" ht="17.25" customHeight="1">
      <c r="A476" s="69" t="str">
        <f>IF(priority(Main[[#This Row],[Comments]])&lt;&gt;0, priority(Main[[#This Row],[Comments]]),"")</f>
        <v/>
      </c>
      <c r="B476" s="63" t="s">
        <v>1663</v>
      </c>
      <c r="C476" s="148" t="s">
        <v>4</v>
      </c>
      <c r="D476" s="113" t="s">
        <v>725</v>
      </c>
      <c r="E476" s="129"/>
      <c r="F476" s="129"/>
      <c r="G476" s="69" t="str">
        <f>IF(stdProdLT(Main[[#This Row],[Comments]])=0.1,"N/A",IF(stdProdLT(Main[[#This Row],[Comments]])=0,"",stdProdLT(Main[[#This Row],[Comments]])))</f>
        <v/>
      </c>
      <c r="H476" s="138" t="str">
        <f>IF(Main[[#This Row],[In Stock Date]]="N/A", "N/A",IF(AND(Main[[#This Row],[In Stock Date]]&lt;&gt;"",Main[[#This Row],[Revised Due Date]]&lt;&gt;"",Main[[#This Row],[In Stock Date]]&lt;&gt;""),Main[[#This Row],[In Stock Date]]-Main[[#This Row],[Revised Due Date]],""))</f>
        <v/>
      </c>
      <c r="I476" s="139" t="s">
        <v>894</v>
      </c>
      <c r="J476" s="139" t="s">
        <v>52</v>
      </c>
      <c r="K476" s="140" t="s">
        <v>1923</v>
      </c>
      <c r="L476" s="129"/>
      <c r="M476" s="114" t="str">
        <f>IF(Main[[#This Row],[Tech Start Date]]&lt;1/1/1990,"",IF(Main[[#This Row],[Class]]="C",WORKDAY(Main[[#This Row],[Tech Start Date]],9),IF(Main[[#This Row],[Class]]="B", WORKDAY(Main[[#This Row],[Tech Start Date]],6),IF(Main[[#This Row],[Class]]="A",WORKDAY(Main[[#This Row],[Tech Start Date]],2),""))))</f>
        <v/>
      </c>
      <c r="N476" s="114" t="str">
        <f>IF(Main[[#This Row],[Tech Start Date]]&lt;1/1/1990,"",IF(Main[[#This Row],[Class]]="C",WORKDAY(Main[[#This Row],[Tech Start Date]],19),IF(Main[[#This Row],[Class]]="B", WORKDAY(Main[[#This Row],[Tech Start Date]],12),IF(Main[[#This Row],[Class]]="A",WORKDAY(Main[[#This Row],[Tech Start Date]],4),""))))</f>
        <v/>
      </c>
      <c r="O476" s="114" t="str">
        <f>IF(Main[[#This Row],[Tech Start Date]]&lt;1/1/1990,"",IF(Main[[#This Row],[Class]]="C",WORKDAY(Main[[#This Row],[Tech Start Date]],23),IF(Main[[#This Row],[Class]]="B", WORKDAY(Main[[#This Row],[Tech Start Date]],15),IF(Main[[#This Row],[Class]]="A",WORKDAY(Main[[#This Row],[Tech Start Date]],5),""))))</f>
        <v/>
      </c>
      <c r="P476" s="114" t="str">
        <f>IF(Main[[#This Row],[Tech Start Date]]&lt;1/1/1990,"",IF(Main[[#This Row],[Class]]="C",WORKDAY(Main[[#This Row],[Tech Start Date]],28),IF(Main[[#This Row],[Class]]="B", WORKDAY(Main[[#This Row],[Tech Start Date]],19),IF(Main[[#This Row],[Class]]="A",WORKDAY(Main[[#This Row],[Tech Start Date]],9),""))))</f>
        <v/>
      </c>
      <c r="Q476" s="129">
        <v>40581</v>
      </c>
      <c r="R476" s="129"/>
      <c r="S476" s="139" t="s">
        <v>6</v>
      </c>
      <c r="T476" s="115" t="s">
        <v>4</v>
      </c>
      <c r="U476" s="139" t="s">
        <v>14</v>
      </c>
      <c r="V476" s="139" t="s">
        <v>1917</v>
      </c>
      <c r="W476" s="139" t="s">
        <v>1918</v>
      </c>
      <c r="X476" s="139" t="s">
        <v>2819</v>
      </c>
      <c r="Y476" s="112" t="s">
        <v>2932</v>
      </c>
      <c r="Z476" s="112" t="s">
        <v>44</v>
      </c>
      <c r="AA476" s="139" t="s">
        <v>2819</v>
      </c>
    </row>
    <row r="477" spans="1:27" ht="17.25" customHeight="1">
      <c r="A477" s="69" t="str">
        <f>IF(priority(Main[[#This Row],[Comments]])&lt;&gt;0, priority(Main[[#This Row],[Comments]]),"")</f>
        <v/>
      </c>
      <c r="B477" s="63" t="s">
        <v>1330</v>
      </c>
      <c r="C477" s="148" t="s">
        <v>31</v>
      </c>
      <c r="D477" s="113" t="s">
        <v>385</v>
      </c>
      <c r="E477" s="129"/>
      <c r="F477" s="129"/>
      <c r="G477" s="69" t="str">
        <f>IF(stdProdLT(Main[[#This Row],[Comments]])=0.1,"N/A",IF(stdProdLT(Main[[#This Row],[Comments]])=0,"",stdProdLT(Main[[#This Row],[Comments]])))</f>
        <v/>
      </c>
      <c r="H477" s="138" t="str">
        <f>IF(Main[[#This Row],[In Stock Date]]="N/A", "N/A",IF(AND(Main[[#This Row],[In Stock Date]]&lt;&gt;"",Main[[#This Row],[Revised Due Date]]&lt;&gt;"",Main[[#This Row],[In Stock Date]]&lt;&gt;""),Main[[#This Row],[In Stock Date]]-Main[[#This Row],[Revised Due Date]],""))</f>
        <v/>
      </c>
      <c r="I477" s="139" t="s">
        <v>4</v>
      </c>
      <c r="J477" s="139" t="s">
        <v>4</v>
      </c>
      <c r="K477" s="139" t="s">
        <v>4</v>
      </c>
      <c r="L477" s="129"/>
      <c r="M477" s="114" t="str">
        <f>IF(Main[[#This Row],[Tech Start Date]]&lt;1/1/1990,"",IF(Main[[#This Row],[Class]]="C",WORKDAY(Main[[#This Row],[Tech Start Date]],9),IF(Main[[#This Row],[Class]]="B", WORKDAY(Main[[#This Row],[Tech Start Date]],6),IF(Main[[#This Row],[Class]]="A",WORKDAY(Main[[#This Row],[Tech Start Date]],2),""))))</f>
        <v/>
      </c>
      <c r="N477" s="114" t="str">
        <f>IF(Main[[#This Row],[Tech Start Date]]&lt;1/1/1990,"",IF(Main[[#This Row],[Class]]="C",WORKDAY(Main[[#This Row],[Tech Start Date]],19),IF(Main[[#This Row],[Class]]="B", WORKDAY(Main[[#This Row],[Tech Start Date]],12),IF(Main[[#This Row],[Class]]="A",WORKDAY(Main[[#This Row],[Tech Start Date]],4),""))))</f>
        <v/>
      </c>
      <c r="O477" s="114" t="str">
        <f>IF(Main[[#This Row],[Tech Start Date]]&lt;1/1/1990,"",IF(Main[[#This Row],[Class]]="C",WORKDAY(Main[[#This Row],[Tech Start Date]],23),IF(Main[[#This Row],[Class]]="B", WORKDAY(Main[[#This Row],[Tech Start Date]],15),IF(Main[[#This Row],[Class]]="A",WORKDAY(Main[[#This Row],[Tech Start Date]],5),""))))</f>
        <v/>
      </c>
      <c r="P477" s="114" t="str">
        <f>IF(Main[[#This Row],[Tech Start Date]]&lt;1/1/1990,"",IF(Main[[#This Row],[Class]]="C",WORKDAY(Main[[#This Row],[Tech Start Date]],28),IF(Main[[#This Row],[Class]]="B", WORKDAY(Main[[#This Row],[Tech Start Date]],19),IF(Main[[#This Row],[Class]]="A",WORKDAY(Main[[#This Row],[Tech Start Date]],9),""))))</f>
        <v/>
      </c>
      <c r="Q477" s="129">
        <v>40318</v>
      </c>
      <c r="R477" s="129"/>
      <c r="S477" s="139" t="s">
        <v>11</v>
      </c>
      <c r="T477" s="115" t="s">
        <v>4</v>
      </c>
      <c r="U477" s="139" t="s">
        <v>14</v>
      </c>
      <c r="V477" s="139" t="s">
        <v>1917</v>
      </c>
      <c r="W477" s="139" t="s">
        <v>1916</v>
      </c>
      <c r="X477" s="139" t="s">
        <v>2830</v>
      </c>
      <c r="Y477" s="112" t="s">
        <v>4</v>
      </c>
      <c r="Z477" s="112" t="s">
        <v>4</v>
      </c>
      <c r="AA477" s="139" t="s">
        <v>2830</v>
      </c>
    </row>
    <row r="478" spans="1:27" ht="17.25" customHeight="1">
      <c r="A478" s="69" t="str">
        <f>IF(priority(Main[[#This Row],[Comments]])&lt;&gt;0, priority(Main[[#This Row],[Comments]]),"")</f>
        <v/>
      </c>
      <c r="B478" s="63" t="s">
        <v>1331</v>
      </c>
      <c r="C478" s="148" t="s">
        <v>31</v>
      </c>
      <c r="D478" s="113" t="s">
        <v>386</v>
      </c>
      <c r="E478" s="129"/>
      <c r="F478" s="129"/>
      <c r="G478" s="69" t="str">
        <f>IF(stdProdLT(Main[[#This Row],[Comments]])=0.1,"N/A",IF(stdProdLT(Main[[#This Row],[Comments]])=0,"",stdProdLT(Main[[#This Row],[Comments]])))</f>
        <v/>
      </c>
      <c r="H478" s="138" t="str">
        <f>IF(Main[[#This Row],[In Stock Date]]="N/A", "N/A",IF(AND(Main[[#This Row],[In Stock Date]]&lt;&gt;"",Main[[#This Row],[Revised Due Date]]&lt;&gt;"",Main[[#This Row],[In Stock Date]]&lt;&gt;""),Main[[#This Row],[In Stock Date]]-Main[[#This Row],[Revised Due Date]],""))</f>
        <v/>
      </c>
      <c r="I478" s="139" t="s">
        <v>4</v>
      </c>
      <c r="J478" s="139" t="s">
        <v>4</v>
      </c>
      <c r="K478" s="139" t="s">
        <v>4</v>
      </c>
      <c r="L478" s="129"/>
      <c r="M478" s="114" t="str">
        <f>IF(Main[[#This Row],[Tech Start Date]]&lt;1/1/1990,"",IF(Main[[#This Row],[Class]]="C",WORKDAY(Main[[#This Row],[Tech Start Date]],9),IF(Main[[#This Row],[Class]]="B", WORKDAY(Main[[#This Row],[Tech Start Date]],6),IF(Main[[#This Row],[Class]]="A",WORKDAY(Main[[#This Row],[Tech Start Date]],2),""))))</f>
        <v/>
      </c>
      <c r="N478" s="114" t="str">
        <f>IF(Main[[#This Row],[Tech Start Date]]&lt;1/1/1990,"",IF(Main[[#This Row],[Class]]="C",WORKDAY(Main[[#This Row],[Tech Start Date]],19),IF(Main[[#This Row],[Class]]="B", WORKDAY(Main[[#This Row],[Tech Start Date]],12),IF(Main[[#This Row],[Class]]="A",WORKDAY(Main[[#This Row],[Tech Start Date]],4),""))))</f>
        <v/>
      </c>
      <c r="O478" s="114" t="str">
        <f>IF(Main[[#This Row],[Tech Start Date]]&lt;1/1/1990,"",IF(Main[[#This Row],[Class]]="C",WORKDAY(Main[[#This Row],[Tech Start Date]],23),IF(Main[[#This Row],[Class]]="B", WORKDAY(Main[[#This Row],[Tech Start Date]],15),IF(Main[[#This Row],[Class]]="A",WORKDAY(Main[[#This Row],[Tech Start Date]],5),""))))</f>
        <v/>
      </c>
      <c r="P478" s="114" t="str">
        <f>IF(Main[[#This Row],[Tech Start Date]]&lt;1/1/1990,"",IF(Main[[#This Row],[Class]]="C",WORKDAY(Main[[#This Row],[Tech Start Date]],28),IF(Main[[#This Row],[Class]]="B", WORKDAY(Main[[#This Row],[Tech Start Date]],19),IF(Main[[#This Row],[Class]]="A",WORKDAY(Main[[#This Row],[Tech Start Date]],9),""))))</f>
        <v/>
      </c>
      <c r="Q478" s="129">
        <v>40318</v>
      </c>
      <c r="R478" s="129"/>
      <c r="S478" s="139" t="s">
        <v>11</v>
      </c>
      <c r="T478" s="115" t="s">
        <v>4</v>
      </c>
      <c r="U478" s="139" t="s">
        <v>14</v>
      </c>
      <c r="V478" s="139" t="s">
        <v>1924</v>
      </c>
      <c r="W478" s="139" t="s">
        <v>1925</v>
      </c>
      <c r="X478" s="139" t="s">
        <v>2830</v>
      </c>
      <c r="Y478" s="112" t="s">
        <v>4</v>
      </c>
      <c r="Z478" s="112" t="s">
        <v>4</v>
      </c>
      <c r="AA478" s="139" t="s">
        <v>2830</v>
      </c>
    </row>
    <row r="479" spans="1:27" ht="17.25" customHeight="1">
      <c r="A479" s="69" t="str">
        <f>IF(priority(Main[[#This Row],[Comments]])&lt;&gt;0, priority(Main[[#This Row],[Comments]]),"")</f>
        <v/>
      </c>
      <c r="B479" s="63" t="s">
        <v>2369</v>
      </c>
      <c r="C479" s="148" t="s">
        <v>4</v>
      </c>
      <c r="D479" s="113" t="s">
        <v>2370</v>
      </c>
      <c r="E479" s="129"/>
      <c r="F479" s="129"/>
      <c r="G479" s="69" t="str">
        <f>IF(stdProdLT(Main[[#This Row],[Comments]])=0.1,"N/A",IF(stdProdLT(Main[[#This Row],[Comments]])=0,"",stdProdLT(Main[[#This Row],[Comments]])))</f>
        <v/>
      </c>
      <c r="H479" s="138" t="str">
        <f>IF(Main[[#This Row],[In Stock Date]]="N/A", "N/A",IF(AND(Main[[#This Row],[In Stock Date]]&lt;&gt;"",Main[[#This Row],[Revised Due Date]]&lt;&gt;"",Main[[#This Row],[In Stock Date]]&lt;&gt;""),Main[[#This Row],[In Stock Date]]-Main[[#This Row],[Revised Due Date]],""))</f>
        <v/>
      </c>
      <c r="I479" s="139" t="s">
        <v>4</v>
      </c>
      <c r="J479" s="139" t="s">
        <v>4</v>
      </c>
      <c r="K479" s="139" t="s">
        <v>4</v>
      </c>
      <c r="L479" s="129"/>
      <c r="M479" s="114" t="str">
        <f>IF(Main[[#This Row],[Tech Start Date]]&lt;1/1/1990,"",IF(Main[[#This Row],[Class]]="C",WORKDAY(Main[[#This Row],[Tech Start Date]],9),IF(Main[[#This Row],[Class]]="B", WORKDAY(Main[[#This Row],[Tech Start Date]],6),IF(Main[[#This Row],[Class]]="A",WORKDAY(Main[[#This Row],[Tech Start Date]],2),""))))</f>
        <v/>
      </c>
      <c r="N479" s="114" t="str">
        <f>IF(Main[[#This Row],[Tech Start Date]]&lt;1/1/1990,"",IF(Main[[#This Row],[Class]]="C",WORKDAY(Main[[#This Row],[Tech Start Date]],19),IF(Main[[#This Row],[Class]]="B", WORKDAY(Main[[#This Row],[Tech Start Date]],12),IF(Main[[#This Row],[Class]]="A",WORKDAY(Main[[#This Row],[Tech Start Date]],4),""))))</f>
        <v/>
      </c>
      <c r="O479" s="114" t="str">
        <f>IF(Main[[#This Row],[Tech Start Date]]&lt;1/1/1990,"",IF(Main[[#This Row],[Class]]="C",WORKDAY(Main[[#This Row],[Tech Start Date]],23),IF(Main[[#This Row],[Class]]="B", WORKDAY(Main[[#This Row],[Tech Start Date]],15),IF(Main[[#This Row],[Class]]="A",WORKDAY(Main[[#This Row],[Tech Start Date]],5),""))))</f>
        <v/>
      </c>
      <c r="P479" s="114" t="str">
        <f>IF(Main[[#This Row],[Tech Start Date]]&lt;1/1/1990,"",IF(Main[[#This Row],[Class]]="C",WORKDAY(Main[[#This Row],[Tech Start Date]],28),IF(Main[[#This Row],[Class]]="B", WORKDAY(Main[[#This Row],[Tech Start Date]],19),IF(Main[[#This Row],[Class]]="A",WORKDAY(Main[[#This Row],[Tech Start Date]],9),""))))</f>
        <v/>
      </c>
      <c r="Q479" s="129"/>
      <c r="R479" s="129"/>
      <c r="S479" s="139" t="s">
        <v>11</v>
      </c>
      <c r="T479" s="115" t="s">
        <v>4</v>
      </c>
      <c r="U479" s="139" t="s">
        <v>14</v>
      </c>
      <c r="V479" s="139" t="s">
        <v>1915</v>
      </c>
      <c r="W479" s="139" t="s">
        <v>4</v>
      </c>
      <c r="X479" s="139" t="s">
        <v>2249</v>
      </c>
      <c r="Y479" s="112" t="s">
        <v>4</v>
      </c>
      <c r="Z479" s="112" t="s">
        <v>4</v>
      </c>
      <c r="AA479" s="139" t="s">
        <v>4</v>
      </c>
    </row>
    <row r="480" spans="1:27" ht="17.25" customHeight="1">
      <c r="A480" s="69" t="str">
        <f>IF(priority(Main[[#This Row],[Comments]])&lt;&gt;0, priority(Main[[#This Row],[Comments]]),"")</f>
        <v/>
      </c>
      <c r="B480" s="63" t="s">
        <v>3596</v>
      </c>
      <c r="C480" s="148" t="s">
        <v>3597</v>
      </c>
      <c r="D480" s="113" t="s">
        <v>3598</v>
      </c>
      <c r="E480" s="129"/>
      <c r="F480" s="129">
        <v>40982</v>
      </c>
      <c r="G480" s="69" t="str">
        <f>IF(stdProdLT(Main[[#This Row],[Comments]])=0.1,"N/A",IF(stdProdLT(Main[[#This Row],[Comments]])=0,"",stdProdLT(Main[[#This Row],[Comments]])))</f>
        <v/>
      </c>
      <c r="H480" s="138" t="str">
        <f>IF(Main[[#This Row],[In Stock Date]]="N/A", "N/A",IF(AND(Main[[#This Row],[In Stock Date]]&lt;&gt;"",Main[[#This Row],[Revised Due Date]]&lt;&gt;"",Main[[#This Row],[In Stock Date]]&lt;&gt;""),Main[[#This Row],[In Stock Date]]-Main[[#This Row],[Revised Due Date]],""))</f>
        <v/>
      </c>
      <c r="I480" s="139" t="s">
        <v>4</v>
      </c>
      <c r="J480" s="139" t="s">
        <v>4</v>
      </c>
      <c r="K480" s="139" t="s">
        <v>4</v>
      </c>
      <c r="L480" s="129"/>
      <c r="M480" s="114" t="str">
        <f>IF(Main[[#This Row],[Tech Start Date]]&lt;1/1/1990,"",IF(Main[[#This Row],[Class]]="C",WORKDAY(Main[[#This Row],[Tech Start Date]],9),IF(Main[[#This Row],[Class]]="B", WORKDAY(Main[[#This Row],[Tech Start Date]],6),IF(Main[[#This Row],[Class]]="A",WORKDAY(Main[[#This Row],[Tech Start Date]],2),""))))</f>
        <v/>
      </c>
      <c r="N480" s="114" t="str">
        <f>IF(Main[[#This Row],[Tech Start Date]]&lt;1/1/1990,"",IF(Main[[#This Row],[Class]]="C",WORKDAY(Main[[#This Row],[Tech Start Date]],19),IF(Main[[#This Row],[Class]]="B", WORKDAY(Main[[#This Row],[Tech Start Date]],12),IF(Main[[#This Row],[Class]]="A",WORKDAY(Main[[#This Row],[Tech Start Date]],4),""))))</f>
        <v/>
      </c>
      <c r="O480" s="114" t="str">
        <f>IF(Main[[#This Row],[Tech Start Date]]&lt;1/1/1990,"",IF(Main[[#This Row],[Class]]="C",WORKDAY(Main[[#This Row],[Tech Start Date]],23),IF(Main[[#This Row],[Class]]="B", WORKDAY(Main[[#This Row],[Tech Start Date]],15),IF(Main[[#This Row],[Class]]="A",WORKDAY(Main[[#This Row],[Tech Start Date]],5),""))))</f>
        <v/>
      </c>
      <c r="P480" s="114" t="str">
        <f>IF(Main[[#This Row],[Tech Start Date]]&lt;1/1/1990,"",IF(Main[[#This Row],[Class]]="C",WORKDAY(Main[[#This Row],[Tech Start Date]],28),IF(Main[[#This Row],[Class]]="B", WORKDAY(Main[[#This Row],[Tech Start Date]],19),IF(Main[[#This Row],[Class]]="A",WORKDAY(Main[[#This Row],[Tech Start Date]],9),""))))</f>
        <v/>
      </c>
      <c r="Q480" s="129"/>
      <c r="R480" s="129"/>
      <c r="S480" s="139" t="s">
        <v>11</v>
      </c>
      <c r="T480" s="115" t="s">
        <v>4</v>
      </c>
      <c r="U480" s="139" t="s">
        <v>12</v>
      </c>
      <c r="V480" s="139" t="s">
        <v>1917</v>
      </c>
      <c r="W480" s="139" t="s">
        <v>1919</v>
      </c>
      <c r="X480" s="139" t="s">
        <v>2834</v>
      </c>
      <c r="Y480" s="112" t="s">
        <v>3589</v>
      </c>
      <c r="Z480" s="112" t="s">
        <v>4</v>
      </c>
      <c r="AA480" s="139" t="s">
        <v>2834</v>
      </c>
    </row>
    <row r="481" spans="1:27" ht="17.25" customHeight="1">
      <c r="A481" s="69" t="str">
        <f>IF(priority(Main[[#This Row],[Comments]])&lt;&gt;0, priority(Main[[#This Row],[Comments]]),"")</f>
        <v/>
      </c>
      <c r="B481" s="63" t="s">
        <v>1332</v>
      </c>
      <c r="C481" s="148" t="s">
        <v>31</v>
      </c>
      <c r="D481" s="113" t="s">
        <v>387</v>
      </c>
      <c r="E481" s="129"/>
      <c r="F481" s="129"/>
      <c r="G481" s="69" t="str">
        <f>IF(stdProdLT(Main[[#This Row],[Comments]])=0.1,"N/A",IF(stdProdLT(Main[[#This Row],[Comments]])=0,"",stdProdLT(Main[[#This Row],[Comments]])))</f>
        <v/>
      </c>
      <c r="H481" s="138" t="str">
        <f>IF(Main[[#This Row],[In Stock Date]]="N/A", "N/A",IF(AND(Main[[#This Row],[In Stock Date]]&lt;&gt;"",Main[[#This Row],[Revised Due Date]]&lt;&gt;"",Main[[#This Row],[In Stock Date]]&lt;&gt;""),Main[[#This Row],[In Stock Date]]-Main[[#This Row],[Revised Due Date]],""))</f>
        <v/>
      </c>
      <c r="I481" s="139" t="s">
        <v>4</v>
      </c>
      <c r="J481" s="139" t="s">
        <v>4</v>
      </c>
      <c r="K481" s="139" t="s">
        <v>4</v>
      </c>
      <c r="L481" s="129"/>
      <c r="M481" s="114" t="str">
        <f>IF(Main[[#This Row],[Tech Start Date]]&lt;1/1/1990,"",IF(Main[[#This Row],[Class]]="C",WORKDAY(Main[[#This Row],[Tech Start Date]],9),IF(Main[[#This Row],[Class]]="B", WORKDAY(Main[[#This Row],[Tech Start Date]],6),IF(Main[[#This Row],[Class]]="A",WORKDAY(Main[[#This Row],[Tech Start Date]],2),""))))</f>
        <v/>
      </c>
      <c r="N481" s="114" t="str">
        <f>IF(Main[[#This Row],[Tech Start Date]]&lt;1/1/1990,"",IF(Main[[#This Row],[Class]]="C",WORKDAY(Main[[#This Row],[Tech Start Date]],19),IF(Main[[#This Row],[Class]]="B", WORKDAY(Main[[#This Row],[Tech Start Date]],12),IF(Main[[#This Row],[Class]]="A",WORKDAY(Main[[#This Row],[Tech Start Date]],4),""))))</f>
        <v/>
      </c>
      <c r="O481" s="114" t="str">
        <f>IF(Main[[#This Row],[Tech Start Date]]&lt;1/1/1990,"",IF(Main[[#This Row],[Class]]="C",WORKDAY(Main[[#This Row],[Tech Start Date]],23),IF(Main[[#This Row],[Class]]="B", WORKDAY(Main[[#This Row],[Tech Start Date]],15),IF(Main[[#This Row],[Class]]="A",WORKDAY(Main[[#This Row],[Tech Start Date]],5),""))))</f>
        <v/>
      </c>
      <c r="P481" s="114" t="str">
        <f>IF(Main[[#This Row],[Tech Start Date]]&lt;1/1/1990,"",IF(Main[[#This Row],[Class]]="C",WORKDAY(Main[[#This Row],[Tech Start Date]],28),IF(Main[[#This Row],[Class]]="B", WORKDAY(Main[[#This Row],[Tech Start Date]],19),IF(Main[[#This Row],[Class]]="A",WORKDAY(Main[[#This Row],[Tech Start Date]],9),""))))</f>
        <v/>
      </c>
      <c r="Q481" s="129">
        <v>40318</v>
      </c>
      <c r="R481" s="129"/>
      <c r="S481" s="139" t="s">
        <v>11</v>
      </c>
      <c r="T481" s="115" t="s">
        <v>4</v>
      </c>
      <c r="U481" s="139" t="s">
        <v>14</v>
      </c>
      <c r="V481" s="139" t="s">
        <v>1924</v>
      </c>
      <c r="W481" s="139" t="s">
        <v>1916</v>
      </c>
      <c r="X481" s="139" t="s">
        <v>2830</v>
      </c>
      <c r="Y481" s="112" t="s">
        <v>4</v>
      </c>
      <c r="Z481" s="112" t="s">
        <v>4</v>
      </c>
      <c r="AA481" s="139" t="s">
        <v>2830</v>
      </c>
    </row>
    <row r="482" spans="1:27" ht="17.25" customHeight="1">
      <c r="A482" s="69" t="str">
        <f>IF(priority(Main[[#This Row],[Comments]])&lt;&gt;0, priority(Main[[#This Row],[Comments]]),"")</f>
        <v/>
      </c>
      <c r="B482" s="63" t="s">
        <v>1333</v>
      </c>
      <c r="C482" s="148" t="s">
        <v>31</v>
      </c>
      <c r="D482" s="113" t="s">
        <v>388</v>
      </c>
      <c r="E482" s="129"/>
      <c r="F482" s="129">
        <v>40288</v>
      </c>
      <c r="G482" s="69" t="str">
        <f>IF(stdProdLT(Main[[#This Row],[Comments]])=0.1,"N/A",IF(stdProdLT(Main[[#This Row],[Comments]])=0,"",stdProdLT(Main[[#This Row],[Comments]])))</f>
        <v/>
      </c>
      <c r="H482" s="138" t="str">
        <f>IF(Main[[#This Row],[In Stock Date]]="N/A", "N/A",IF(AND(Main[[#This Row],[In Stock Date]]&lt;&gt;"",Main[[#This Row],[Revised Due Date]]&lt;&gt;"",Main[[#This Row],[In Stock Date]]&lt;&gt;""),Main[[#This Row],[In Stock Date]]-Main[[#This Row],[Revised Due Date]],""))</f>
        <v/>
      </c>
      <c r="I482" s="139" t="s">
        <v>4</v>
      </c>
      <c r="J482" s="139" t="s">
        <v>4</v>
      </c>
      <c r="K482" s="139" t="s">
        <v>4</v>
      </c>
      <c r="L482" s="129"/>
      <c r="M482" s="114" t="str">
        <f>IF(Main[[#This Row],[Tech Start Date]]&lt;1/1/1990,"",IF(Main[[#This Row],[Class]]="C",WORKDAY(Main[[#This Row],[Tech Start Date]],9),IF(Main[[#This Row],[Class]]="B", WORKDAY(Main[[#This Row],[Tech Start Date]],6),IF(Main[[#This Row],[Class]]="A",WORKDAY(Main[[#This Row],[Tech Start Date]],2),""))))</f>
        <v/>
      </c>
      <c r="N482" s="114" t="str">
        <f>IF(Main[[#This Row],[Tech Start Date]]&lt;1/1/1990,"",IF(Main[[#This Row],[Class]]="C",WORKDAY(Main[[#This Row],[Tech Start Date]],19),IF(Main[[#This Row],[Class]]="B", WORKDAY(Main[[#This Row],[Tech Start Date]],12),IF(Main[[#This Row],[Class]]="A",WORKDAY(Main[[#This Row],[Tech Start Date]],4),""))))</f>
        <v/>
      </c>
      <c r="O482" s="114" t="str">
        <f>IF(Main[[#This Row],[Tech Start Date]]&lt;1/1/1990,"",IF(Main[[#This Row],[Class]]="C",WORKDAY(Main[[#This Row],[Tech Start Date]],23),IF(Main[[#This Row],[Class]]="B", WORKDAY(Main[[#This Row],[Tech Start Date]],15),IF(Main[[#This Row],[Class]]="A",WORKDAY(Main[[#This Row],[Tech Start Date]],5),""))))</f>
        <v/>
      </c>
      <c r="P482" s="114" t="str">
        <f>IF(Main[[#This Row],[Tech Start Date]]&lt;1/1/1990,"",IF(Main[[#This Row],[Class]]="C",WORKDAY(Main[[#This Row],[Tech Start Date]],28),IF(Main[[#This Row],[Class]]="B", WORKDAY(Main[[#This Row],[Tech Start Date]],19),IF(Main[[#This Row],[Class]]="A",WORKDAY(Main[[#This Row],[Tech Start Date]],9),""))))</f>
        <v/>
      </c>
      <c r="Q482" s="129">
        <v>40106</v>
      </c>
      <c r="R482" s="129"/>
      <c r="S482" s="139" t="s">
        <v>11</v>
      </c>
      <c r="T482" s="115" t="s">
        <v>4</v>
      </c>
      <c r="U482" s="139" t="s">
        <v>14</v>
      </c>
      <c r="V482" s="139" t="s">
        <v>1917</v>
      </c>
      <c r="W482" s="139" t="s">
        <v>1925</v>
      </c>
      <c r="X482" s="139" t="s">
        <v>2830</v>
      </c>
      <c r="Y482" s="112" t="s">
        <v>4</v>
      </c>
      <c r="Z482" s="112" t="s">
        <v>4</v>
      </c>
      <c r="AA482" s="139" t="s">
        <v>2830</v>
      </c>
    </row>
    <row r="483" spans="1:27" ht="17.25" customHeight="1">
      <c r="A483" s="69" t="str">
        <f>IF(priority(Main[[#This Row],[Comments]])&lt;&gt;0, priority(Main[[#This Row],[Comments]]),"")</f>
        <v/>
      </c>
      <c r="B483" s="63" t="s">
        <v>1902</v>
      </c>
      <c r="C483" s="148" t="s">
        <v>277</v>
      </c>
      <c r="D483" s="113" t="s">
        <v>953</v>
      </c>
      <c r="E483" s="129"/>
      <c r="F483" s="129">
        <v>40543</v>
      </c>
      <c r="G483" s="69" t="str">
        <f>IF(stdProdLT(Main[[#This Row],[Comments]])=0.1,"N/A",IF(stdProdLT(Main[[#This Row],[Comments]])=0,"",stdProdLT(Main[[#This Row],[Comments]])))</f>
        <v/>
      </c>
      <c r="H483" s="138">
        <f>IF(Main[[#This Row],[In Stock Date]]="N/A", "N/A",IF(AND(Main[[#This Row],[In Stock Date]]&lt;&gt;"",Main[[#This Row],[Revised Due Date]]&lt;&gt;"",Main[[#This Row],[In Stock Date]]&lt;&gt;""),Main[[#This Row],[In Stock Date]]-Main[[#This Row],[Revised Due Date]],""))</f>
        <v>-200</v>
      </c>
      <c r="I483" s="139" t="s">
        <v>163</v>
      </c>
      <c r="J483" s="139" t="s">
        <v>4</v>
      </c>
      <c r="K483" s="139" t="s">
        <v>1926</v>
      </c>
      <c r="L483" s="129"/>
      <c r="M483" s="114" t="str">
        <f>IF(Main[[#This Row],[Tech Start Date]]&lt;1/1/1990,"",IF(Main[[#This Row],[Class]]="C",WORKDAY(Main[[#This Row],[Tech Start Date]],9),IF(Main[[#This Row],[Class]]="B", WORKDAY(Main[[#This Row],[Tech Start Date]],6),IF(Main[[#This Row],[Class]]="A",WORKDAY(Main[[#This Row],[Tech Start Date]],2),""))))</f>
        <v/>
      </c>
      <c r="N483" s="114" t="str">
        <f>IF(Main[[#This Row],[Tech Start Date]]&lt;1/1/1990,"",IF(Main[[#This Row],[Class]]="C",WORKDAY(Main[[#This Row],[Tech Start Date]],19),IF(Main[[#This Row],[Class]]="B", WORKDAY(Main[[#This Row],[Tech Start Date]],12),IF(Main[[#This Row],[Class]]="A",WORKDAY(Main[[#This Row],[Tech Start Date]],4),""))))</f>
        <v/>
      </c>
      <c r="O483" s="114" t="str">
        <f>IF(Main[[#This Row],[Tech Start Date]]&lt;1/1/1990,"",IF(Main[[#This Row],[Class]]="C",WORKDAY(Main[[#This Row],[Tech Start Date]],23),IF(Main[[#This Row],[Class]]="B", WORKDAY(Main[[#This Row],[Tech Start Date]],15),IF(Main[[#This Row],[Class]]="A",WORKDAY(Main[[#This Row],[Tech Start Date]],5),""))))</f>
        <v/>
      </c>
      <c r="P483" s="114" t="str">
        <f>IF(Main[[#This Row],[Tech Start Date]]&lt;1/1/1990,"",IF(Main[[#This Row],[Class]]="C",WORKDAY(Main[[#This Row],[Tech Start Date]],28),IF(Main[[#This Row],[Class]]="B", WORKDAY(Main[[#This Row],[Tech Start Date]],19),IF(Main[[#This Row],[Class]]="A",WORKDAY(Main[[#This Row],[Tech Start Date]],9),""))))</f>
        <v/>
      </c>
      <c r="Q483" s="129">
        <v>40543</v>
      </c>
      <c r="R483" s="129">
        <v>40743</v>
      </c>
      <c r="S483" s="139" t="s">
        <v>17</v>
      </c>
      <c r="T483" s="115" t="s">
        <v>4</v>
      </c>
      <c r="U483" s="139" t="s">
        <v>14</v>
      </c>
      <c r="V483" s="139" t="s">
        <v>1917</v>
      </c>
      <c r="W483" s="139" t="s">
        <v>1916</v>
      </c>
      <c r="X483" s="139" t="s">
        <v>65</v>
      </c>
      <c r="Y483" s="112" t="s">
        <v>4</v>
      </c>
      <c r="Z483" s="112" t="s">
        <v>415</v>
      </c>
      <c r="AA483" s="139" t="s">
        <v>65</v>
      </c>
    </row>
    <row r="484" spans="1:27" ht="17.25" customHeight="1">
      <c r="A484" s="69" t="str">
        <f>IF(priority(Main[[#This Row],[Comments]])&lt;&gt;0, priority(Main[[#This Row],[Comments]]),"")</f>
        <v/>
      </c>
      <c r="B484" s="63" t="s">
        <v>1308</v>
      </c>
      <c r="C484" s="148" t="s">
        <v>4</v>
      </c>
      <c r="D484" s="113" t="s">
        <v>389</v>
      </c>
      <c r="E484" s="129"/>
      <c r="F484" s="129"/>
      <c r="G484" s="69" t="str">
        <f>IF(stdProdLT(Main[[#This Row],[Comments]])=0.1,"N/A",IF(stdProdLT(Main[[#This Row],[Comments]])=0,"",stdProdLT(Main[[#This Row],[Comments]])))</f>
        <v/>
      </c>
      <c r="H484" s="138" t="str">
        <f>IF(Main[[#This Row],[In Stock Date]]="N/A", "N/A",IF(AND(Main[[#This Row],[In Stock Date]]&lt;&gt;"",Main[[#This Row],[Revised Due Date]]&lt;&gt;"",Main[[#This Row],[In Stock Date]]&lt;&gt;""),Main[[#This Row],[In Stock Date]]-Main[[#This Row],[Revised Due Date]],""))</f>
        <v/>
      </c>
      <c r="I484" s="139" t="s">
        <v>4</v>
      </c>
      <c r="J484" s="139" t="s">
        <v>4</v>
      </c>
      <c r="K484" s="139" t="s">
        <v>4</v>
      </c>
      <c r="L484" s="129"/>
      <c r="M484" s="114" t="str">
        <f>IF(Main[[#This Row],[Tech Start Date]]&lt;1/1/1990,"",IF(Main[[#This Row],[Class]]="C",WORKDAY(Main[[#This Row],[Tech Start Date]],9),IF(Main[[#This Row],[Class]]="B", WORKDAY(Main[[#This Row],[Tech Start Date]],6),IF(Main[[#This Row],[Class]]="A",WORKDAY(Main[[#This Row],[Tech Start Date]],2),""))))</f>
        <v/>
      </c>
      <c r="N484" s="114" t="str">
        <f>IF(Main[[#This Row],[Tech Start Date]]&lt;1/1/1990,"",IF(Main[[#This Row],[Class]]="C",WORKDAY(Main[[#This Row],[Tech Start Date]],19),IF(Main[[#This Row],[Class]]="B", WORKDAY(Main[[#This Row],[Tech Start Date]],12),IF(Main[[#This Row],[Class]]="A",WORKDAY(Main[[#This Row],[Tech Start Date]],4),""))))</f>
        <v/>
      </c>
      <c r="O484" s="114" t="str">
        <f>IF(Main[[#This Row],[Tech Start Date]]&lt;1/1/1990,"",IF(Main[[#This Row],[Class]]="C",WORKDAY(Main[[#This Row],[Tech Start Date]],23),IF(Main[[#This Row],[Class]]="B", WORKDAY(Main[[#This Row],[Tech Start Date]],15),IF(Main[[#This Row],[Class]]="A",WORKDAY(Main[[#This Row],[Tech Start Date]],5),""))))</f>
        <v/>
      </c>
      <c r="P484" s="114" t="str">
        <f>IF(Main[[#This Row],[Tech Start Date]]&lt;1/1/1990,"",IF(Main[[#This Row],[Class]]="C",WORKDAY(Main[[#This Row],[Tech Start Date]],28),IF(Main[[#This Row],[Class]]="B", WORKDAY(Main[[#This Row],[Tech Start Date]],19),IF(Main[[#This Row],[Class]]="A",WORKDAY(Main[[#This Row],[Tech Start Date]],9),""))))</f>
        <v/>
      </c>
      <c r="Q484" s="129"/>
      <c r="R484" s="129"/>
      <c r="S484" s="139" t="s">
        <v>4</v>
      </c>
      <c r="T484" s="115" t="s">
        <v>4</v>
      </c>
      <c r="U484" s="139" t="s">
        <v>14</v>
      </c>
      <c r="V484" s="139" t="s">
        <v>1915</v>
      </c>
      <c r="W484" s="139" t="s">
        <v>4</v>
      </c>
      <c r="X484" s="139" t="s">
        <v>922</v>
      </c>
      <c r="Y484" s="112" t="s">
        <v>4</v>
      </c>
      <c r="Z484" s="112" t="s">
        <v>4</v>
      </c>
      <c r="AA484" s="139" t="s">
        <v>4</v>
      </c>
    </row>
    <row r="485" spans="1:27" ht="17.25" customHeight="1">
      <c r="A485" s="69" t="str">
        <f>IF(priority(Main[[#This Row],[Comments]])&lt;&gt;0, priority(Main[[#This Row],[Comments]]),"")</f>
        <v/>
      </c>
      <c r="B485" s="63" t="s">
        <v>1192</v>
      </c>
      <c r="C485" s="148" t="s">
        <v>4</v>
      </c>
      <c r="D485" s="113" t="s">
        <v>252</v>
      </c>
      <c r="E485" s="129"/>
      <c r="F485" s="129"/>
      <c r="G485" s="69" t="str">
        <f>IF(stdProdLT(Main[[#This Row],[Comments]])=0.1,"N/A",IF(stdProdLT(Main[[#This Row],[Comments]])=0,"",stdProdLT(Main[[#This Row],[Comments]])))</f>
        <v/>
      </c>
      <c r="H485" s="138" t="str">
        <f>IF(Main[[#This Row],[In Stock Date]]="N/A", "N/A",IF(AND(Main[[#This Row],[In Stock Date]]&lt;&gt;"",Main[[#This Row],[Revised Due Date]]&lt;&gt;"",Main[[#This Row],[In Stock Date]]&lt;&gt;""),Main[[#This Row],[In Stock Date]]-Main[[#This Row],[Revised Due Date]],""))</f>
        <v/>
      </c>
      <c r="I485" s="139" t="s">
        <v>4</v>
      </c>
      <c r="J485" s="139" t="s">
        <v>4</v>
      </c>
      <c r="K485" s="139" t="s">
        <v>4</v>
      </c>
      <c r="L485" s="129"/>
      <c r="M485" s="114" t="str">
        <f>IF(Main[[#This Row],[Tech Start Date]]&lt;1/1/1990,"",IF(Main[[#This Row],[Class]]="C",WORKDAY(Main[[#This Row],[Tech Start Date]],9),IF(Main[[#This Row],[Class]]="B", WORKDAY(Main[[#This Row],[Tech Start Date]],6),IF(Main[[#This Row],[Class]]="A",WORKDAY(Main[[#This Row],[Tech Start Date]],2),""))))</f>
        <v/>
      </c>
      <c r="N485" s="114" t="str">
        <f>IF(Main[[#This Row],[Tech Start Date]]&lt;1/1/1990,"",IF(Main[[#This Row],[Class]]="C",WORKDAY(Main[[#This Row],[Tech Start Date]],19),IF(Main[[#This Row],[Class]]="B", WORKDAY(Main[[#This Row],[Tech Start Date]],12),IF(Main[[#This Row],[Class]]="A",WORKDAY(Main[[#This Row],[Tech Start Date]],4),""))))</f>
        <v/>
      </c>
      <c r="O485" s="114" t="str">
        <f>IF(Main[[#This Row],[Tech Start Date]]&lt;1/1/1990,"",IF(Main[[#This Row],[Class]]="C",WORKDAY(Main[[#This Row],[Tech Start Date]],23),IF(Main[[#This Row],[Class]]="B", WORKDAY(Main[[#This Row],[Tech Start Date]],15),IF(Main[[#This Row],[Class]]="A",WORKDAY(Main[[#This Row],[Tech Start Date]],5),""))))</f>
        <v/>
      </c>
      <c r="P485" s="114" t="str">
        <f>IF(Main[[#This Row],[Tech Start Date]]&lt;1/1/1990,"",IF(Main[[#This Row],[Class]]="C",WORKDAY(Main[[#This Row],[Tech Start Date]],28),IF(Main[[#This Row],[Class]]="B", WORKDAY(Main[[#This Row],[Tech Start Date]],19),IF(Main[[#This Row],[Class]]="A",WORKDAY(Main[[#This Row],[Tech Start Date]],9),""))))</f>
        <v/>
      </c>
      <c r="Q485" s="129"/>
      <c r="R485" s="129"/>
      <c r="S485" s="139" t="s">
        <v>11</v>
      </c>
      <c r="T485" s="115" t="s">
        <v>4</v>
      </c>
      <c r="U485" s="139" t="s">
        <v>12</v>
      </c>
      <c r="V485" s="139" t="s">
        <v>1914</v>
      </c>
      <c r="W485" s="139" t="s">
        <v>1918</v>
      </c>
      <c r="X485" s="139" t="s">
        <v>877</v>
      </c>
      <c r="Y485" s="112" t="s">
        <v>3034</v>
      </c>
      <c r="Z485" s="112" t="s">
        <v>4</v>
      </c>
      <c r="AA485" s="139" t="s">
        <v>3401</v>
      </c>
    </row>
    <row r="486" spans="1:27" ht="17.25" customHeight="1">
      <c r="A486" s="69" t="str">
        <f>IF(priority(Main[[#This Row],[Comments]])&lt;&gt;0, priority(Main[[#This Row],[Comments]]),"")</f>
        <v/>
      </c>
      <c r="B486" s="63" t="s">
        <v>1193</v>
      </c>
      <c r="C486" s="148" t="s">
        <v>155</v>
      </c>
      <c r="D486" s="113" t="s">
        <v>253</v>
      </c>
      <c r="E486" s="129"/>
      <c r="F486" s="129"/>
      <c r="G486" s="69" t="str">
        <f>IF(stdProdLT(Main[[#This Row],[Comments]])=0.1,"N/A",IF(stdProdLT(Main[[#This Row],[Comments]])=0,"",stdProdLT(Main[[#This Row],[Comments]])))</f>
        <v/>
      </c>
      <c r="H486" s="138" t="str">
        <f>IF(Main[[#This Row],[In Stock Date]]="N/A", "N/A",IF(AND(Main[[#This Row],[In Stock Date]]&lt;&gt;"",Main[[#This Row],[Revised Due Date]]&lt;&gt;"",Main[[#This Row],[In Stock Date]]&lt;&gt;""),Main[[#This Row],[In Stock Date]]-Main[[#This Row],[Revised Due Date]],""))</f>
        <v/>
      </c>
      <c r="I486" s="139" t="s">
        <v>4</v>
      </c>
      <c r="J486" s="139" t="s">
        <v>4</v>
      </c>
      <c r="K486" s="139" t="s">
        <v>4</v>
      </c>
      <c r="L486" s="129"/>
      <c r="M486" s="114" t="str">
        <f>IF(Main[[#This Row],[Tech Start Date]]&lt;1/1/1990,"",IF(Main[[#This Row],[Class]]="C",WORKDAY(Main[[#This Row],[Tech Start Date]],9),IF(Main[[#This Row],[Class]]="B", WORKDAY(Main[[#This Row],[Tech Start Date]],6),IF(Main[[#This Row],[Class]]="A",WORKDAY(Main[[#This Row],[Tech Start Date]],2),""))))</f>
        <v/>
      </c>
      <c r="N486" s="114" t="str">
        <f>IF(Main[[#This Row],[Tech Start Date]]&lt;1/1/1990,"",IF(Main[[#This Row],[Class]]="C",WORKDAY(Main[[#This Row],[Tech Start Date]],19),IF(Main[[#This Row],[Class]]="B", WORKDAY(Main[[#This Row],[Tech Start Date]],12),IF(Main[[#This Row],[Class]]="A",WORKDAY(Main[[#This Row],[Tech Start Date]],4),""))))</f>
        <v/>
      </c>
      <c r="O486" s="114" t="str">
        <f>IF(Main[[#This Row],[Tech Start Date]]&lt;1/1/1990,"",IF(Main[[#This Row],[Class]]="C",WORKDAY(Main[[#This Row],[Tech Start Date]],23),IF(Main[[#This Row],[Class]]="B", WORKDAY(Main[[#This Row],[Tech Start Date]],15),IF(Main[[#This Row],[Class]]="A",WORKDAY(Main[[#This Row],[Tech Start Date]],5),""))))</f>
        <v/>
      </c>
      <c r="P486" s="114" t="str">
        <f>IF(Main[[#This Row],[Tech Start Date]]&lt;1/1/1990,"",IF(Main[[#This Row],[Class]]="C",WORKDAY(Main[[#This Row],[Tech Start Date]],28),IF(Main[[#This Row],[Class]]="B", WORKDAY(Main[[#This Row],[Tech Start Date]],19),IF(Main[[#This Row],[Class]]="A",WORKDAY(Main[[#This Row],[Tech Start Date]],9),""))))</f>
        <v/>
      </c>
      <c r="Q486" s="129">
        <v>40144</v>
      </c>
      <c r="R486" s="129"/>
      <c r="S486" s="139" t="s">
        <v>11</v>
      </c>
      <c r="T486" s="115" t="s">
        <v>4</v>
      </c>
      <c r="U486" s="139" t="s">
        <v>14</v>
      </c>
      <c r="V486" s="139" t="s">
        <v>1914</v>
      </c>
      <c r="W486" s="139" t="s">
        <v>1916</v>
      </c>
      <c r="X486" s="139" t="s">
        <v>2854</v>
      </c>
      <c r="Y486" s="112" t="s">
        <v>4</v>
      </c>
      <c r="Z486" s="112" t="s">
        <v>4</v>
      </c>
      <c r="AA486" s="139" t="s">
        <v>2854</v>
      </c>
    </row>
    <row r="487" spans="1:27" ht="17.25" customHeight="1">
      <c r="A487" s="69" t="str">
        <f>IF(priority(Main[[#This Row],[Comments]])&lt;&gt;0, priority(Main[[#This Row],[Comments]]),"")</f>
        <v/>
      </c>
      <c r="B487" s="63" t="s">
        <v>1194</v>
      </c>
      <c r="C487" s="148" t="s">
        <v>4</v>
      </c>
      <c r="D487" s="113" t="s">
        <v>254</v>
      </c>
      <c r="E487" s="129">
        <v>40703.393472222226</v>
      </c>
      <c r="F487" s="129"/>
      <c r="G487" s="69" t="str">
        <f>IF(stdProdLT(Main[[#This Row],[Comments]])=0.1,"N/A",IF(stdProdLT(Main[[#This Row],[Comments]])=0,"",stdProdLT(Main[[#This Row],[Comments]])))</f>
        <v/>
      </c>
      <c r="H487" s="138" t="str">
        <f>IF(Main[[#This Row],[In Stock Date]]="N/A", "N/A",IF(AND(Main[[#This Row],[In Stock Date]]&lt;&gt;"",Main[[#This Row],[Revised Due Date]]&lt;&gt;"",Main[[#This Row],[In Stock Date]]&lt;&gt;""),Main[[#This Row],[In Stock Date]]-Main[[#This Row],[Revised Due Date]],""))</f>
        <v/>
      </c>
      <c r="I487" s="139" t="s">
        <v>4</v>
      </c>
      <c r="J487" s="139" t="s">
        <v>4</v>
      </c>
      <c r="K487" s="139" t="s">
        <v>4</v>
      </c>
      <c r="L487" s="129"/>
      <c r="M487" s="114" t="str">
        <f>IF(Main[[#This Row],[Tech Start Date]]&lt;1/1/1990,"",IF(Main[[#This Row],[Class]]="C",WORKDAY(Main[[#This Row],[Tech Start Date]],9),IF(Main[[#This Row],[Class]]="B", WORKDAY(Main[[#This Row],[Tech Start Date]],6),IF(Main[[#This Row],[Class]]="A",WORKDAY(Main[[#This Row],[Tech Start Date]],2),""))))</f>
        <v/>
      </c>
      <c r="N487" s="114" t="str">
        <f>IF(Main[[#This Row],[Tech Start Date]]&lt;1/1/1990,"",IF(Main[[#This Row],[Class]]="C",WORKDAY(Main[[#This Row],[Tech Start Date]],19),IF(Main[[#This Row],[Class]]="B", WORKDAY(Main[[#This Row],[Tech Start Date]],12),IF(Main[[#This Row],[Class]]="A",WORKDAY(Main[[#This Row],[Tech Start Date]],4),""))))</f>
        <v/>
      </c>
      <c r="O487" s="114" t="str">
        <f>IF(Main[[#This Row],[Tech Start Date]]&lt;1/1/1990,"",IF(Main[[#This Row],[Class]]="C",WORKDAY(Main[[#This Row],[Tech Start Date]],23),IF(Main[[#This Row],[Class]]="B", WORKDAY(Main[[#This Row],[Tech Start Date]],15),IF(Main[[#This Row],[Class]]="A",WORKDAY(Main[[#This Row],[Tech Start Date]],5),""))))</f>
        <v/>
      </c>
      <c r="P487" s="114" t="str">
        <f>IF(Main[[#This Row],[Tech Start Date]]&lt;1/1/1990,"",IF(Main[[#This Row],[Class]]="C",WORKDAY(Main[[#This Row],[Tech Start Date]],28),IF(Main[[#This Row],[Class]]="B", WORKDAY(Main[[#This Row],[Tech Start Date]],19),IF(Main[[#This Row],[Class]]="A",WORKDAY(Main[[#This Row],[Tech Start Date]],9),""))))</f>
        <v/>
      </c>
      <c r="Q487" s="129">
        <v>40724</v>
      </c>
      <c r="R487" s="129"/>
      <c r="S487" s="139" t="s">
        <v>6</v>
      </c>
      <c r="T487" s="115" t="s">
        <v>4</v>
      </c>
      <c r="U487" s="139" t="s">
        <v>7</v>
      </c>
      <c r="V487" s="139" t="s">
        <v>1914</v>
      </c>
      <c r="W487" s="139" t="s">
        <v>1918</v>
      </c>
      <c r="X487" s="139" t="s">
        <v>2836</v>
      </c>
      <c r="Y487" s="112" t="s">
        <v>2965</v>
      </c>
      <c r="Z487" s="112" t="s">
        <v>4</v>
      </c>
      <c r="AA487" s="139" t="s">
        <v>2836</v>
      </c>
    </row>
    <row r="488" spans="1:27" ht="17.25" customHeight="1">
      <c r="A488" s="69" t="str">
        <f>IF(priority(Main[[#This Row],[Comments]])&lt;&gt;0, priority(Main[[#This Row],[Comments]]),"")</f>
        <v/>
      </c>
      <c r="B488" s="63" t="s">
        <v>1195</v>
      </c>
      <c r="C488" s="148" t="s">
        <v>33</v>
      </c>
      <c r="D488" s="113" t="s">
        <v>255</v>
      </c>
      <c r="E488" s="129"/>
      <c r="F488" s="129"/>
      <c r="G488" s="69" t="str">
        <f>IF(stdProdLT(Main[[#This Row],[Comments]])=0.1,"N/A",IF(stdProdLT(Main[[#This Row],[Comments]])=0,"",stdProdLT(Main[[#This Row],[Comments]])))</f>
        <v/>
      </c>
      <c r="H488" s="138" t="str">
        <f>IF(Main[[#This Row],[In Stock Date]]="N/A", "N/A",IF(AND(Main[[#This Row],[In Stock Date]]&lt;&gt;"",Main[[#This Row],[Revised Due Date]]&lt;&gt;"",Main[[#This Row],[In Stock Date]]&lt;&gt;""),Main[[#This Row],[In Stock Date]]-Main[[#This Row],[Revised Due Date]],""))</f>
        <v/>
      </c>
      <c r="I488" s="139" t="s">
        <v>4</v>
      </c>
      <c r="J488" s="139" t="s">
        <v>28</v>
      </c>
      <c r="K488" s="139" t="s">
        <v>1927</v>
      </c>
      <c r="L488" s="129"/>
      <c r="M488" s="114" t="str">
        <f>IF(Main[[#This Row],[Tech Start Date]]&lt;1/1/1990,"",IF(Main[[#This Row],[Class]]="C",WORKDAY(Main[[#This Row],[Tech Start Date]],9),IF(Main[[#This Row],[Class]]="B", WORKDAY(Main[[#This Row],[Tech Start Date]],6),IF(Main[[#This Row],[Class]]="A",WORKDAY(Main[[#This Row],[Tech Start Date]],2),""))))</f>
        <v/>
      </c>
      <c r="N488" s="114" t="str">
        <f>IF(Main[[#This Row],[Tech Start Date]]&lt;1/1/1990,"",IF(Main[[#This Row],[Class]]="C",WORKDAY(Main[[#This Row],[Tech Start Date]],19),IF(Main[[#This Row],[Class]]="B", WORKDAY(Main[[#This Row],[Tech Start Date]],12),IF(Main[[#This Row],[Class]]="A",WORKDAY(Main[[#This Row],[Tech Start Date]],4),""))))</f>
        <v/>
      </c>
      <c r="O488" s="114" t="str">
        <f>IF(Main[[#This Row],[Tech Start Date]]&lt;1/1/1990,"",IF(Main[[#This Row],[Class]]="C",WORKDAY(Main[[#This Row],[Tech Start Date]],23),IF(Main[[#This Row],[Class]]="B", WORKDAY(Main[[#This Row],[Tech Start Date]],15),IF(Main[[#This Row],[Class]]="A",WORKDAY(Main[[#This Row],[Tech Start Date]],5),""))))</f>
        <v/>
      </c>
      <c r="P488" s="114" t="str">
        <f>IF(Main[[#This Row],[Tech Start Date]]&lt;1/1/1990,"",IF(Main[[#This Row],[Class]]="C",WORKDAY(Main[[#This Row],[Tech Start Date]],28),IF(Main[[#This Row],[Class]]="B", WORKDAY(Main[[#This Row],[Tech Start Date]],19),IF(Main[[#This Row],[Class]]="A",WORKDAY(Main[[#This Row],[Tech Start Date]],9),""))))</f>
        <v/>
      </c>
      <c r="Q488" s="129">
        <v>40364</v>
      </c>
      <c r="R488" s="129"/>
      <c r="S488" s="139" t="s">
        <v>17</v>
      </c>
      <c r="T488" s="115" t="s">
        <v>4</v>
      </c>
      <c r="U488" s="139" t="s">
        <v>14</v>
      </c>
      <c r="V488" s="139" t="s">
        <v>1915</v>
      </c>
      <c r="W488" s="139" t="s">
        <v>1919</v>
      </c>
      <c r="X488" s="139" t="s">
        <v>2875</v>
      </c>
      <c r="Y488" s="112" t="s">
        <v>3021</v>
      </c>
      <c r="Z488" s="112" t="s">
        <v>108</v>
      </c>
      <c r="AA488" s="139" t="s">
        <v>2875</v>
      </c>
    </row>
    <row r="489" spans="1:27" ht="17.25" customHeight="1">
      <c r="A489" s="69" t="str">
        <f>IF(priority(Main[[#This Row],[Comments]])&lt;&gt;0, priority(Main[[#This Row],[Comments]]),"")</f>
        <v/>
      </c>
      <c r="B489" s="63" t="s">
        <v>1196</v>
      </c>
      <c r="C489" s="148" t="s">
        <v>31</v>
      </c>
      <c r="D489" s="113" t="s">
        <v>256</v>
      </c>
      <c r="E489" s="129"/>
      <c r="F489" s="129"/>
      <c r="G489" s="69" t="str">
        <f>IF(stdProdLT(Main[[#This Row],[Comments]])=0.1,"N/A",IF(stdProdLT(Main[[#This Row],[Comments]])=0,"",stdProdLT(Main[[#This Row],[Comments]])))</f>
        <v/>
      </c>
      <c r="H489" s="138" t="str">
        <f>IF(Main[[#This Row],[In Stock Date]]="N/A", "N/A",IF(AND(Main[[#This Row],[In Stock Date]]&lt;&gt;"",Main[[#This Row],[Revised Due Date]]&lt;&gt;"",Main[[#This Row],[In Stock Date]]&lt;&gt;""),Main[[#This Row],[In Stock Date]]-Main[[#This Row],[Revised Due Date]],""))</f>
        <v/>
      </c>
      <c r="I489" s="139" t="s">
        <v>4</v>
      </c>
      <c r="J489" s="139" t="s">
        <v>4</v>
      </c>
      <c r="K489" s="139" t="s">
        <v>4</v>
      </c>
      <c r="L489" s="129"/>
      <c r="M489" s="114" t="str">
        <f>IF(Main[[#This Row],[Tech Start Date]]&lt;1/1/1990,"",IF(Main[[#This Row],[Class]]="C",WORKDAY(Main[[#This Row],[Tech Start Date]],9),IF(Main[[#This Row],[Class]]="B", WORKDAY(Main[[#This Row],[Tech Start Date]],6),IF(Main[[#This Row],[Class]]="A",WORKDAY(Main[[#This Row],[Tech Start Date]],2),""))))</f>
        <v/>
      </c>
      <c r="N489" s="114" t="str">
        <f>IF(Main[[#This Row],[Tech Start Date]]&lt;1/1/1990,"",IF(Main[[#This Row],[Class]]="C",WORKDAY(Main[[#This Row],[Tech Start Date]],19),IF(Main[[#This Row],[Class]]="B", WORKDAY(Main[[#This Row],[Tech Start Date]],12),IF(Main[[#This Row],[Class]]="A",WORKDAY(Main[[#This Row],[Tech Start Date]],4),""))))</f>
        <v/>
      </c>
      <c r="O489" s="114" t="str">
        <f>IF(Main[[#This Row],[Tech Start Date]]&lt;1/1/1990,"",IF(Main[[#This Row],[Class]]="C",WORKDAY(Main[[#This Row],[Tech Start Date]],23),IF(Main[[#This Row],[Class]]="B", WORKDAY(Main[[#This Row],[Tech Start Date]],15),IF(Main[[#This Row],[Class]]="A",WORKDAY(Main[[#This Row],[Tech Start Date]],5),""))))</f>
        <v/>
      </c>
      <c r="P489" s="114" t="str">
        <f>IF(Main[[#This Row],[Tech Start Date]]&lt;1/1/1990,"",IF(Main[[#This Row],[Class]]="C",WORKDAY(Main[[#This Row],[Tech Start Date]],28),IF(Main[[#This Row],[Class]]="B", WORKDAY(Main[[#This Row],[Tech Start Date]],19),IF(Main[[#This Row],[Class]]="A",WORKDAY(Main[[#This Row],[Tech Start Date]],9),""))))</f>
        <v/>
      </c>
      <c r="Q489" s="129">
        <v>40318</v>
      </c>
      <c r="R489" s="129"/>
      <c r="S489" s="139" t="s">
        <v>11</v>
      </c>
      <c r="T489" s="115" t="s">
        <v>4</v>
      </c>
      <c r="U489" s="139" t="s">
        <v>14</v>
      </c>
      <c r="V489" s="139" t="s">
        <v>1917</v>
      </c>
      <c r="W489" s="139" t="s">
        <v>1916</v>
      </c>
      <c r="X489" s="139" t="s">
        <v>2830</v>
      </c>
      <c r="Y489" s="112" t="s">
        <v>4</v>
      </c>
      <c r="Z489" s="112" t="s">
        <v>4</v>
      </c>
      <c r="AA489" s="139" t="s">
        <v>2830</v>
      </c>
    </row>
    <row r="490" spans="1:27" ht="17.25" customHeight="1">
      <c r="A490" s="69" t="str">
        <f>IF(priority(Main[[#This Row],[Comments]])&lt;&gt;0, priority(Main[[#This Row],[Comments]]),"")</f>
        <v/>
      </c>
      <c r="B490" s="63" t="s">
        <v>1197</v>
      </c>
      <c r="C490" s="148" t="s">
        <v>4</v>
      </c>
      <c r="D490" s="113" t="s">
        <v>257</v>
      </c>
      <c r="E490" s="129"/>
      <c r="F490" s="129"/>
      <c r="G490" s="69" t="str">
        <f>IF(stdProdLT(Main[[#This Row],[Comments]])=0.1,"N/A",IF(stdProdLT(Main[[#This Row],[Comments]])=0,"",stdProdLT(Main[[#This Row],[Comments]])))</f>
        <v/>
      </c>
      <c r="H490" s="138" t="str">
        <f>IF(Main[[#This Row],[In Stock Date]]="N/A", "N/A",IF(AND(Main[[#This Row],[In Stock Date]]&lt;&gt;"",Main[[#This Row],[Revised Due Date]]&lt;&gt;"",Main[[#This Row],[In Stock Date]]&lt;&gt;""),Main[[#This Row],[In Stock Date]]-Main[[#This Row],[Revised Due Date]],""))</f>
        <v/>
      </c>
      <c r="I490" s="139" t="s">
        <v>4</v>
      </c>
      <c r="J490" s="139" t="s">
        <v>4</v>
      </c>
      <c r="K490" s="139" t="s">
        <v>4</v>
      </c>
      <c r="L490" s="129"/>
      <c r="M490" s="114" t="str">
        <f>IF(Main[[#This Row],[Tech Start Date]]&lt;1/1/1990,"",IF(Main[[#This Row],[Class]]="C",WORKDAY(Main[[#This Row],[Tech Start Date]],9),IF(Main[[#This Row],[Class]]="B", WORKDAY(Main[[#This Row],[Tech Start Date]],6),IF(Main[[#This Row],[Class]]="A",WORKDAY(Main[[#This Row],[Tech Start Date]],2),""))))</f>
        <v/>
      </c>
      <c r="N490" s="114" t="str">
        <f>IF(Main[[#This Row],[Tech Start Date]]&lt;1/1/1990,"",IF(Main[[#This Row],[Class]]="C",WORKDAY(Main[[#This Row],[Tech Start Date]],19),IF(Main[[#This Row],[Class]]="B", WORKDAY(Main[[#This Row],[Tech Start Date]],12),IF(Main[[#This Row],[Class]]="A",WORKDAY(Main[[#This Row],[Tech Start Date]],4),""))))</f>
        <v/>
      </c>
      <c r="O490" s="114" t="str">
        <f>IF(Main[[#This Row],[Tech Start Date]]&lt;1/1/1990,"",IF(Main[[#This Row],[Class]]="C",WORKDAY(Main[[#This Row],[Tech Start Date]],23),IF(Main[[#This Row],[Class]]="B", WORKDAY(Main[[#This Row],[Tech Start Date]],15),IF(Main[[#This Row],[Class]]="A",WORKDAY(Main[[#This Row],[Tech Start Date]],5),""))))</f>
        <v/>
      </c>
      <c r="P490" s="114" t="str">
        <f>IF(Main[[#This Row],[Tech Start Date]]&lt;1/1/1990,"",IF(Main[[#This Row],[Class]]="C",WORKDAY(Main[[#This Row],[Tech Start Date]],28),IF(Main[[#This Row],[Class]]="B", WORKDAY(Main[[#This Row],[Tech Start Date]],19),IF(Main[[#This Row],[Class]]="A",WORKDAY(Main[[#This Row],[Tech Start Date]],9),""))))</f>
        <v/>
      </c>
      <c r="Q490" s="129">
        <v>40390</v>
      </c>
      <c r="R490" s="129"/>
      <c r="S490" s="139" t="s">
        <v>6</v>
      </c>
      <c r="T490" s="115" t="s">
        <v>4</v>
      </c>
      <c r="U490" s="139" t="s">
        <v>14</v>
      </c>
      <c r="V490" s="139" t="s">
        <v>1917</v>
      </c>
      <c r="W490" s="139" t="s">
        <v>4</v>
      </c>
      <c r="X490" s="139" t="s">
        <v>2819</v>
      </c>
      <c r="Y490" s="112" t="s">
        <v>2932</v>
      </c>
      <c r="Z490" s="112" t="s">
        <v>4</v>
      </c>
      <c r="AA490" s="139" t="s">
        <v>2819</v>
      </c>
    </row>
    <row r="491" spans="1:27" ht="17.25" customHeight="1">
      <c r="A491" s="69" t="str">
        <f>IF(priority(Main[[#This Row],[Comments]])&lt;&gt;0, priority(Main[[#This Row],[Comments]]),"")</f>
        <v/>
      </c>
      <c r="B491" s="63" t="s">
        <v>1198</v>
      </c>
      <c r="C491" s="148" t="s">
        <v>211</v>
      </c>
      <c r="D491" s="113" t="s">
        <v>258</v>
      </c>
      <c r="E491" s="129"/>
      <c r="F491" s="129">
        <v>40452</v>
      </c>
      <c r="G491" s="69" t="str">
        <f>IF(stdProdLT(Main[[#This Row],[Comments]])=0.1,"N/A",IF(stdProdLT(Main[[#This Row],[Comments]])=0,"",stdProdLT(Main[[#This Row],[Comments]])))</f>
        <v/>
      </c>
      <c r="H491" s="138" t="str">
        <f>IF(Main[[#This Row],[In Stock Date]]="N/A", "N/A",IF(AND(Main[[#This Row],[In Stock Date]]&lt;&gt;"",Main[[#This Row],[Revised Due Date]]&lt;&gt;"",Main[[#This Row],[In Stock Date]]&lt;&gt;""),Main[[#This Row],[In Stock Date]]-Main[[#This Row],[Revised Due Date]],""))</f>
        <v/>
      </c>
      <c r="I491" s="139" t="s">
        <v>4</v>
      </c>
      <c r="J491" s="139" t="s">
        <v>4</v>
      </c>
      <c r="K491" s="140" t="s">
        <v>4</v>
      </c>
      <c r="L491" s="129"/>
      <c r="M491" s="114" t="str">
        <f>IF(Main[[#This Row],[Tech Start Date]]&lt;1/1/1990,"",IF(Main[[#This Row],[Class]]="C",WORKDAY(Main[[#This Row],[Tech Start Date]],9),IF(Main[[#This Row],[Class]]="B", WORKDAY(Main[[#This Row],[Tech Start Date]],6),IF(Main[[#This Row],[Class]]="A",WORKDAY(Main[[#This Row],[Tech Start Date]],2),""))))</f>
        <v/>
      </c>
      <c r="N491" s="114" t="str">
        <f>IF(Main[[#This Row],[Tech Start Date]]&lt;1/1/1990,"",IF(Main[[#This Row],[Class]]="C",WORKDAY(Main[[#This Row],[Tech Start Date]],19),IF(Main[[#This Row],[Class]]="B", WORKDAY(Main[[#This Row],[Tech Start Date]],12),IF(Main[[#This Row],[Class]]="A",WORKDAY(Main[[#This Row],[Tech Start Date]],4),""))))</f>
        <v/>
      </c>
      <c r="O491" s="114" t="str">
        <f>IF(Main[[#This Row],[Tech Start Date]]&lt;1/1/1990,"",IF(Main[[#This Row],[Class]]="C",WORKDAY(Main[[#This Row],[Tech Start Date]],23),IF(Main[[#This Row],[Class]]="B", WORKDAY(Main[[#This Row],[Tech Start Date]],15),IF(Main[[#This Row],[Class]]="A",WORKDAY(Main[[#This Row],[Tech Start Date]],5),""))))</f>
        <v/>
      </c>
      <c r="P491" s="114" t="str">
        <f>IF(Main[[#This Row],[Tech Start Date]]&lt;1/1/1990,"",IF(Main[[#This Row],[Class]]="C",WORKDAY(Main[[#This Row],[Tech Start Date]],28),IF(Main[[#This Row],[Class]]="B", WORKDAY(Main[[#This Row],[Tech Start Date]],19),IF(Main[[#This Row],[Class]]="A",WORKDAY(Main[[#This Row],[Tech Start Date]],9),""))))</f>
        <v/>
      </c>
      <c r="Q491" s="129">
        <v>40357</v>
      </c>
      <c r="R491" s="129"/>
      <c r="S491" s="139" t="s">
        <v>11</v>
      </c>
      <c r="T491" s="115" t="s">
        <v>4</v>
      </c>
      <c r="U491" s="139" t="s">
        <v>12</v>
      </c>
      <c r="V491" s="139" t="s">
        <v>1914</v>
      </c>
      <c r="W491" s="139" t="s">
        <v>1922</v>
      </c>
      <c r="X491" s="139" t="s">
        <v>2833</v>
      </c>
      <c r="Y491" s="112" t="s">
        <v>4</v>
      </c>
      <c r="Z491" s="112" t="s">
        <v>4</v>
      </c>
      <c r="AA491" s="139" t="s">
        <v>2833</v>
      </c>
    </row>
    <row r="492" spans="1:27" ht="17.25" customHeight="1">
      <c r="A492" s="69" t="str">
        <f>IF(priority(Main[[#This Row],[Comments]])&lt;&gt;0, priority(Main[[#This Row],[Comments]]),"")</f>
        <v/>
      </c>
      <c r="B492" s="63" t="s">
        <v>1199</v>
      </c>
      <c r="C492" s="148" t="s">
        <v>211</v>
      </c>
      <c r="D492" s="113" t="s">
        <v>259</v>
      </c>
      <c r="E492" s="129"/>
      <c r="F492" s="129">
        <v>40452</v>
      </c>
      <c r="G492" s="69" t="str">
        <f>IF(stdProdLT(Main[[#This Row],[Comments]])=0.1,"N/A",IF(stdProdLT(Main[[#This Row],[Comments]])=0,"",stdProdLT(Main[[#This Row],[Comments]])))</f>
        <v/>
      </c>
      <c r="H492" s="138" t="str">
        <f>IF(Main[[#This Row],[In Stock Date]]="N/A", "N/A",IF(AND(Main[[#This Row],[In Stock Date]]&lt;&gt;"",Main[[#This Row],[Revised Due Date]]&lt;&gt;"",Main[[#This Row],[In Stock Date]]&lt;&gt;""),Main[[#This Row],[In Stock Date]]-Main[[#This Row],[Revised Due Date]],""))</f>
        <v/>
      </c>
      <c r="I492" s="139" t="s">
        <v>4</v>
      </c>
      <c r="J492" s="139" t="s">
        <v>4</v>
      </c>
      <c r="K492" s="139" t="s">
        <v>4</v>
      </c>
      <c r="L492" s="129"/>
      <c r="M492" s="114" t="str">
        <f>IF(Main[[#This Row],[Tech Start Date]]&lt;1/1/1990,"",IF(Main[[#This Row],[Class]]="C",WORKDAY(Main[[#This Row],[Tech Start Date]],9),IF(Main[[#This Row],[Class]]="B", WORKDAY(Main[[#This Row],[Tech Start Date]],6),IF(Main[[#This Row],[Class]]="A",WORKDAY(Main[[#This Row],[Tech Start Date]],2),""))))</f>
        <v/>
      </c>
      <c r="N492" s="114" t="str">
        <f>IF(Main[[#This Row],[Tech Start Date]]&lt;1/1/1990,"",IF(Main[[#This Row],[Class]]="C",WORKDAY(Main[[#This Row],[Tech Start Date]],19),IF(Main[[#This Row],[Class]]="B", WORKDAY(Main[[#This Row],[Tech Start Date]],12),IF(Main[[#This Row],[Class]]="A",WORKDAY(Main[[#This Row],[Tech Start Date]],4),""))))</f>
        <v/>
      </c>
      <c r="O492" s="114" t="str">
        <f>IF(Main[[#This Row],[Tech Start Date]]&lt;1/1/1990,"",IF(Main[[#This Row],[Class]]="C",WORKDAY(Main[[#This Row],[Tech Start Date]],23),IF(Main[[#This Row],[Class]]="B", WORKDAY(Main[[#This Row],[Tech Start Date]],15),IF(Main[[#This Row],[Class]]="A",WORKDAY(Main[[#This Row],[Tech Start Date]],5),""))))</f>
        <v/>
      </c>
      <c r="P492" s="114" t="str">
        <f>IF(Main[[#This Row],[Tech Start Date]]&lt;1/1/1990,"",IF(Main[[#This Row],[Class]]="C",WORKDAY(Main[[#This Row],[Tech Start Date]],28),IF(Main[[#This Row],[Class]]="B", WORKDAY(Main[[#This Row],[Tech Start Date]],19),IF(Main[[#This Row],[Class]]="A",WORKDAY(Main[[#This Row],[Tech Start Date]],9),""))))</f>
        <v/>
      </c>
      <c r="Q492" s="129">
        <v>40357</v>
      </c>
      <c r="R492" s="129"/>
      <c r="S492" s="139" t="s">
        <v>11</v>
      </c>
      <c r="T492" s="115" t="s">
        <v>4</v>
      </c>
      <c r="U492" s="139" t="s">
        <v>12</v>
      </c>
      <c r="V492" s="139" t="s">
        <v>1914</v>
      </c>
      <c r="W492" s="139" t="s">
        <v>1922</v>
      </c>
      <c r="X492" s="139" t="s">
        <v>2833</v>
      </c>
      <c r="Y492" s="112" t="s">
        <v>4</v>
      </c>
      <c r="Z492" s="112" t="s">
        <v>4</v>
      </c>
      <c r="AA492" s="139" t="s">
        <v>2833</v>
      </c>
    </row>
    <row r="493" spans="1:27" ht="17.25" customHeight="1">
      <c r="A493" s="69" t="str">
        <f>IF(priority(Main[[#This Row],[Comments]])&lt;&gt;0, priority(Main[[#This Row],[Comments]]),"")</f>
        <v/>
      </c>
      <c r="B493" s="63" t="s">
        <v>1309</v>
      </c>
      <c r="C493" s="148" t="s">
        <v>390</v>
      </c>
      <c r="D493" s="113" t="s">
        <v>391</v>
      </c>
      <c r="E493" s="129"/>
      <c r="F493" s="129">
        <v>40512</v>
      </c>
      <c r="G493" s="69" t="str">
        <f>IF(stdProdLT(Main[[#This Row],[Comments]])=0.1,"N/A",IF(stdProdLT(Main[[#This Row],[Comments]])=0,"",stdProdLT(Main[[#This Row],[Comments]])))</f>
        <v/>
      </c>
      <c r="H493" s="138" t="str">
        <f>IF(Main[[#This Row],[In Stock Date]]="N/A", "N/A",IF(AND(Main[[#This Row],[In Stock Date]]&lt;&gt;"",Main[[#This Row],[Revised Due Date]]&lt;&gt;"",Main[[#This Row],[In Stock Date]]&lt;&gt;""),Main[[#This Row],[In Stock Date]]-Main[[#This Row],[Revised Due Date]],""))</f>
        <v/>
      </c>
      <c r="I493" s="139" t="s">
        <v>4</v>
      </c>
      <c r="J493" s="139" t="s">
        <v>4</v>
      </c>
      <c r="K493" s="139" t="s">
        <v>4</v>
      </c>
      <c r="L493" s="129"/>
      <c r="M493" s="114" t="str">
        <f>IF(Main[[#This Row],[Tech Start Date]]&lt;1/1/1990,"",IF(Main[[#This Row],[Class]]="C",WORKDAY(Main[[#This Row],[Tech Start Date]],9),IF(Main[[#This Row],[Class]]="B", WORKDAY(Main[[#This Row],[Tech Start Date]],6),IF(Main[[#This Row],[Class]]="A",WORKDAY(Main[[#This Row],[Tech Start Date]],2),""))))</f>
        <v/>
      </c>
      <c r="N493" s="114" t="str">
        <f>IF(Main[[#This Row],[Tech Start Date]]&lt;1/1/1990,"",IF(Main[[#This Row],[Class]]="C",WORKDAY(Main[[#This Row],[Tech Start Date]],19),IF(Main[[#This Row],[Class]]="B", WORKDAY(Main[[#This Row],[Tech Start Date]],12),IF(Main[[#This Row],[Class]]="A",WORKDAY(Main[[#This Row],[Tech Start Date]],4),""))))</f>
        <v/>
      </c>
      <c r="O493" s="114" t="str">
        <f>IF(Main[[#This Row],[Tech Start Date]]&lt;1/1/1990,"",IF(Main[[#This Row],[Class]]="C",WORKDAY(Main[[#This Row],[Tech Start Date]],23),IF(Main[[#This Row],[Class]]="B", WORKDAY(Main[[#This Row],[Tech Start Date]],15),IF(Main[[#This Row],[Class]]="A",WORKDAY(Main[[#This Row],[Tech Start Date]],5),""))))</f>
        <v/>
      </c>
      <c r="P493" s="114" t="str">
        <f>IF(Main[[#This Row],[Tech Start Date]]&lt;1/1/1990,"",IF(Main[[#This Row],[Class]]="C",WORKDAY(Main[[#This Row],[Tech Start Date]],28),IF(Main[[#This Row],[Class]]="B", WORKDAY(Main[[#This Row],[Tech Start Date]],19),IF(Main[[#This Row],[Class]]="A",WORKDAY(Main[[#This Row],[Tech Start Date]],9),""))))</f>
        <v/>
      </c>
      <c r="Q493" s="129">
        <v>40316</v>
      </c>
      <c r="R493" s="129"/>
      <c r="S493" s="139" t="s">
        <v>11</v>
      </c>
      <c r="T493" s="115" t="s">
        <v>4</v>
      </c>
      <c r="U493" s="139" t="s">
        <v>14</v>
      </c>
      <c r="V493" s="139" t="s">
        <v>1914</v>
      </c>
      <c r="W493" s="139" t="s">
        <v>1920</v>
      </c>
      <c r="X493" s="139" t="s">
        <v>2852</v>
      </c>
      <c r="Y493" s="112" t="s">
        <v>4</v>
      </c>
      <c r="Z493" s="112" t="s">
        <v>4</v>
      </c>
      <c r="AA493" s="139" t="s">
        <v>2852</v>
      </c>
    </row>
    <row r="494" spans="1:27" ht="17.25" customHeight="1">
      <c r="A494" s="69" t="str">
        <f>IF(priority(Main[[#This Row],[Comments]])&lt;&gt;0, priority(Main[[#This Row],[Comments]]),"")</f>
        <v/>
      </c>
      <c r="B494" s="63" t="s">
        <v>1310</v>
      </c>
      <c r="C494" s="148" t="s">
        <v>213</v>
      </c>
      <c r="D494" s="113" t="s">
        <v>392</v>
      </c>
      <c r="E494" s="129"/>
      <c r="F494" s="129">
        <v>40390</v>
      </c>
      <c r="G494" s="69" t="str">
        <f>IF(stdProdLT(Main[[#This Row],[Comments]])=0.1,"N/A",IF(stdProdLT(Main[[#This Row],[Comments]])=0,"",stdProdLT(Main[[#This Row],[Comments]])))</f>
        <v/>
      </c>
      <c r="H494" s="138" t="str">
        <f>IF(Main[[#This Row],[In Stock Date]]="N/A", "N/A",IF(AND(Main[[#This Row],[In Stock Date]]&lt;&gt;"",Main[[#This Row],[Revised Due Date]]&lt;&gt;"",Main[[#This Row],[In Stock Date]]&lt;&gt;""),Main[[#This Row],[In Stock Date]]-Main[[#This Row],[Revised Due Date]],""))</f>
        <v/>
      </c>
      <c r="I494" s="139" t="s">
        <v>4</v>
      </c>
      <c r="J494" s="139" t="s">
        <v>4</v>
      </c>
      <c r="K494" s="139" t="s">
        <v>4</v>
      </c>
      <c r="L494" s="129"/>
      <c r="M494" s="114" t="str">
        <f>IF(Main[[#This Row],[Tech Start Date]]&lt;1/1/1990,"",IF(Main[[#This Row],[Class]]="C",WORKDAY(Main[[#This Row],[Tech Start Date]],9),IF(Main[[#This Row],[Class]]="B", WORKDAY(Main[[#This Row],[Tech Start Date]],6),IF(Main[[#This Row],[Class]]="A",WORKDAY(Main[[#This Row],[Tech Start Date]],2),""))))</f>
        <v/>
      </c>
      <c r="N494" s="114" t="str">
        <f>IF(Main[[#This Row],[Tech Start Date]]&lt;1/1/1990,"",IF(Main[[#This Row],[Class]]="C",WORKDAY(Main[[#This Row],[Tech Start Date]],19),IF(Main[[#This Row],[Class]]="B", WORKDAY(Main[[#This Row],[Tech Start Date]],12),IF(Main[[#This Row],[Class]]="A",WORKDAY(Main[[#This Row],[Tech Start Date]],4),""))))</f>
        <v/>
      </c>
      <c r="O494" s="114" t="str">
        <f>IF(Main[[#This Row],[Tech Start Date]]&lt;1/1/1990,"",IF(Main[[#This Row],[Class]]="C",WORKDAY(Main[[#This Row],[Tech Start Date]],23),IF(Main[[#This Row],[Class]]="B", WORKDAY(Main[[#This Row],[Tech Start Date]],15),IF(Main[[#This Row],[Class]]="A",WORKDAY(Main[[#This Row],[Tech Start Date]],5),""))))</f>
        <v/>
      </c>
      <c r="P494" s="114" t="str">
        <f>IF(Main[[#This Row],[Tech Start Date]]&lt;1/1/1990,"",IF(Main[[#This Row],[Class]]="C",WORKDAY(Main[[#This Row],[Tech Start Date]],28),IF(Main[[#This Row],[Class]]="B", WORKDAY(Main[[#This Row],[Tech Start Date]],19),IF(Main[[#This Row],[Class]]="A",WORKDAY(Main[[#This Row],[Tech Start Date]],9),""))))</f>
        <v/>
      </c>
      <c r="Q494" s="129">
        <v>40278</v>
      </c>
      <c r="R494" s="129"/>
      <c r="S494" s="139" t="s">
        <v>11</v>
      </c>
      <c r="T494" s="115" t="s">
        <v>4</v>
      </c>
      <c r="U494" s="139" t="s">
        <v>14</v>
      </c>
      <c r="V494" s="139" t="s">
        <v>1917</v>
      </c>
      <c r="W494" s="139" t="s">
        <v>1919</v>
      </c>
      <c r="X494" s="139" t="s">
        <v>553</v>
      </c>
      <c r="Y494" s="112" t="s">
        <v>4</v>
      </c>
      <c r="Z494" s="112" t="s">
        <v>4</v>
      </c>
      <c r="AA494" s="139" t="s">
        <v>553</v>
      </c>
    </row>
    <row r="495" spans="1:27" ht="17.25" customHeight="1">
      <c r="A495" s="69" t="str">
        <f>IF(priority(Main[[#This Row],[Comments]])&lt;&gt;0, priority(Main[[#This Row],[Comments]]),"")</f>
        <v/>
      </c>
      <c r="B495" s="63" t="s">
        <v>1311</v>
      </c>
      <c r="C495" s="148" t="s">
        <v>275</v>
      </c>
      <c r="D495" s="113" t="s">
        <v>393</v>
      </c>
      <c r="E495" s="129"/>
      <c r="F495" s="129">
        <v>40186</v>
      </c>
      <c r="G495" s="69" t="str">
        <f>IF(stdProdLT(Main[[#This Row],[Comments]])=0.1,"N/A",IF(stdProdLT(Main[[#This Row],[Comments]])=0,"",stdProdLT(Main[[#This Row],[Comments]])))</f>
        <v/>
      </c>
      <c r="H495" s="138" t="str">
        <f>IF(Main[[#This Row],[In Stock Date]]="N/A", "N/A",IF(AND(Main[[#This Row],[In Stock Date]]&lt;&gt;"",Main[[#This Row],[Revised Due Date]]&lt;&gt;"",Main[[#This Row],[In Stock Date]]&lt;&gt;""),Main[[#This Row],[In Stock Date]]-Main[[#This Row],[Revised Due Date]],""))</f>
        <v/>
      </c>
      <c r="I495" s="139" t="s">
        <v>4</v>
      </c>
      <c r="J495" s="139" t="s">
        <v>4</v>
      </c>
      <c r="K495" s="139" t="s">
        <v>4</v>
      </c>
      <c r="L495" s="129"/>
      <c r="M495" s="114" t="str">
        <f>IF(Main[[#This Row],[Tech Start Date]]&lt;1/1/1990,"",IF(Main[[#This Row],[Class]]="C",WORKDAY(Main[[#This Row],[Tech Start Date]],9),IF(Main[[#This Row],[Class]]="B", WORKDAY(Main[[#This Row],[Tech Start Date]],6),IF(Main[[#This Row],[Class]]="A",WORKDAY(Main[[#This Row],[Tech Start Date]],2),""))))</f>
        <v/>
      </c>
      <c r="N495" s="114" t="str">
        <f>IF(Main[[#This Row],[Tech Start Date]]&lt;1/1/1990,"",IF(Main[[#This Row],[Class]]="C",WORKDAY(Main[[#This Row],[Tech Start Date]],19),IF(Main[[#This Row],[Class]]="B", WORKDAY(Main[[#This Row],[Tech Start Date]],12),IF(Main[[#This Row],[Class]]="A",WORKDAY(Main[[#This Row],[Tech Start Date]],4),""))))</f>
        <v/>
      </c>
      <c r="O495" s="114" t="str">
        <f>IF(Main[[#This Row],[Tech Start Date]]&lt;1/1/1990,"",IF(Main[[#This Row],[Class]]="C",WORKDAY(Main[[#This Row],[Tech Start Date]],23),IF(Main[[#This Row],[Class]]="B", WORKDAY(Main[[#This Row],[Tech Start Date]],15),IF(Main[[#This Row],[Class]]="A",WORKDAY(Main[[#This Row],[Tech Start Date]],5),""))))</f>
        <v/>
      </c>
      <c r="P495" s="114" t="str">
        <f>IF(Main[[#This Row],[Tech Start Date]]&lt;1/1/1990,"",IF(Main[[#This Row],[Class]]="C",WORKDAY(Main[[#This Row],[Tech Start Date]],28),IF(Main[[#This Row],[Class]]="B", WORKDAY(Main[[#This Row],[Tech Start Date]],19),IF(Main[[#This Row],[Class]]="A",WORKDAY(Main[[#This Row],[Tech Start Date]],9),""))))</f>
        <v/>
      </c>
      <c r="Q495" s="129">
        <v>40186</v>
      </c>
      <c r="R495" s="129"/>
      <c r="S495" s="139" t="s">
        <v>11</v>
      </c>
      <c r="T495" s="115" t="s">
        <v>4</v>
      </c>
      <c r="U495" s="139" t="s">
        <v>14</v>
      </c>
      <c r="V495" s="139" t="s">
        <v>1917</v>
      </c>
      <c r="W495" s="139" t="s">
        <v>1922</v>
      </c>
      <c r="X495" s="139" t="s">
        <v>2842</v>
      </c>
      <c r="Y495" s="112" t="s">
        <v>4</v>
      </c>
      <c r="Z495" s="112" t="s">
        <v>4</v>
      </c>
      <c r="AA495" s="139" t="s">
        <v>2842</v>
      </c>
    </row>
    <row r="496" spans="1:27" ht="17.25" customHeight="1">
      <c r="A496" s="69" t="str">
        <f>IF(priority(Main[[#This Row],[Comments]])&lt;&gt;0, priority(Main[[#This Row],[Comments]]),"")</f>
        <v/>
      </c>
      <c r="B496" s="63" t="s">
        <v>1312</v>
      </c>
      <c r="C496" s="148" t="s">
        <v>394</v>
      </c>
      <c r="D496" s="113" t="s">
        <v>395</v>
      </c>
      <c r="E496" s="129"/>
      <c r="F496" s="129"/>
      <c r="G496" s="69" t="str">
        <f>IF(stdProdLT(Main[[#This Row],[Comments]])=0.1,"N/A",IF(stdProdLT(Main[[#This Row],[Comments]])=0,"",stdProdLT(Main[[#This Row],[Comments]])))</f>
        <v/>
      </c>
      <c r="H496" s="138" t="str">
        <f>IF(Main[[#This Row],[In Stock Date]]="N/A", "N/A",IF(AND(Main[[#This Row],[In Stock Date]]&lt;&gt;"",Main[[#This Row],[Revised Due Date]]&lt;&gt;"",Main[[#This Row],[In Stock Date]]&lt;&gt;""),Main[[#This Row],[In Stock Date]]-Main[[#This Row],[Revised Due Date]],""))</f>
        <v/>
      </c>
      <c r="I496" s="139" t="s">
        <v>4</v>
      </c>
      <c r="J496" s="139" t="s">
        <v>4</v>
      </c>
      <c r="K496" s="139" t="s">
        <v>4</v>
      </c>
      <c r="L496" s="129"/>
      <c r="M496" s="114" t="str">
        <f>IF(Main[[#This Row],[Tech Start Date]]&lt;1/1/1990,"",IF(Main[[#This Row],[Class]]="C",WORKDAY(Main[[#This Row],[Tech Start Date]],9),IF(Main[[#This Row],[Class]]="B", WORKDAY(Main[[#This Row],[Tech Start Date]],6),IF(Main[[#This Row],[Class]]="A",WORKDAY(Main[[#This Row],[Tech Start Date]],2),""))))</f>
        <v/>
      </c>
      <c r="N496" s="114" t="str">
        <f>IF(Main[[#This Row],[Tech Start Date]]&lt;1/1/1990,"",IF(Main[[#This Row],[Class]]="C",WORKDAY(Main[[#This Row],[Tech Start Date]],19),IF(Main[[#This Row],[Class]]="B", WORKDAY(Main[[#This Row],[Tech Start Date]],12),IF(Main[[#This Row],[Class]]="A",WORKDAY(Main[[#This Row],[Tech Start Date]],4),""))))</f>
        <v/>
      </c>
      <c r="O496" s="114" t="str">
        <f>IF(Main[[#This Row],[Tech Start Date]]&lt;1/1/1990,"",IF(Main[[#This Row],[Class]]="C",WORKDAY(Main[[#This Row],[Tech Start Date]],23),IF(Main[[#This Row],[Class]]="B", WORKDAY(Main[[#This Row],[Tech Start Date]],15),IF(Main[[#This Row],[Class]]="A",WORKDAY(Main[[#This Row],[Tech Start Date]],5),""))))</f>
        <v/>
      </c>
      <c r="P496" s="114" t="str">
        <f>IF(Main[[#This Row],[Tech Start Date]]&lt;1/1/1990,"",IF(Main[[#This Row],[Class]]="C",WORKDAY(Main[[#This Row],[Tech Start Date]],28),IF(Main[[#This Row],[Class]]="B", WORKDAY(Main[[#This Row],[Tech Start Date]],19),IF(Main[[#This Row],[Class]]="A",WORKDAY(Main[[#This Row],[Tech Start Date]],9),""))))</f>
        <v/>
      </c>
      <c r="Q496" s="129"/>
      <c r="R496" s="129"/>
      <c r="S496" s="139" t="s">
        <v>11</v>
      </c>
      <c r="T496" s="115" t="s">
        <v>4</v>
      </c>
      <c r="U496" s="139" t="s">
        <v>14</v>
      </c>
      <c r="V496" s="139" t="s">
        <v>1915</v>
      </c>
      <c r="W496" s="139" t="s">
        <v>1922</v>
      </c>
      <c r="X496" s="139" t="s">
        <v>2853</v>
      </c>
      <c r="Y496" s="112" t="s">
        <v>2991</v>
      </c>
      <c r="Z496" s="112" t="s">
        <v>4</v>
      </c>
      <c r="AA496" s="139" t="s">
        <v>2853</v>
      </c>
    </row>
    <row r="497" spans="1:27" ht="17.25" customHeight="1">
      <c r="A497" s="69" t="str">
        <f>IF(priority(Main[[#This Row],[Comments]])&lt;&gt;0, priority(Main[[#This Row],[Comments]]),"")</f>
        <v/>
      </c>
      <c r="B497" s="63" t="s">
        <v>1314</v>
      </c>
      <c r="C497" s="148" t="s">
        <v>4</v>
      </c>
      <c r="D497" s="113" t="s">
        <v>396</v>
      </c>
      <c r="E497" s="129">
        <v>40319.627523148149</v>
      </c>
      <c r="F497" s="129"/>
      <c r="G497" s="69" t="str">
        <f>IF(stdProdLT(Main[[#This Row],[Comments]])=0.1,"N/A",IF(stdProdLT(Main[[#This Row],[Comments]])=0,"",stdProdLT(Main[[#This Row],[Comments]])))</f>
        <v/>
      </c>
      <c r="H497" s="138" t="str">
        <f>IF(Main[[#This Row],[In Stock Date]]="N/A", "N/A",IF(AND(Main[[#This Row],[In Stock Date]]&lt;&gt;"",Main[[#This Row],[Revised Due Date]]&lt;&gt;"",Main[[#This Row],[In Stock Date]]&lt;&gt;""),Main[[#This Row],[In Stock Date]]-Main[[#This Row],[Revised Due Date]],""))</f>
        <v/>
      </c>
      <c r="I497" s="139" t="s">
        <v>129</v>
      </c>
      <c r="J497" s="139" t="s">
        <v>4</v>
      </c>
      <c r="K497" s="139" t="s">
        <v>4</v>
      </c>
      <c r="L497" s="129"/>
      <c r="M497" s="114" t="str">
        <f>IF(Main[[#This Row],[Tech Start Date]]&lt;1/1/1990,"",IF(Main[[#This Row],[Class]]="C",WORKDAY(Main[[#This Row],[Tech Start Date]],9),IF(Main[[#This Row],[Class]]="B", WORKDAY(Main[[#This Row],[Tech Start Date]],6),IF(Main[[#This Row],[Class]]="A",WORKDAY(Main[[#This Row],[Tech Start Date]],2),""))))</f>
        <v/>
      </c>
      <c r="N497" s="114" t="str">
        <f>IF(Main[[#This Row],[Tech Start Date]]&lt;1/1/1990,"",IF(Main[[#This Row],[Class]]="C",WORKDAY(Main[[#This Row],[Tech Start Date]],19),IF(Main[[#This Row],[Class]]="B", WORKDAY(Main[[#This Row],[Tech Start Date]],12),IF(Main[[#This Row],[Class]]="A",WORKDAY(Main[[#This Row],[Tech Start Date]],4),""))))</f>
        <v/>
      </c>
      <c r="O497" s="114" t="str">
        <f>IF(Main[[#This Row],[Tech Start Date]]&lt;1/1/1990,"",IF(Main[[#This Row],[Class]]="C",WORKDAY(Main[[#This Row],[Tech Start Date]],23),IF(Main[[#This Row],[Class]]="B", WORKDAY(Main[[#This Row],[Tech Start Date]],15),IF(Main[[#This Row],[Class]]="A",WORKDAY(Main[[#This Row],[Tech Start Date]],5),""))))</f>
        <v/>
      </c>
      <c r="P497" s="114" t="str">
        <f>IF(Main[[#This Row],[Tech Start Date]]&lt;1/1/1990,"",IF(Main[[#This Row],[Class]]="C",WORKDAY(Main[[#This Row],[Tech Start Date]],28),IF(Main[[#This Row],[Class]]="B", WORKDAY(Main[[#This Row],[Tech Start Date]],19),IF(Main[[#This Row],[Class]]="A",WORKDAY(Main[[#This Row],[Tech Start Date]],9),""))))</f>
        <v/>
      </c>
      <c r="Q497" s="129">
        <v>40337</v>
      </c>
      <c r="R497" s="129"/>
      <c r="S497" s="139" t="s">
        <v>6</v>
      </c>
      <c r="T497" s="115" t="s">
        <v>4</v>
      </c>
      <c r="U497" s="139" t="s">
        <v>7</v>
      </c>
      <c r="V497" s="139" t="s">
        <v>1914</v>
      </c>
      <c r="W497" s="139" t="s">
        <v>1918</v>
      </c>
      <c r="X497" s="139" t="s">
        <v>2821</v>
      </c>
      <c r="Y497" s="112" t="s">
        <v>2936</v>
      </c>
      <c r="Z497" s="112" t="s">
        <v>4</v>
      </c>
      <c r="AA497" s="139" t="s">
        <v>2821</v>
      </c>
    </row>
    <row r="498" spans="1:27" ht="17.25" customHeight="1">
      <c r="A498" s="69" t="str">
        <f>IF(priority(Main[[#This Row],[Comments]])&lt;&gt;0, priority(Main[[#This Row],[Comments]]),"")</f>
        <v/>
      </c>
      <c r="B498" s="63" t="s">
        <v>1315</v>
      </c>
      <c r="C498" s="148" t="s">
        <v>93</v>
      </c>
      <c r="D498" s="113" t="s">
        <v>397</v>
      </c>
      <c r="E498" s="129"/>
      <c r="F498" s="129">
        <v>40132</v>
      </c>
      <c r="G498" s="69" t="str">
        <f>IF(stdProdLT(Main[[#This Row],[Comments]])=0.1,"N/A",IF(stdProdLT(Main[[#This Row],[Comments]])=0,"",stdProdLT(Main[[#This Row],[Comments]])))</f>
        <v/>
      </c>
      <c r="H498" s="138" t="str">
        <f>IF(Main[[#This Row],[In Stock Date]]="N/A", "N/A",IF(AND(Main[[#This Row],[In Stock Date]]&lt;&gt;"",Main[[#This Row],[Revised Due Date]]&lt;&gt;"",Main[[#This Row],[In Stock Date]]&lt;&gt;""),Main[[#This Row],[In Stock Date]]-Main[[#This Row],[Revised Due Date]],""))</f>
        <v/>
      </c>
      <c r="I498" s="139" t="s">
        <v>4</v>
      </c>
      <c r="J498" s="139" t="s">
        <v>4</v>
      </c>
      <c r="K498" s="140" t="s">
        <v>4</v>
      </c>
      <c r="L498" s="129"/>
      <c r="M498" s="114" t="str">
        <f>IF(Main[[#This Row],[Tech Start Date]]&lt;1/1/1990,"",IF(Main[[#This Row],[Class]]="C",WORKDAY(Main[[#This Row],[Tech Start Date]],9),IF(Main[[#This Row],[Class]]="B", WORKDAY(Main[[#This Row],[Tech Start Date]],6),IF(Main[[#This Row],[Class]]="A",WORKDAY(Main[[#This Row],[Tech Start Date]],2),""))))</f>
        <v/>
      </c>
      <c r="N498" s="114" t="str">
        <f>IF(Main[[#This Row],[Tech Start Date]]&lt;1/1/1990,"",IF(Main[[#This Row],[Class]]="C",WORKDAY(Main[[#This Row],[Tech Start Date]],19),IF(Main[[#This Row],[Class]]="B", WORKDAY(Main[[#This Row],[Tech Start Date]],12),IF(Main[[#This Row],[Class]]="A",WORKDAY(Main[[#This Row],[Tech Start Date]],4),""))))</f>
        <v/>
      </c>
      <c r="O498" s="114" t="str">
        <f>IF(Main[[#This Row],[Tech Start Date]]&lt;1/1/1990,"",IF(Main[[#This Row],[Class]]="C",WORKDAY(Main[[#This Row],[Tech Start Date]],23),IF(Main[[#This Row],[Class]]="B", WORKDAY(Main[[#This Row],[Tech Start Date]],15),IF(Main[[#This Row],[Class]]="A",WORKDAY(Main[[#This Row],[Tech Start Date]],5),""))))</f>
        <v/>
      </c>
      <c r="P498" s="114" t="str">
        <f>IF(Main[[#This Row],[Tech Start Date]]&lt;1/1/1990,"",IF(Main[[#This Row],[Class]]="C",WORKDAY(Main[[#This Row],[Tech Start Date]],28),IF(Main[[#This Row],[Class]]="B", WORKDAY(Main[[#This Row],[Tech Start Date]],19),IF(Main[[#This Row],[Class]]="A",WORKDAY(Main[[#This Row],[Tech Start Date]],9),""))))</f>
        <v/>
      </c>
      <c r="Q498" s="129">
        <v>40132</v>
      </c>
      <c r="R498" s="129"/>
      <c r="S498" s="139" t="s">
        <v>11</v>
      </c>
      <c r="T498" s="115" t="s">
        <v>4</v>
      </c>
      <c r="U498" s="139" t="s">
        <v>14</v>
      </c>
      <c r="V498" s="139" t="s">
        <v>1924</v>
      </c>
      <c r="W498" s="139" t="s">
        <v>1925</v>
      </c>
      <c r="X498" s="139" t="s">
        <v>2856</v>
      </c>
      <c r="Y498" s="112" t="s">
        <v>4</v>
      </c>
      <c r="Z498" s="112" t="s">
        <v>4</v>
      </c>
      <c r="AA498" s="139" t="s">
        <v>2856</v>
      </c>
    </row>
    <row r="499" spans="1:27" ht="17.25" customHeight="1">
      <c r="A499" s="69" t="str">
        <f>IF(priority(Main[[#This Row],[Comments]])&lt;&gt;0, priority(Main[[#This Row],[Comments]]),"")</f>
        <v/>
      </c>
      <c r="B499" s="63" t="s">
        <v>1316</v>
      </c>
      <c r="C499" s="148" t="s">
        <v>4</v>
      </c>
      <c r="D499" s="113" t="s">
        <v>398</v>
      </c>
      <c r="E499" s="129"/>
      <c r="F499" s="129">
        <v>40385</v>
      </c>
      <c r="G499" s="69" t="str">
        <f>IF(stdProdLT(Main[[#This Row],[Comments]])=0.1,"N/A",IF(stdProdLT(Main[[#This Row],[Comments]])=0,"",stdProdLT(Main[[#This Row],[Comments]])))</f>
        <v/>
      </c>
      <c r="H499" s="138" t="str">
        <f>IF(Main[[#This Row],[In Stock Date]]="N/A", "N/A",IF(AND(Main[[#This Row],[In Stock Date]]&lt;&gt;"",Main[[#This Row],[Revised Due Date]]&lt;&gt;"",Main[[#This Row],[In Stock Date]]&lt;&gt;""),Main[[#This Row],[In Stock Date]]-Main[[#This Row],[Revised Due Date]],""))</f>
        <v/>
      </c>
      <c r="I499" s="139" t="s">
        <v>399</v>
      </c>
      <c r="J499" s="139" t="s">
        <v>4</v>
      </c>
      <c r="K499" s="139" t="s">
        <v>4</v>
      </c>
      <c r="L499" s="129"/>
      <c r="M499" s="114" t="str">
        <f>IF(Main[[#This Row],[Tech Start Date]]&lt;1/1/1990,"",IF(Main[[#This Row],[Class]]="C",WORKDAY(Main[[#This Row],[Tech Start Date]],9),IF(Main[[#This Row],[Class]]="B", WORKDAY(Main[[#This Row],[Tech Start Date]],6),IF(Main[[#This Row],[Class]]="A",WORKDAY(Main[[#This Row],[Tech Start Date]],2),""))))</f>
        <v/>
      </c>
      <c r="N499" s="114" t="str">
        <f>IF(Main[[#This Row],[Tech Start Date]]&lt;1/1/1990,"",IF(Main[[#This Row],[Class]]="C",WORKDAY(Main[[#This Row],[Tech Start Date]],19),IF(Main[[#This Row],[Class]]="B", WORKDAY(Main[[#This Row],[Tech Start Date]],12),IF(Main[[#This Row],[Class]]="A",WORKDAY(Main[[#This Row],[Tech Start Date]],4),""))))</f>
        <v/>
      </c>
      <c r="O499" s="114" t="str">
        <f>IF(Main[[#This Row],[Tech Start Date]]&lt;1/1/1990,"",IF(Main[[#This Row],[Class]]="C",WORKDAY(Main[[#This Row],[Tech Start Date]],23),IF(Main[[#This Row],[Class]]="B", WORKDAY(Main[[#This Row],[Tech Start Date]],15),IF(Main[[#This Row],[Class]]="A",WORKDAY(Main[[#This Row],[Tech Start Date]],5),""))))</f>
        <v/>
      </c>
      <c r="P499" s="114" t="str">
        <f>IF(Main[[#This Row],[Tech Start Date]]&lt;1/1/1990,"",IF(Main[[#This Row],[Class]]="C",WORKDAY(Main[[#This Row],[Tech Start Date]],28),IF(Main[[#This Row],[Class]]="B", WORKDAY(Main[[#This Row],[Tech Start Date]],19),IF(Main[[#This Row],[Class]]="A",WORKDAY(Main[[#This Row],[Tech Start Date]],9),""))))</f>
        <v/>
      </c>
      <c r="Q499" s="129">
        <v>40359</v>
      </c>
      <c r="R499" s="129"/>
      <c r="S499" s="139" t="s">
        <v>11</v>
      </c>
      <c r="T499" s="115" t="s">
        <v>4</v>
      </c>
      <c r="U499" s="139" t="s">
        <v>14</v>
      </c>
      <c r="V499" s="139" t="s">
        <v>1917</v>
      </c>
      <c r="W499" s="139" t="s">
        <v>1920</v>
      </c>
      <c r="X499" s="139" t="s">
        <v>2881</v>
      </c>
      <c r="Y499" s="112" t="s">
        <v>3030</v>
      </c>
      <c r="Z499" s="112" t="s">
        <v>306</v>
      </c>
      <c r="AA499" s="139" t="s">
        <v>2881</v>
      </c>
    </row>
    <row r="500" spans="1:27" ht="17.25" customHeight="1">
      <c r="A500" s="69" t="str">
        <f>IF(priority(Main[[#This Row],[Comments]])&lt;&gt;0, priority(Main[[#This Row],[Comments]]),"")</f>
        <v/>
      </c>
      <c r="B500" s="63" t="s">
        <v>1317</v>
      </c>
      <c r="C500" s="148" t="s">
        <v>31</v>
      </c>
      <c r="D500" s="113" t="s">
        <v>400</v>
      </c>
      <c r="E500" s="129"/>
      <c r="F500" s="129">
        <v>40203</v>
      </c>
      <c r="G500" s="69" t="str">
        <f>IF(stdProdLT(Main[[#This Row],[Comments]])=0.1,"N/A",IF(stdProdLT(Main[[#This Row],[Comments]])=0,"",stdProdLT(Main[[#This Row],[Comments]])))</f>
        <v/>
      </c>
      <c r="H500" s="138" t="str">
        <f>IF(Main[[#This Row],[In Stock Date]]="N/A", "N/A",IF(AND(Main[[#This Row],[In Stock Date]]&lt;&gt;"",Main[[#This Row],[Revised Due Date]]&lt;&gt;"",Main[[#This Row],[In Stock Date]]&lt;&gt;""),Main[[#This Row],[In Stock Date]]-Main[[#This Row],[Revised Due Date]],""))</f>
        <v/>
      </c>
      <c r="I500" s="139" t="s">
        <v>4</v>
      </c>
      <c r="J500" s="139" t="s">
        <v>4</v>
      </c>
      <c r="K500" s="140" t="s">
        <v>4</v>
      </c>
      <c r="L500" s="129"/>
      <c r="M500" s="114" t="str">
        <f>IF(Main[[#This Row],[Tech Start Date]]&lt;1/1/1990,"",IF(Main[[#This Row],[Class]]="C",WORKDAY(Main[[#This Row],[Tech Start Date]],9),IF(Main[[#This Row],[Class]]="B", WORKDAY(Main[[#This Row],[Tech Start Date]],6),IF(Main[[#This Row],[Class]]="A",WORKDAY(Main[[#This Row],[Tech Start Date]],2),""))))</f>
        <v/>
      </c>
      <c r="N500" s="114" t="str">
        <f>IF(Main[[#This Row],[Tech Start Date]]&lt;1/1/1990,"",IF(Main[[#This Row],[Class]]="C",WORKDAY(Main[[#This Row],[Tech Start Date]],19),IF(Main[[#This Row],[Class]]="B", WORKDAY(Main[[#This Row],[Tech Start Date]],12),IF(Main[[#This Row],[Class]]="A",WORKDAY(Main[[#This Row],[Tech Start Date]],4),""))))</f>
        <v/>
      </c>
      <c r="O500" s="114" t="str">
        <f>IF(Main[[#This Row],[Tech Start Date]]&lt;1/1/1990,"",IF(Main[[#This Row],[Class]]="C",WORKDAY(Main[[#This Row],[Tech Start Date]],23),IF(Main[[#This Row],[Class]]="B", WORKDAY(Main[[#This Row],[Tech Start Date]],15),IF(Main[[#This Row],[Class]]="A",WORKDAY(Main[[#This Row],[Tech Start Date]],5),""))))</f>
        <v/>
      </c>
      <c r="P500" s="114" t="str">
        <f>IF(Main[[#This Row],[Tech Start Date]]&lt;1/1/1990,"",IF(Main[[#This Row],[Class]]="C",WORKDAY(Main[[#This Row],[Tech Start Date]],28),IF(Main[[#This Row],[Class]]="B", WORKDAY(Main[[#This Row],[Tech Start Date]],19),IF(Main[[#This Row],[Class]]="A",WORKDAY(Main[[#This Row],[Tech Start Date]],9),""))))</f>
        <v/>
      </c>
      <c r="Q500" s="129">
        <v>40063</v>
      </c>
      <c r="R500" s="129"/>
      <c r="S500" s="139" t="s">
        <v>11</v>
      </c>
      <c r="T500" s="115" t="s">
        <v>4</v>
      </c>
      <c r="U500" s="139" t="s">
        <v>14</v>
      </c>
      <c r="V500" s="139" t="s">
        <v>1924</v>
      </c>
      <c r="W500" s="139" t="s">
        <v>1920</v>
      </c>
      <c r="X500" s="139" t="s">
        <v>2871</v>
      </c>
      <c r="Y500" s="112" t="s">
        <v>4</v>
      </c>
      <c r="Z500" s="112" t="s">
        <v>4</v>
      </c>
      <c r="AA500" s="139" t="s">
        <v>2871</v>
      </c>
    </row>
    <row r="501" spans="1:27" ht="17.25" customHeight="1">
      <c r="A501" s="69" t="str">
        <f>IF(priority(Main[[#This Row],[Comments]])&lt;&gt;0, priority(Main[[#This Row],[Comments]]),"")</f>
        <v/>
      </c>
      <c r="B501" s="63" t="s">
        <v>1654</v>
      </c>
      <c r="C501" s="148" t="s">
        <v>4</v>
      </c>
      <c r="D501" s="113" t="s">
        <v>720</v>
      </c>
      <c r="E501" s="129"/>
      <c r="F501" s="129"/>
      <c r="G501" s="69" t="str">
        <f>IF(stdProdLT(Main[[#This Row],[Comments]])=0.1,"N/A",IF(stdProdLT(Main[[#This Row],[Comments]])=0,"",stdProdLT(Main[[#This Row],[Comments]])))</f>
        <v/>
      </c>
      <c r="H501" s="138" t="str">
        <f>IF(Main[[#This Row],[In Stock Date]]="N/A", "N/A",IF(AND(Main[[#This Row],[In Stock Date]]&lt;&gt;"",Main[[#This Row],[Revised Due Date]]&lt;&gt;"",Main[[#This Row],[In Stock Date]]&lt;&gt;""),Main[[#This Row],[In Stock Date]]-Main[[#This Row],[Revised Due Date]],""))</f>
        <v/>
      </c>
      <c r="I501" s="139" t="s">
        <v>4</v>
      </c>
      <c r="J501" s="139" t="s">
        <v>4</v>
      </c>
      <c r="K501" s="140" t="s">
        <v>4</v>
      </c>
      <c r="L501" s="129"/>
      <c r="M501" s="114" t="str">
        <f>IF(Main[[#This Row],[Tech Start Date]]&lt;1/1/1990,"",IF(Main[[#This Row],[Class]]="C",WORKDAY(Main[[#This Row],[Tech Start Date]],9),IF(Main[[#This Row],[Class]]="B", WORKDAY(Main[[#This Row],[Tech Start Date]],6),IF(Main[[#This Row],[Class]]="A",WORKDAY(Main[[#This Row],[Tech Start Date]],2),""))))</f>
        <v/>
      </c>
      <c r="N501" s="114" t="str">
        <f>IF(Main[[#This Row],[Tech Start Date]]&lt;1/1/1990,"",IF(Main[[#This Row],[Class]]="C",WORKDAY(Main[[#This Row],[Tech Start Date]],19),IF(Main[[#This Row],[Class]]="B", WORKDAY(Main[[#This Row],[Tech Start Date]],12),IF(Main[[#This Row],[Class]]="A",WORKDAY(Main[[#This Row],[Tech Start Date]],4),""))))</f>
        <v/>
      </c>
      <c r="O501" s="114" t="str">
        <f>IF(Main[[#This Row],[Tech Start Date]]&lt;1/1/1990,"",IF(Main[[#This Row],[Class]]="C",WORKDAY(Main[[#This Row],[Tech Start Date]],23),IF(Main[[#This Row],[Class]]="B", WORKDAY(Main[[#This Row],[Tech Start Date]],15),IF(Main[[#This Row],[Class]]="A",WORKDAY(Main[[#This Row],[Tech Start Date]],5),""))))</f>
        <v/>
      </c>
      <c r="P501" s="114" t="str">
        <f>IF(Main[[#This Row],[Tech Start Date]]&lt;1/1/1990,"",IF(Main[[#This Row],[Class]]="C",WORKDAY(Main[[#This Row],[Tech Start Date]],28),IF(Main[[#This Row],[Class]]="B", WORKDAY(Main[[#This Row],[Tech Start Date]],19),IF(Main[[#This Row],[Class]]="A",WORKDAY(Main[[#This Row],[Tech Start Date]],9),""))))</f>
        <v/>
      </c>
      <c r="Q501" s="129">
        <v>40676</v>
      </c>
      <c r="R501" s="129"/>
      <c r="S501" s="139" t="s">
        <v>6</v>
      </c>
      <c r="T501" s="115" t="s">
        <v>4</v>
      </c>
      <c r="U501" s="139" t="s">
        <v>14</v>
      </c>
      <c r="V501" s="139" t="s">
        <v>1914</v>
      </c>
      <c r="W501" s="139" t="s">
        <v>1918</v>
      </c>
      <c r="X501" s="139" t="s">
        <v>2821</v>
      </c>
      <c r="Y501" s="112" t="s">
        <v>2936</v>
      </c>
      <c r="Z501" s="112" t="s">
        <v>4</v>
      </c>
      <c r="AA501" s="139" t="s">
        <v>2821</v>
      </c>
    </row>
    <row r="502" spans="1:27" ht="17.25" customHeight="1">
      <c r="A502" s="69" t="str">
        <f>IF(priority(Main[[#This Row],[Comments]])&lt;&gt;0, priority(Main[[#This Row],[Comments]]),"")</f>
        <v/>
      </c>
      <c r="B502" s="63" t="s">
        <v>1318</v>
      </c>
      <c r="C502" s="148" t="s">
        <v>47</v>
      </c>
      <c r="D502" s="113" t="s">
        <v>146</v>
      </c>
      <c r="E502" s="129"/>
      <c r="F502" s="129"/>
      <c r="G502" s="69" t="str">
        <f>IF(stdProdLT(Main[[#This Row],[Comments]])=0.1,"N/A",IF(stdProdLT(Main[[#This Row],[Comments]])=0,"",stdProdLT(Main[[#This Row],[Comments]])))</f>
        <v/>
      </c>
      <c r="H502" s="138" t="str">
        <f>IF(Main[[#This Row],[In Stock Date]]="N/A", "N/A",IF(AND(Main[[#This Row],[In Stock Date]]&lt;&gt;"",Main[[#This Row],[Revised Due Date]]&lt;&gt;"",Main[[#This Row],[In Stock Date]]&lt;&gt;""),Main[[#This Row],[In Stock Date]]-Main[[#This Row],[Revised Due Date]],""))</f>
        <v/>
      </c>
      <c r="I502" s="139" t="s">
        <v>4</v>
      </c>
      <c r="J502" s="139" t="s">
        <v>4</v>
      </c>
      <c r="K502" s="139" t="s">
        <v>4</v>
      </c>
      <c r="L502" s="129"/>
      <c r="M502" s="114" t="str">
        <f>IF(Main[[#This Row],[Tech Start Date]]&lt;1/1/1990,"",IF(Main[[#This Row],[Class]]="C",WORKDAY(Main[[#This Row],[Tech Start Date]],9),IF(Main[[#This Row],[Class]]="B", WORKDAY(Main[[#This Row],[Tech Start Date]],6),IF(Main[[#This Row],[Class]]="A",WORKDAY(Main[[#This Row],[Tech Start Date]],2),""))))</f>
        <v/>
      </c>
      <c r="N502" s="114" t="str">
        <f>IF(Main[[#This Row],[Tech Start Date]]&lt;1/1/1990,"",IF(Main[[#This Row],[Class]]="C",WORKDAY(Main[[#This Row],[Tech Start Date]],19),IF(Main[[#This Row],[Class]]="B", WORKDAY(Main[[#This Row],[Tech Start Date]],12),IF(Main[[#This Row],[Class]]="A",WORKDAY(Main[[#This Row],[Tech Start Date]],4),""))))</f>
        <v/>
      </c>
      <c r="O502" s="114" t="str">
        <f>IF(Main[[#This Row],[Tech Start Date]]&lt;1/1/1990,"",IF(Main[[#This Row],[Class]]="C",WORKDAY(Main[[#This Row],[Tech Start Date]],23),IF(Main[[#This Row],[Class]]="B", WORKDAY(Main[[#This Row],[Tech Start Date]],15),IF(Main[[#This Row],[Class]]="A",WORKDAY(Main[[#This Row],[Tech Start Date]],5),""))))</f>
        <v/>
      </c>
      <c r="P502" s="114" t="str">
        <f>IF(Main[[#This Row],[Tech Start Date]]&lt;1/1/1990,"",IF(Main[[#This Row],[Class]]="C",WORKDAY(Main[[#This Row],[Tech Start Date]],28),IF(Main[[#This Row],[Class]]="B", WORKDAY(Main[[#This Row],[Tech Start Date]],19),IF(Main[[#This Row],[Class]]="A",WORKDAY(Main[[#This Row],[Tech Start Date]],9),""))))</f>
        <v/>
      </c>
      <c r="Q502" s="129"/>
      <c r="R502" s="129"/>
      <c r="S502" s="139" t="s">
        <v>4</v>
      </c>
      <c r="T502" s="115" t="s">
        <v>4</v>
      </c>
      <c r="U502" s="139" t="s">
        <v>14</v>
      </c>
      <c r="V502" s="139" t="s">
        <v>1915</v>
      </c>
      <c r="W502" s="139" t="s">
        <v>4</v>
      </c>
      <c r="X502" s="139" t="s">
        <v>306</v>
      </c>
      <c r="Y502" s="112" t="s">
        <v>2941</v>
      </c>
      <c r="Z502" s="112" t="s">
        <v>4</v>
      </c>
      <c r="AA502" s="139" t="s">
        <v>3376</v>
      </c>
    </row>
    <row r="503" spans="1:27" ht="17.25" customHeight="1">
      <c r="A503" s="69" t="str">
        <f>IF(priority(Main[[#This Row],[Comments]])&lt;&gt;0, priority(Main[[#This Row],[Comments]]),"")</f>
        <v/>
      </c>
      <c r="B503" s="63" t="s">
        <v>1319</v>
      </c>
      <c r="C503" s="148" t="s">
        <v>401</v>
      </c>
      <c r="D503" s="113" t="s">
        <v>402</v>
      </c>
      <c r="E503" s="129"/>
      <c r="F503" s="129">
        <v>40447</v>
      </c>
      <c r="G503" s="69" t="str">
        <f>IF(stdProdLT(Main[[#This Row],[Comments]])=0.1,"N/A",IF(stdProdLT(Main[[#This Row],[Comments]])=0,"",stdProdLT(Main[[#This Row],[Comments]])))</f>
        <v/>
      </c>
      <c r="H503" s="138" t="str">
        <f>IF(Main[[#This Row],[In Stock Date]]="N/A", "N/A",IF(AND(Main[[#This Row],[In Stock Date]]&lt;&gt;"",Main[[#This Row],[Revised Due Date]]&lt;&gt;"",Main[[#This Row],[In Stock Date]]&lt;&gt;""),Main[[#This Row],[In Stock Date]]-Main[[#This Row],[Revised Due Date]],""))</f>
        <v/>
      </c>
      <c r="I503" s="139" t="s">
        <v>4</v>
      </c>
      <c r="J503" s="139" t="s">
        <v>4</v>
      </c>
      <c r="K503" s="139" t="s">
        <v>4</v>
      </c>
      <c r="L503" s="129"/>
      <c r="M503" s="114" t="str">
        <f>IF(Main[[#This Row],[Tech Start Date]]&lt;1/1/1990,"",IF(Main[[#This Row],[Class]]="C",WORKDAY(Main[[#This Row],[Tech Start Date]],9),IF(Main[[#This Row],[Class]]="B", WORKDAY(Main[[#This Row],[Tech Start Date]],6),IF(Main[[#This Row],[Class]]="A",WORKDAY(Main[[#This Row],[Tech Start Date]],2),""))))</f>
        <v/>
      </c>
      <c r="N503" s="114" t="str">
        <f>IF(Main[[#This Row],[Tech Start Date]]&lt;1/1/1990,"",IF(Main[[#This Row],[Class]]="C",WORKDAY(Main[[#This Row],[Tech Start Date]],19),IF(Main[[#This Row],[Class]]="B", WORKDAY(Main[[#This Row],[Tech Start Date]],12),IF(Main[[#This Row],[Class]]="A",WORKDAY(Main[[#This Row],[Tech Start Date]],4),""))))</f>
        <v/>
      </c>
      <c r="O503" s="114" t="str">
        <f>IF(Main[[#This Row],[Tech Start Date]]&lt;1/1/1990,"",IF(Main[[#This Row],[Class]]="C",WORKDAY(Main[[#This Row],[Tech Start Date]],23),IF(Main[[#This Row],[Class]]="B", WORKDAY(Main[[#This Row],[Tech Start Date]],15),IF(Main[[#This Row],[Class]]="A",WORKDAY(Main[[#This Row],[Tech Start Date]],5),""))))</f>
        <v/>
      </c>
      <c r="P503" s="114" t="str">
        <f>IF(Main[[#This Row],[Tech Start Date]]&lt;1/1/1990,"",IF(Main[[#This Row],[Class]]="C",WORKDAY(Main[[#This Row],[Tech Start Date]],28),IF(Main[[#This Row],[Class]]="B", WORKDAY(Main[[#This Row],[Tech Start Date]],19),IF(Main[[#This Row],[Class]]="A",WORKDAY(Main[[#This Row],[Tech Start Date]],9),""))))</f>
        <v/>
      </c>
      <c r="Q503" s="129">
        <v>40349</v>
      </c>
      <c r="R503" s="129"/>
      <c r="S503" s="139" t="s">
        <v>11</v>
      </c>
      <c r="T503" s="115" t="s">
        <v>4</v>
      </c>
      <c r="U503" s="139" t="s">
        <v>14</v>
      </c>
      <c r="V503" s="139" t="s">
        <v>1924</v>
      </c>
      <c r="W503" s="139" t="s">
        <v>1919</v>
      </c>
      <c r="X503" s="139" t="s">
        <v>2850</v>
      </c>
      <c r="Y503" s="112" t="s">
        <v>4</v>
      </c>
      <c r="Z503" s="112" t="s">
        <v>4</v>
      </c>
      <c r="AA503" s="139" t="s">
        <v>2850</v>
      </c>
    </row>
    <row r="504" spans="1:27" ht="17.25" customHeight="1">
      <c r="A504" s="69" t="str">
        <f>IF(priority(Main[[#This Row],[Comments]])&lt;&gt;0, priority(Main[[#This Row],[Comments]]),"")</f>
        <v/>
      </c>
      <c r="B504" s="63" t="s">
        <v>2086</v>
      </c>
      <c r="C504" s="148" t="s">
        <v>47</v>
      </c>
      <c r="D504" s="113" t="s">
        <v>876</v>
      </c>
      <c r="E504" s="129"/>
      <c r="F504" s="129"/>
      <c r="G504" s="69" t="str">
        <f>IF(stdProdLT(Main[[#This Row],[Comments]])=0.1,"N/A",IF(stdProdLT(Main[[#This Row],[Comments]])=0,"",stdProdLT(Main[[#This Row],[Comments]])))</f>
        <v/>
      </c>
      <c r="H504" s="138" t="str">
        <f>IF(Main[[#This Row],[In Stock Date]]="N/A", "N/A",IF(AND(Main[[#This Row],[In Stock Date]]&lt;&gt;"",Main[[#This Row],[Revised Due Date]]&lt;&gt;"",Main[[#This Row],[In Stock Date]]&lt;&gt;""),Main[[#This Row],[In Stock Date]]-Main[[#This Row],[Revised Due Date]],""))</f>
        <v/>
      </c>
      <c r="I504" s="139" t="s">
        <v>4</v>
      </c>
      <c r="J504" s="139" t="s">
        <v>4</v>
      </c>
      <c r="K504" s="139" t="s">
        <v>4</v>
      </c>
      <c r="L504" s="129"/>
      <c r="M504" s="114" t="str">
        <f>IF(Main[[#This Row],[Tech Start Date]]&lt;1/1/1990,"",IF(Main[[#This Row],[Class]]="C",WORKDAY(Main[[#This Row],[Tech Start Date]],9),IF(Main[[#This Row],[Class]]="B", WORKDAY(Main[[#This Row],[Tech Start Date]],6),IF(Main[[#This Row],[Class]]="A",WORKDAY(Main[[#This Row],[Tech Start Date]],2),""))))</f>
        <v/>
      </c>
      <c r="N504" s="114" t="str">
        <f>IF(Main[[#This Row],[Tech Start Date]]&lt;1/1/1990,"",IF(Main[[#This Row],[Class]]="C",WORKDAY(Main[[#This Row],[Tech Start Date]],19),IF(Main[[#This Row],[Class]]="B", WORKDAY(Main[[#This Row],[Tech Start Date]],12),IF(Main[[#This Row],[Class]]="A",WORKDAY(Main[[#This Row],[Tech Start Date]],4),""))))</f>
        <v/>
      </c>
      <c r="O504" s="114" t="str">
        <f>IF(Main[[#This Row],[Tech Start Date]]&lt;1/1/1990,"",IF(Main[[#This Row],[Class]]="C",WORKDAY(Main[[#This Row],[Tech Start Date]],23),IF(Main[[#This Row],[Class]]="B", WORKDAY(Main[[#This Row],[Tech Start Date]],15),IF(Main[[#This Row],[Class]]="A",WORKDAY(Main[[#This Row],[Tech Start Date]],5),""))))</f>
        <v/>
      </c>
      <c r="P504" s="114" t="str">
        <f>IF(Main[[#This Row],[Tech Start Date]]&lt;1/1/1990,"",IF(Main[[#This Row],[Class]]="C",WORKDAY(Main[[#This Row],[Tech Start Date]],28),IF(Main[[#This Row],[Class]]="B", WORKDAY(Main[[#This Row],[Tech Start Date]],19),IF(Main[[#This Row],[Class]]="A",WORKDAY(Main[[#This Row],[Tech Start Date]],9),""))))</f>
        <v/>
      </c>
      <c r="Q504" s="129">
        <v>40267</v>
      </c>
      <c r="R504" s="129"/>
      <c r="S504" s="139" t="s">
        <v>17</v>
      </c>
      <c r="T504" s="115" t="s">
        <v>4</v>
      </c>
      <c r="U504" s="139" t="s">
        <v>14</v>
      </c>
      <c r="V504" s="139" t="s">
        <v>1914</v>
      </c>
      <c r="W504" s="139" t="s">
        <v>1918</v>
      </c>
      <c r="X504" s="139" t="s">
        <v>2882</v>
      </c>
      <c r="Y504" s="112" t="s">
        <v>2941</v>
      </c>
      <c r="Z504" s="112" t="s">
        <v>4</v>
      </c>
      <c r="AA504" s="139" t="s">
        <v>3376</v>
      </c>
    </row>
    <row r="505" spans="1:27" ht="17.25" customHeight="1">
      <c r="A505" s="69" t="str">
        <f>IF(priority(Main[[#This Row],[Comments]])&lt;&gt;0, priority(Main[[#This Row],[Comments]]),"")</f>
        <v/>
      </c>
      <c r="B505" s="63" t="s">
        <v>1320</v>
      </c>
      <c r="C505" s="148" t="s">
        <v>113</v>
      </c>
      <c r="D505" s="113" t="s">
        <v>403</v>
      </c>
      <c r="E505" s="129"/>
      <c r="F505" s="129"/>
      <c r="G505" s="69" t="str">
        <f>IF(stdProdLT(Main[[#This Row],[Comments]])=0.1,"N/A",IF(stdProdLT(Main[[#This Row],[Comments]])=0,"",stdProdLT(Main[[#This Row],[Comments]])))</f>
        <v/>
      </c>
      <c r="H505" s="138" t="str">
        <f>IF(Main[[#This Row],[In Stock Date]]="N/A", "N/A",IF(AND(Main[[#This Row],[In Stock Date]]&lt;&gt;"",Main[[#This Row],[Revised Due Date]]&lt;&gt;"",Main[[#This Row],[In Stock Date]]&lt;&gt;""),Main[[#This Row],[In Stock Date]]-Main[[#This Row],[Revised Due Date]],""))</f>
        <v/>
      </c>
      <c r="I505" s="139" t="s">
        <v>4</v>
      </c>
      <c r="J505" s="139" t="s">
        <v>4</v>
      </c>
      <c r="K505" s="139" t="s">
        <v>4</v>
      </c>
      <c r="L505" s="129"/>
      <c r="M505" s="114" t="str">
        <f>IF(Main[[#This Row],[Tech Start Date]]&lt;1/1/1990,"",IF(Main[[#This Row],[Class]]="C",WORKDAY(Main[[#This Row],[Tech Start Date]],9),IF(Main[[#This Row],[Class]]="B", WORKDAY(Main[[#This Row],[Tech Start Date]],6),IF(Main[[#This Row],[Class]]="A",WORKDAY(Main[[#This Row],[Tech Start Date]],2),""))))</f>
        <v/>
      </c>
      <c r="N505" s="114" t="str">
        <f>IF(Main[[#This Row],[Tech Start Date]]&lt;1/1/1990,"",IF(Main[[#This Row],[Class]]="C",WORKDAY(Main[[#This Row],[Tech Start Date]],19),IF(Main[[#This Row],[Class]]="B", WORKDAY(Main[[#This Row],[Tech Start Date]],12),IF(Main[[#This Row],[Class]]="A",WORKDAY(Main[[#This Row],[Tech Start Date]],4),""))))</f>
        <v/>
      </c>
      <c r="O505" s="114" t="str">
        <f>IF(Main[[#This Row],[Tech Start Date]]&lt;1/1/1990,"",IF(Main[[#This Row],[Class]]="C",WORKDAY(Main[[#This Row],[Tech Start Date]],23),IF(Main[[#This Row],[Class]]="B", WORKDAY(Main[[#This Row],[Tech Start Date]],15),IF(Main[[#This Row],[Class]]="A",WORKDAY(Main[[#This Row],[Tech Start Date]],5),""))))</f>
        <v/>
      </c>
      <c r="P505" s="114" t="str">
        <f>IF(Main[[#This Row],[Tech Start Date]]&lt;1/1/1990,"",IF(Main[[#This Row],[Class]]="C",WORKDAY(Main[[#This Row],[Tech Start Date]],28),IF(Main[[#This Row],[Class]]="B", WORKDAY(Main[[#This Row],[Tech Start Date]],19),IF(Main[[#This Row],[Class]]="A",WORKDAY(Main[[#This Row],[Tech Start Date]],9),""))))</f>
        <v/>
      </c>
      <c r="Q505" s="129"/>
      <c r="R505" s="129"/>
      <c r="S505" s="139" t="s">
        <v>11</v>
      </c>
      <c r="T505" s="115" t="s">
        <v>4</v>
      </c>
      <c r="U505" s="139" t="s">
        <v>14</v>
      </c>
      <c r="V505" s="139" t="s">
        <v>1917</v>
      </c>
      <c r="W505" s="139" t="s">
        <v>1922</v>
      </c>
      <c r="X505" s="139" t="s">
        <v>2844</v>
      </c>
      <c r="Y505" s="112" t="s">
        <v>2977</v>
      </c>
      <c r="Z505" s="112" t="s">
        <v>4</v>
      </c>
      <c r="AA505" s="139" t="s">
        <v>2844</v>
      </c>
    </row>
    <row r="506" spans="1:27" ht="17.25" customHeight="1">
      <c r="A506" s="69" t="str">
        <f>IF(priority(Main[[#This Row],[Comments]])&lt;&gt;0, priority(Main[[#This Row],[Comments]]),"")</f>
        <v/>
      </c>
      <c r="B506" s="63" t="s">
        <v>1026</v>
      </c>
      <c r="C506" s="148" t="s">
        <v>4</v>
      </c>
      <c r="D506" s="113" t="s">
        <v>3599</v>
      </c>
      <c r="E506" s="129">
        <v>40294.37054398148</v>
      </c>
      <c r="F506" s="129"/>
      <c r="G506" s="69" t="str">
        <f>IF(stdProdLT(Main[[#This Row],[Comments]])=0.1,"N/A",IF(stdProdLT(Main[[#This Row],[Comments]])=0,"",stdProdLT(Main[[#This Row],[Comments]])))</f>
        <v/>
      </c>
      <c r="H506" s="138" t="str">
        <f>IF(Main[[#This Row],[In Stock Date]]="N/A", "N/A",IF(AND(Main[[#This Row],[In Stock Date]]&lt;&gt;"",Main[[#This Row],[Revised Due Date]]&lt;&gt;"",Main[[#This Row],[In Stock Date]]&lt;&gt;""),Main[[#This Row],[In Stock Date]]-Main[[#This Row],[Revised Due Date]],""))</f>
        <v/>
      </c>
      <c r="I506" s="139" t="s">
        <v>2208</v>
      </c>
      <c r="J506" s="139" t="s">
        <v>75</v>
      </c>
      <c r="K506" s="139" t="s">
        <v>1923</v>
      </c>
      <c r="L506" s="129"/>
      <c r="M506" s="114" t="str">
        <f>IF(Main[[#This Row],[Tech Start Date]]&lt;1/1/1990,"",IF(Main[[#This Row],[Class]]="C",WORKDAY(Main[[#This Row],[Tech Start Date]],9),IF(Main[[#This Row],[Class]]="B", WORKDAY(Main[[#This Row],[Tech Start Date]],6),IF(Main[[#This Row],[Class]]="A",WORKDAY(Main[[#This Row],[Tech Start Date]],2),""))))</f>
        <v/>
      </c>
      <c r="N506" s="114" t="str">
        <f>IF(Main[[#This Row],[Tech Start Date]]&lt;1/1/1990,"",IF(Main[[#This Row],[Class]]="C",WORKDAY(Main[[#This Row],[Tech Start Date]],19),IF(Main[[#This Row],[Class]]="B", WORKDAY(Main[[#This Row],[Tech Start Date]],12),IF(Main[[#This Row],[Class]]="A",WORKDAY(Main[[#This Row],[Tech Start Date]],4),""))))</f>
        <v/>
      </c>
      <c r="O506" s="114" t="str">
        <f>IF(Main[[#This Row],[Tech Start Date]]&lt;1/1/1990,"",IF(Main[[#This Row],[Class]]="C",WORKDAY(Main[[#This Row],[Tech Start Date]],23),IF(Main[[#This Row],[Class]]="B", WORKDAY(Main[[#This Row],[Tech Start Date]],15),IF(Main[[#This Row],[Class]]="A",WORKDAY(Main[[#This Row],[Tech Start Date]],5),""))))</f>
        <v/>
      </c>
      <c r="P506" s="114" t="str">
        <f>IF(Main[[#This Row],[Tech Start Date]]&lt;1/1/1990,"",IF(Main[[#This Row],[Class]]="C",WORKDAY(Main[[#This Row],[Tech Start Date]],28),IF(Main[[#This Row],[Class]]="B", WORKDAY(Main[[#This Row],[Tech Start Date]],19),IF(Main[[#This Row],[Class]]="A",WORKDAY(Main[[#This Row],[Tech Start Date]],9),""))))</f>
        <v/>
      </c>
      <c r="Q506" s="129">
        <v>40909</v>
      </c>
      <c r="R506" s="129"/>
      <c r="S506" s="139" t="s">
        <v>6</v>
      </c>
      <c r="T506" s="115" t="s">
        <v>4</v>
      </c>
      <c r="U506" s="139" t="s">
        <v>29</v>
      </c>
      <c r="V506" s="139" t="s">
        <v>1917</v>
      </c>
      <c r="W506" s="139" t="s">
        <v>1918</v>
      </c>
      <c r="X506" s="139" t="s">
        <v>2819</v>
      </c>
      <c r="Y506" s="112" t="s">
        <v>2932</v>
      </c>
      <c r="Z506" s="112" t="s">
        <v>239</v>
      </c>
      <c r="AA506" s="139" t="s">
        <v>2819</v>
      </c>
    </row>
    <row r="507" spans="1:27" ht="17.25" customHeight="1">
      <c r="A507" s="69" t="str">
        <f>IF(priority(Main[[#This Row],[Comments]])&lt;&gt;0, priority(Main[[#This Row],[Comments]]),"")</f>
        <v/>
      </c>
      <c r="B507" s="63" t="s">
        <v>1323</v>
      </c>
      <c r="C507" s="148" t="s">
        <v>4</v>
      </c>
      <c r="D507" s="113" t="s">
        <v>405</v>
      </c>
      <c r="E507" s="129"/>
      <c r="F507" s="129"/>
      <c r="G507" s="69" t="str">
        <f>IF(stdProdLT(Main[[#This Row],[Comments]])=0.1,"N/A",IF(stdProdLT(Main[[#This Row],[Comments]])=0,"",stdProdLT(Main[[#This Row],[Comments]])))</f>
        <v/>
      </c>
      <c r="H507" s="138" t="str">
        <f>IF(Main[[#This Row],[In Stock Date]]="N/A", "N/A",IF(AND(Main[[#This Row],[In Stock Date]]&lt;&gt;"",Main[[#This Row],[Revised Due Date]]&lt;&gt;"",Main[[#This Row],[In Stock Date]]&lt;&gt;""),Main[[#This Row],[In Stock Date]]-Main[[#This Row],[Revised Due Date]],""))</f>
        <v/>
      </c>
      <c r="I507" s="139" t="s">
        <v>4</v>
      </c>
      <c r="J507" s="139" t="s">
        <v>4</v>
      </c>
      <c r="K507" s="140" t="s">
        <v>4</v>
      </c>
      <c r="L507" s="129"/>
      <c r="M507" s="114" t="str">
        <f>IF(Main[[#This Row],[Tech Start Date]]&lt;1/1/1990,"",IF(Main[[#This Row],[Class]]="C",WORKDAY(Main[[#This Row],[Tech Start Date]],9),IF(Main[[#This Row],[Class]]="B", WORKDAY(Main[[#This Row],[Tech Start Date]],6),IF(Main[[#This Row],[Class]]="A",WORKDAY(Main[[#This Row],[Tech Start Date]],2),""))))</f>
        <v/>
      </c>
      <c r="N507" s="114" t="str">
        <f>IF(Main[[#This Row],[Tech Start Date]]&lt;1/1/1990,"",IF(Main[[#This Row],[Class]]="C",WORKDAY(Main[[#This Row],[Tech Start Date]],19),IF(Main[[#This Row],[Class]]="B", WORKDAY(Main[[#This Row],[Tech Start Date]],12),IF(Main[[#This Row],[Class]]="A",WORKDAY(Main[[#This Row],[Tech Start Date]],4),""))))</f>
        <v/>
      </c>
      <c r="O507" s="114" t="str">
        <f>IF(Main[[#This Row],[Tech Start Date]]&lt;1/1/1990,"",IF(Main[[#This Row],[Class]]="C",WORKDAY(Main[[#This Row],[Tech Start Date]],23),IF(Main[[#This Row],[Class]]="B", WORKDAY(Main[[#This Row],[Tech Start Date]],15),IF(Main[[#This Row],[Class]]="A",WORKDAY(Main[[#This Row],[Tech Start Date]],5),""))))</f>
        <v/>
      </c>
      <c r="P507" s="114" t="str">
        <f>IF(Main[[#This Row],[Tech Start Date]]&lt;1/1/1990,"",IF(Main[[#This Row],[Class]]="C",WORKDAY(Main[[#This Row],[Tech Start Date]],28),IF(Main[[#This Row],[Class]]="B", WORKDAY(Main[[#This Row],[Tech Start Date]],19),IF(Main[[#This Row],[Class]]="A",WORKDAY(Main[[#This Row],[Tech Start Date]],9),""))))</f>
        <v/>
      </c>
      <c r="Q507" s="129">
        <v>40390</v>
      </c>
      <c r="R507" s="129"/>
      <c r="S507" s="139" t="s">
        <v>6</v>
      </c>
      <c r="T507" s="115" t="s">
        <v>4</v>
      </c>
      <c r="U507" s="139" t="s">
        <v>14</v>
      </c>
      <c r="V507" s="139" t="s">
        <v>1917</v>
      </c>
      <c r="W507" s="139" t="s">
        <v>4</v>
      </c>
      <c r="X507" s="139" t="s">
        <v>2819</v>
      </c>
      <c r="Y507" s="112" t="s">
        <v>2932</v>
      </c>
      <c r="Z507" s="112" t="s">
        <v>4</v>
      </c>
      <c r="AA507" s="139" t="s">
        <v>2819</v>
      </c>
    </row>
    <row r="508" spans="1:27" ht="17.25" customHeight="1">
      <c r="A508" s="69" t="str">
        <f>IF(priority(Main[[#This Row],[Comments]])&lt;&gt;0, priority(Main[[#This Row],[Comments]]),"")</f>
        <v/>
      </c>
      <c r="B508" s="63" t="s">
        <v>1324</v>
      </c>
      <c r="C508" s="148" t="s">
        <v>169</v>
      </c>
      <c r="D508" s="113" t="s">
        <v>406</v>
      </c>
      <c r="E508" s="129"/>
      <c r="F508" s="129">
        <v>40237</v>
      </c>
      <c r="G508" s="69" t="str">
        <f>IF(stdProdLT(Main[[#This Row],[Comments]])=0.1,"N/A",IF(stdProdLT(Main[[#This Row],[Comments]])=0,"",stdProdLT(Main[[#This Row],[Comments]])))</f>
        <v/>
      </c>
      <c r="H508" s="138" t="str">
        <f>IF(Main[[#This Row],[In Stock Date]]="N/A", "N/A",IF(AND(Main[[#This Row],[In Stock Date]]&lt;&gt;"",Main[[#This Row],[Revised Due Date]]&lt;&gt;"",Main[[#This Row],[In Stock Date]]&lt;&gt;""),Main[[#This Row],[In Stock Date]]-Main[[#This Row],[Revised Due Date]],""))</f>
        <v/>
      </c>
      <c r="I508" s="139" t="s">
        <v>4</v>
      </c>
      <c r="J508" s="139" t="s">
        <v>4</v>
      </c>
      <c r="K508" s="139" t="s">
        <v>4</v>
      </c>
      <c r="L508" s="129"/>
      <c r="M508" s="114" t="str">
        <f>IF(Main[[#This Row],[Tech Start Date]]&lt;1/1/1990,"",IF(Main[[#This Row],[Class]]="C",WORKDAY(Main[[#This Row],[Tech Start Date]],9),IF(Main[[#This Row],[Class]]="B", WORKDAY(Main[[#This Row],[Tech Start Date]],6),IF(Main[[#This Row],[Class]]="A",WORKDAY(Main[[#This Row],[Tech Start Date]],2),""))))</f>
        <v/>
      </c>
      <c r="N508" s="114" t="str">
        <f>IF(Main[[#This Row],[Tech Start Date]]&lt;1/1/1990,"",IF(Main[[#This Row],[Class]]="C",WORKDAY(Main[[#This Row],[Tech Start Date]],19),IF(Main[[#This Row],[Class]]="B", WORKDAY(Main[[#This Row],[Tech Start Date]],12),IF(Main[[#This Row],[Class]]="A",WORKDAY(Main[[#This Row],[Tech Start Date]],4),""))))</f>
        <v/>
      </c>
      <c r="O508" s="114" t="str">
        <f>IF(Main[[#This Row],[Tech Start Date]]&lt;1/1/1990,"",IF(Main[[#This Row],[Class]]="C",WORKDAY(Main[[#This Row],[Tech Start Date]],23),IF(Main[[#This Row],[Class]]="B", WORKDAY(Main[[#This Row],[Tech Start Date]],15),IF(Main[[#This Row],[Class]]="A",WORKDAY(Main[[#This Row],[Tech Start Date]],5),""))))</f>
        <v/>
      </c>
      <c r="P508" s="114" t="str">
        <f>IF(Main[[#This Row],[Tech Start Date]]&lt;1/1/1990,"",IF(Main[[#This Row],[Class]]="C",WORKDAY(Main[[#This Row],[Tech Start Date]],28),IF(Main[[#This Row],[Class]]="B", WORKDAY(Main[[#This Row],[Tech Start Date]],19),IF(Main[[#This Row],[Class]]="A",WORKDAY(Main[[#This Row],[Tech Start Date]],9),""))))</f>
        <v/>
      </c>
      <c r="Q508" s="129">
        <v>40132</v>
      </c>
      <c r="R508" s="129"/>
      <c r="S508" s="139" t="s">
        <v>11</v>
      </c>
      <c r="T508" s="115" t="s">
        <v>4</v>
      </c>
      <c r="U508" s="139" t="s">
        <v>14</v>
      </c>
      <c r="V508" s="139" t="s">
        <v>1914</v>
      </c>
      <c r="W508" s="139" t="s">
        <v>1919</v>
      </c>
      <c r="X508" s="139" t="s">
        <v>2858</v>
      </c>
      <c r="Y508" s="112" t="s">
        <v>4</v>
      </c>
      <c r="Z508" s="112" t="s">
        <v>4</v>
      </c>
      <c r="AA508" s="139" t="s">
        <v>2858</v>
      </c>
    </row>
    <row r="509" spans="1:27" ht="17.25" customHeight="1">
      <c r="A509" s="69" t="str">
        <f>IF(priority(Main[[#This Row],[Comments]])&lt;&gt;0, priority(Main[[#This Row],[Comments]]),"")</f>
        <v/>
      </c>
      <c r="B509" s="63" t="s">
        <v>1325</v>
      </c>
      <c r="C509" s="148" t="s">
        <v>169</v>
      </c>
      <c r="D509" s="113" t="s">
        <v>407</v>
      </c>
      <c r="E509" s="129"/>
      <c r="F509" s="129">
        <v>40237</v>
      </c>
      <c r="G509" s="69" t="str">
        <f>IF(stdProdLT(Main[[#This Row],[Comments]])=0.1,"N/A",IF(stdProdLT(Main[[#This Row],[Comments]])=0,"",stdProdLT(Main[[#This Row],[Comments]])))</f>
        <v/>
      </c>
      <c r="H509" s="138" t="str">
        <f>IF(Main[[#This Row],[In Stock Date]]="N/A", "N/A",IF(AND(Main[[#This Row],[In Stock Date]]&lt;&gt;"",Main[[#This Row],[Revised Due Date]]&lt;&gt;"",Main[[#This Row],[In Stock Date]]&lt;&gt;""),Main[[#This Row],[In Stock Date]]-Main[[#This Row],[Revised Due Date]],""))</f>
        <v/>
      </c>
      <c r="I509" s="139" t="s">
        <v>4</v>
      </c>
      <c r="J509" s="139" t="s">
        <v>4</v>
      </c>
      <c r="K509" s="139" t="s">
        <v>4</v>
      </c>
      <c r="L509" s="129"/>
      <c r="M509" s="114" t="str">
        <f>IF(Main[[#This Row],[Tech Start Date]]&lt;1/1/1990,"",IF(Main[[#This Row],[Class]]="C",WORKDAY(Main[[#This Row],[Tech Start Date]],9),IF(Main[[#This Row],[Class]]="B", WORKDAY(Main[[#This Row],[Tech Start Date]],6),IF(Main[[#This Row],[Class]]="A",WORKDAY(Main[[#This Row],[Tech Start Date]],2),""))))</f>
        <v/>
      </c>
      <c r="N509" s="114" t="str">
        <f>IF(Main[[#This Row],[Tech Start Date]]&lt;1/1/1990,"",IF(Main[[#This Row],[Class]]="C",WORKDAY(Main[[#This Row],[Tech Start Date]],19),IF(Main[[#This Row],[Class]]="B", WORKDAY(Main[[#This Row],[Tech Start Date]],12),IF(Main[[#This Row],[Class]]="A",WORKDAY(Main[[#This Row],[Tech Start Date]],4),""))))</f>
        <v/>
      </c>
      <c r="O509" s="114" t="str">
        <f>IF(Main[[#This Row],[Tech Start Date]]&lt;1/1/1990,"",IF(Main[[#This Row],[Class]]="C",WORKDAY(Main[[#This Row],[Tech Start Date]],23),IF(Main[[#This Row],[Class]]="B", WORKDAY(Main[[#This Row],[Tech Start Date]],15),IF(Main[[#This Row],[Class]]="A",WORKDAY(Main[[#This Row],[Tech Start Date]],5),""))))</f>
        <v/>
      </c>
      <c r="P509" s="114" t="str">
        <f>IF(Main[[#This Row],[Tech Start Date]]&lt;1/1/1990,"",IF(Main[[#This Row],[Class]]="C",WORKDAY(Main[[#This Row],[Tech Start Date]],28),IF(Main[[#This Row],[Class]]="B", WORKDAY(Main[[#This Row],[Tech Start Date]],19),IF(Main[[#This Row],[Class]]="A",WORKDAY(Main[[#This Row],[Tech Start Date]],9),""))))</f>
        <v/>
      </c>
      <c r="Q509" s="129">
        <v>40132</v>
      </c>
      <c r="R509" s="129"/>
      <c r="S509" s="139" t="s">
        <v>11</v>
      </c>
      <c r="T509" s="115" t="s">
        <v>4</v>
      </c>
      <c r="U509" s="139" t="s">
        <v>14</v>
      </c>
      <c r="V509" s="139" t="s">
        <v>1914</v>
      </c>
      <c r="W509" s="139" t="s">
        <v>1919</v>
      </c>
      <c r="X509" s="139" t="s">
        <v>2858</v>
      </c>
      <c r="Y509" s="112" t="s">
        <v>4</v>
      </c>
      <c r="Z509" s="112" t="s">
        <v>4</v>
      </c>
      <c r="AA509" s="139" t="s">
        <v>2858</v>
      </c>
    </row>
    <row r="510" spans="1:27" ht="17.25" customHeight="1">
      <c r="A510" s="69" t="str">
        <f>IF(priority(Main[[#This Row],[Comments]])&lt;&gt;0, priority(Main[[#This Row],[Comments]]),"")</f>
        <v/>
      </c>
      <c r="B510" s="63" t="s">
        <v>1326</v>
      </c>
      <c r="C510" s="148" t="s">
        <v>4</v>
      </c>
      <c r="D510" s="113" t="s">
        <v>408</v>
      </c>
      <c r="E510" s="129"/>
      <c r="F510" s="129"/>
      <c r="G510" s="69" t="str">
        <f>IF(stdProdLT(Main[[#This Row],[Comments]])=0.1,"N/A",IF(stdProdLT(Main[[#This Row],[Comments]])=0,"",stdProdLT(Main[[#This Row],[Comments]])))</f>
        <v/>
      </c>
      <c r="H510" s="138" t="str">
        <f>IF(Main[[#This Row],[In Stock Date]]="N/A", "N/A",IF(AND(Main[[#This Row],[In Stock Date]]&lt;&gt;"",Main[[#This Row],[Revised Due Date]]&lt;&gt;"",Main[[#This Row],[In Stock Date]]&lt;&gt;""),Main[[#This Row],[In Stock Date]]-Main[[#This Row],[Revised Due Date]],""))</f>
        <v/>
      </c>
      <c r="I510" s="139" t="s">
        <v>4</v>
      </c>
      <c r="J510" s="139" t="s">
        <v>28</v>
      </c>
      <c r="K510" s="139" t="s">
        <v>4</v>
      </c>
      <c r="L510" s="129"/>
      <c r="M510" s="114" t="str">
        <f>IF(Main[[#This Row],[Tech Start Date]]&lt;1/1/1990,"",IF(Main[[#This Row],[Class]]="C",WORKDAY(Main[[#This Row],[Tech Start Date]],9),IF(Main[[#This Row],[Class]]="B", WORKDAY(Main[[#This Row],[Tech Start Date]],6),IF(Main[[#This Row],[Class]]="A",WORKDAY(Main[[#This Row],[Tech Start Date]],2),""))))</f>
        <v/>
      </c>
      <c r="N510" s="114" t="str">
        <f>IF(Main[[#This Row],[Tech Start Date]]&lt;1/1/1990,"",IF(Main[[#This Row],[Class]]="C",WORKDAY(Main[[#This Row],[Tech Start Date]],19),IF(Main[[#This Row],[Class]]="B", WORKDAY(Main[[#This Row],[Tech Start Date]],12),IF(Main[[#This Row],[Class]]="A",WORKDAY(Main[[#This Row],[Tech Start Date]],4),""))))</f>
        <v/>
      </c>
      <c r="O510" s="114" t="str">
        <f>IF(Main[[#This Row],[Tech Start Date]]&lt;1/1/1990,"",IF(Main[[#This Row],[Class]]="C",WORKDAY(Main[[#This Row],[Tech Start Date]],23),IF(Main[[#This Row],[Class]]="B", WORKDAY(Main[[#This Row],[Tech Start Date]],15),IF(Main[[#This Row],[Class]]="A",WORKDAY(Main[[#This Row],[Tech Start Date]],5),""))))</f>
        <v/>
      </c>
      <c r="P510" s="114" t="str">
        <f>IF(Main[[#This Row],[Tech Start Date]]&lt;1/1/1990,"",IF(Main[[#This Row],[Class]]="C",WORKDAY(Main[[#This Row],[Tech Start Date]],28),IF(Main[[#This Row],[Class]]="B", WORKDAY(Main[[#This Row],[Tech Start Date]],19),IF(Main[[#This Row],[Class]]="A",WORKDAY(Main[[#This Row],[Tech Start Date]],9),""))))</f>
        <v/>
      </c>
      <c r="Q510" s="129">
        <v>40471</v>
      </c>
      <c r="R510" s="129"/>
      <c r="S510" s="139" t="s">
        <v>6</v>
      </c>
      <c r="T510" s="115" t="s">
        <v>4</v>
      </c>
      <c r="U510" s="139" t="s">
        <v>14</v>
      </c>
      <c r="V510" s="139" t="s">
        <v>1917</v>
      </c>
      <c r="W510" s="139" t="s">
        <v>1916</v>
      </c>
      <c r="X510" s="139" t="s">
        <v>2822</v>
      </c>
      <c r="Y510" s="112" t="s">
        <v>2938</v>
      </c>
      <c r="Z510" s="112" t="s">
        <v>530</v>
      </c>
      <c r="AA510" s="139" t="s">
        <v>2822</v>
      </c>
    </row>
    <row r="511" spans="1:27" ht="17.25" customHeight="1">
      <c r="A511" s="69" t="str">
        <f>IF(priority(Main[[#This Row],[Comments]])&lt;&gt;0, priority(Main[[#This Row],[Comments]]),"")</f>
        <v/>
      </c>
      <c r="B511" s="63" t="s">
        <v>1327</v>
      </c>
      <c r="C511" s="148" t="s">
        <v>4</v>
      </c>
      <c r="D511" s="113" t="s">
        <v>409</v>
      </c>
      <c r="E511" s="129"/>
      <c r="F511" s="129"/>
      <c r="G511" s="69" t="str">
        <f>IF(stdProdLT(Main[[#This Row],[Comments]])=0.1,"N/A",IF(stdProdLT(Main[[#This Row],[Comments]])=0,"",stdProdLT(Main[[#This Row],[Comments]])))</f>
        <v/>
      </c>
      <c r="H511" s="138" t="str">
        <f>IF(Main[[#This Row],[In Stock Date]]="N/A", "N/A",IF(AND(Main[[#This Row],[In Stock Date]]&lt;&gt;"",Main[[#This Row],[Revised Due Date]]&lt;&gt;"",Main[[#This Row],[In Stock Date]]&lt;&gt;""),Main[[#This Row],[In Stock Date]]-Main[[#This Row],[Revised Due Date]],""))</f>
        <v/>
      </c>
      <c r="I511" s="139" t="s">
        <v>4</v>
      </c>
      <c r="J511" s="139" t="s">
        <v>4</v>
      </c>
      <c r="K511" s="139" t="s">
        <v>4</v>
      </c>
      <c r="L511" s="129"/>
      <c r="M511" s="114" t="str">
        <f>IF(Main[[#This Row],[Tech Start Date]]&lt;1/1/1990,"",IF(Main[[#This Row],[Class]]="C",WORKDAY(Main[[#This Row],[Tech Start Date]],9),IF(Main[[#This Row],[Class]]="B", WORKDAY(Main[[#This Row],[Tech Start Date]],6),IF(Main[[#This Row],[Class]]="A",WORKDAY(Main[[#This Row],[Tech Start Date]],2),""))))</f>
        <v/>
      </c>
      <c r="N511" s="114" t="str">
        <f>IF(Main[[#This Row],[Tech Start Date]]&lt;1/1/1990,"",IF(Main[[#This Row],[Class]]="C",WORKDAY(Main[[#This Row],[Tech Start Date]],19),IF(Main[[#This Row],[Class]]="B", WORKDAY(Main[[#This Row],[Tech Start Date]],12),IF(Main[[#This Row],[Class]]="A",WORKDAY(Main[[#This Row],[Tech Start Date]],4),""))))</f>
        <v/>
      </c>
      <c r="O511" s="114" t="str">
        <f>IF(Main[[#This Row],[Tech Start Date]]&lt;1/1/1990,"",IF(Main[[#This Row],[Class]]="C",WORKDAY(Main[[#This Row],[Tech Start Date]],23),IF(Main[[#This Row],[Class]]="B", WORKDAY(Main[[#This Row],[Tech Start Date]],15),IF(Main[[#This Row],[Class]]="A",WORKDAY(Main[[#This Row],[Tech Start Date]],5),""))))</f>
        <v/>
      </c>
      <c r="P511" s="114" t="str">
        <f>IF(Main[[#This Row],[Tech Start Date]]&lt;1/1/1990,"",IF(Main[[#This Row],[Class]]="C",WORKDAY(Main[[#This Row],[Tech Start Date]],28),IF(Main[[#This Row],[Class]]="B", WORKDAY(Main[[#This Row],[Tech Start Date]],19),IF(Main[[#This Row],[Class]]="A",WORKDAY(Main[[#This Row],[Tech Start Date]],9),""))))</f>
        <v/>
      </c>
      <c r="Q511" s="129"/>
      <c r="R511" s="129"/>
      <c r="S511" s="139" t="s">
        <v>6</v>
      </c>
      <c r="T511" s="115" t="s">
        <v>4</v>
      </c>
      <c r="U511" s="139" t="s">
        <v>12</v>
      </c>
      <c r="V511" s="139" t="s">
        <v>1915</v>
      </c>
      <c r="W511" s="139" t="s">
        <v>1922</v>
      </c>
      <c r="X511" s="139" t="s">
        <v>941</v>
      </c>
      <c r="Y511" s="112" t="s">
        <v>2995</v>
      </c>
      <c r="Z511" s="112" t="s">
        <v>4</v>
      </c>
      <c r="AA511" s="139" t="s">
        <v>941</v>
      </c>
    </row>
    <row r="512" spans="1:27" ht="17.25" customHeight="1">
      <c r="A512" s="69" t="str">
        <f>IF(priority(Main[[#This Row],[Comments]])&lt;&gt;0, priority(Main[[#This Row],[Comments]]),"")</f>
        <v/>
      </c>
      <c r="B512" s="63" t="s">
        <v>1328</v>
      </c>
      <c r="C512" s="148" t="s">
        <v>4</v>
      </c>
      <c r="D512" s="113" t="s">
        <v>410</v>
      </c>
      <c r="E512" s="129"/>
      <c r="F512" s="129"/>
      <c r="G512" s="69" t="str">
        <f>IF(stdProdLT(Main[[#This Row],[Comments]])=0.1,"N/A",IF(stdProdLT(Main[[#This Row],[Comments]])=0,"",stdProdLT(Main[[#This Row],[Comments]])))</f>
        <v/>
      </c>
      <c r="H512" s="138" t="str">
        <f>IF(Main[[#This Row],[In Stock Date]]="N/A", "N/A",IF(AND(Main[[#This Row],[In Stock Date]]&lt;&gt;"",Main[[#This Row],[Revised Due Date]]&lt;&gt;"",Main[[#This Row],[In Stock Date]]&lt;&gt;""),Main[[#This Row],[In Stock Date]]-Main[[#This Row],[Revised Due Date]],""))</f>
        <v/>
      </c>
      <c r="I512" s="139" t="s">
        <v>4</v>
      </c>
      <c r="J512" s="139" t="s">
        <v>4</v>
      </c>
      <c r="K512" s="139" t="s">
        <v>4</v>
      </c>
      <c r="L512" s="129"/>
      <c r="M512" s="114" t="str">
        <f>IF(Main[[#This Row],[Tech Start Date]]&lt;1/1/1990,"",IF(Main[[#This Row],[Class]]="C",WORKDAY(Main[[#This Row],[Tech Start Date]],9),IF(Main[[#This Row],[Class]]="B", WORKDAY(Main[[#This Row],[Tech Start Date]],6),IF(Main[[#This Row],[Class]]="A",WORKDAY(Main[[#This Row],[Tech Start Date]],2),""))))</f>
        <v/>
      </c>
      <c r="N512" s="114" t="str">
        <f>IF(Main[[#This Row],[Tech Start Date]]&lt;1/1/1990,"",IF(Main[[#This Row],[Class]]="C",WORKDAY(Main[[#This Row],[Tech Start Date]],19),IF(Main[[#This Row],[Class]]="B", WORKDAY(Main[[#This Row],[Tech Start Date]],12),IF(Main[[#This Row],[Class]]="A",WORKDAY(Main[[#This Row],[Tech Start Date]],4),""))))</f>
        <v/>
      </c>
      <c r="O512" s="114" t="str">
        <f>IF(Main[[#This Row],[Tech Start Date]]&lt;1/1/1990,"",IF(Main[[#This Row],[Class]]="C",WORKDAY(Main[[#This Row],[Tech Start Date]],23),IF(Main[[#This Row],[Class]]="B", WORKDAY(Main[[#This Row],[Tech Start Date]],15),IF(Main[[#This Row],[Class]]="A",WORKDAY(Main[[#This Row],[Tech Start Date]],5),""))))</f>
        <v/>
      </c>
      <c r="P512" s="114" t="str">
        <f>IF(Main[[#This Row],[Tech Start Date]]&lt;1/1/1990,"",IF(Main[[#This Row],[Class]]="C",WORKDAY(Main[[#This Row],[Tech Start Date]],28),IF(Main[[#This Row],[Class]]="B", WORKDAY(Main[[#This Row],[Tech Start Date]],19),IF(Main[[#This Row],[Class]]="A",WORKDAY(Main[[#This Row],[Tech Start Date]],9),""))))</f>
        <v/>
      </c>
      <c r="Q512" s="129"/>
      <c r="R512" s="129"/>
      <c r="S512" s="139" t="s">
        <v>411</v>
      </c>
      <c r="T512" s="115" t="s">
        <v>4</v>
      </c>
      <c r="U512" s="139" t="s">
        <v>14</v>
      </c>
      <c r="V512" s="139" t="s">
        <v>1915</v>
      </c>
      <c r="W512" s="139" t="s">
        <v>1918</v>
      </c>
      <c r="X512" s="139" t="s">
        <v>922</v>
      </c>
      <c r="Y512" s="112" t="s">
        <v>2982</v>
      </c>
      <c r="Z512" s="112" t="s">
        <v>4</v>
      </c>
      <c r="AA512" s="139" t="s">
        <v>922</v>
      </c>
    </row>
    <row r="513" spans="1:27" ht="17.25" customHeight="1">
      <c r="A513" s="69" t="str">
        <f>IF(priority(Main[[#This Row],[Comments]])&lt;&gt;0, priority(Main[[#This Row],[Comments]]),"")</f>
        <v/>
      </c>
      <c r="B513" s="63" t="s">
        <v>1617</v>
      </c>
      <c r="C513" s="148" t="s">
        <v>692</v>
      </c>
      <c r="D513" s="113" t="s">
        <v>693</v>
      </c>
      <c r="E513" s="129"/>
      <c r="F513" s="129"/>
      <c r="G513" s="69" t="str">
        <f>IF(stdProdLT(Main[[#This Row],[Comments]])=0.1,"N/A",IF(stdProdLT(Main[[#This Row],[Comments]])=0,"",stdProdLT(Main[[#This Row],[Comments]])))</f>
        <v/>
      </c>
      <c r="H513" s="138" t="str">
        <f>IF(Main[[#This Row],[In Stock Date]]="N/A", "N/A",IF(AND(Main[[#This Row],[In Stock Date]]&lt;&gt;"",Main[[#This Row],[Revised Due Date]]&lt;&gt;"",Main[[#This Row],[In Stock Date]]&lt;&gt;""),Main[[#This Row],[In Stock Date]]-Main[[#This Row],[Revised Due Date]],""))</f>
        <v/>
      </c>
      <c r="I513" s="139" t="s">
        <v>4</v>
      </c>
      <c r="J513" s="139" t="s">
        <v>4</v>
      </c>
      <c r="K513" s="139" t="s">
        <v>4</v>
      </c>
      <c r="L513" s="129"/>
      <c r="M513" s="114" t="str">
        <f>IF(Main[[#This Row],[Tech Start Date]]&lt;1/1/1990,"",IF(Main[[#This Row],[Class]]="C",WORKDAY(Main[[#This Row],[Tech Start Date]],9),IF(Main[[#This Row],[Class]]="B", WORKDAY(Main[[#This Row],[Tech Start Date]],6),IF(Main[[#This Row],[Class]]="A",WORKDAY(Main[[#This Row],[Tech Start Date]],2),""))))</f>
        <v/>
      </c>
      <c r="N513" s="114" t="str">
        <f>IF(Main[[#This Row],[Tech Start Date]]&lt;1/1/1990,"",IF(Main[[#This Row],[Class]]="C",WORKDAY(Main[[#This Row],[Tech Start Date]],19),IF(Main[[#This Row],[Class]]="B", WORKDAY(Main[[#This Row],[Tech Start Date]],12),IF(Main[[#This Row],[Class]]="A",WORKDAY(Main[[#This Row],[Tech Start Date]],4),""))))</f>
        <v/>
      </c>
      <c r="O513" s="114" t="str">
        <f>IF(Main[[#This Row],[Tech Start Date]]&lt;1/1/1990,"",IF(Main[[#This Row],[Class]]="C",WORKDAY(Main[[#This Row],[Tech Start Date]],23),IF(Main[[#This Row],[Class]]="B", WORKDAY(Main[[#This Row],[Tech Start Date]],15),IF(Main[[#This Row],[Class]]="A",WORKDAY(Main[[#This Row],[Tech Start Date]],5),""))))</f>
        <v/>
      </c>
      <c r="P513" s="114" t="str">
        <f>IF(Main[[#This Row],[Tech Start Date]]&lt;1/1/1990,"",IF(Main[[#This Row],[Class]]="C",WORKDAY(Main[[#This Row],[Tech Start Date]],28),IF(Main[[#This Row],[Class]]="B", WORKDAY(Main[[#This Row],[Tech Start Date]],19),IF(Main[[#This Row],[Class]]="A",WORKDAY(Main[[#This Row],[Tech Start Date]],9),""))))</f>
        <v/>
      </c>
      <c r="Q513" s="129">
        <v>40672</v>
      </c>
      <c r="R513" s="129"/>
      <c r="S513" s="139" t="s">
        <v>11</v>
      </c>
      <c r="T513" s="115" t="s">
        <v>4</v>
      </c>
      <c r="U513" s="139" t="s">
        <v>14</v>
      </c>
      <c r="V513" s="139" t="s">
        <v>1914</v>
      </c>
      <c r="W513" s="139" t="s">
        <v>1916</v>
      </c>
      <c r="X513" s="139" t="s">
        <v>2883</v>
      </c>
      <c r="Y513" s="112" t="s">
        <v>4</v>
      </c>
      <c r="Z513" s="112" t="s">
        <v>4</v>
      </c>
      <c r="AA513" s="139" t="s">
        <v>2883</v>
      </c>
    </row>
    <row r="514" spans="1:27" ht="17.25" customHeight="1">
      <c r="A514" s="69" t="str">
        <f>IF(priority(Main[[#This Row],[Comments]])&lt;&gt;0, priority(Main[[#This Row],[Comments]]),"")</f>
        <v/>
      </c>
      <c r="B514" s="63" t="s">
        <v>1202</v>
      </c>
      <c r="C514" s="148" t="s">
        <v>169</v>
      </c>
      <c r="D514" s="113" t="s">
        <v>260</v>
      </c>
      <c r="E514" s="129"/>
      <c r="F514" s="129">
        <v>40237</v>
      </c>
      <c r="G514" s="69" t="str">
        <f>IF(stdProdLT(Main[[#This Row],[Comments]])=0.1,"N/A",IF(stdProdLT(Main[[#This Row],[Comments]])=0,"",stdProdLT(Main[[#This Row],[Comments]])))</f>
        <v/>
      </c>
      <c r="H514" s="138" t="str">
        <f>IF(Main[[#This Row],[In Stock Date]]="N/A", "N/A",IF(AND(Main[[#This Row],[In Stock Date]]&lt;&gt;"",Main[[#This Row],[Revised Due Date]]&lt;&gt;"",Main[[#This Row],[In Stock Date]]&lt;&gt;""),Main[[#This Row],[In Stock Date]]-Main[[#This Row],[Revised Due Date]],""))</f>
        <v/>
      </c>
      <c r="I514" s="139" t="s">
        <v>4</v>
      </c>
      <c r="J514" s="139" t="s">
        <v>4</v>
      </c>
      <c r="K514" s="139" t="s">
        <v>4</v>
      </c>
      <c r="L514" s="129"/>
      <c r="M514" s="114" t="str">
        <f>IF(Main[[#This Row],[Tech Start Date]]&lt;1/1/1990,"",IF(Main[[#This Row],[Class]]="C",WORKDAY(Main[[#This Row],[Tech Start Date]],9),IF(Main[[#This Row],[Class]]="B", WORKDAY(Main[[#This Row],[Tech Start Date]],6),IF(Main[[#This Row],[Class]]="A",WORKDAY(Main[[#This Row],[Tech Start Date]],2),""))))</f>
        <v/>
      </c>
      <c r="N514" s="114" t="str">
        <f>IF(Main[[#This Row],[Tech Start Date]]&lt;1/1/1990,"",IF(Main[[#This Row],[Class]]="C",WORKDAY(Main[[#This Row],[Tech Start Date]],19),IF(Main[[#This Row],[Class]]="B", WORKDAY(Main[[#This Row],[Tech Start Date]],12),IF(Main[[#This Row],[Class]]="A",WORKDAY(Main[[#This Row],[Tech Start Date]],4),""))))</f>
        <v/>
      </c>
      <c r="O514" s="114" t="str">
        <f>IF(Main[[#This Row],[Tech Start Date]]&lt;1/1/1990,"",IF(Main[[#This Row],[Class]]="C",WORKDAY(Main[[#This Row],[Tech Start Date]],23),IF(Main[[#This Row],[Class]]="B", WORKDAY(Main[[#This Row],[Tech Start Date]],15),IF(Main[[#This Row],[Class]]="A",WORKDAY(Main[[#This Row],[Tech Start Date]],5),""))))</f>
        <v/>
      </c>
      <c r="P514" s="114" t="str">
        <f>IF(Main[[#This Row],[Tech Start Date]]&lt;1/1/1990,"",IF(Main[[#This Row],[Class]]="C",WORKDAY(Main[[#This Row],[Tech Start Date]],28),IF(Main[[#This Row],[Class]]="B", WORKDAY(Main[[#This Row],[Tech Start Date]],19),IF(Main[[#This Row],[Class]]="A",WORKDAY(Main[[#This Row],[Tech Start Date]],9),""))))</f>
        <v/>
      </c>
      <c r="Q514" s="129">
        <v>40132</v>
      </c>
      <c r="R514" s="129"/>
      <c r="S514" s="139" t="s">
        <v>11</v>
      </c>
      <c r="T514" s="115" t="s">
        <v>4</v>
      </c>
      <c r="U514" s="139" t="s">
        <v>14</v>
      </c>
      <c r="V514" s="139" t="s">
        <v>1915</v>
      </c>
      <c r="W514" s="139" t="s">
        <v>1919</v>
      </c>
      <c r="X514" s="139" t="s">
        <v>2858</v>
      </c>
      <c r="Y514" s="112" t="s">
        <v>4</v>
      </c>
      <c r="Z514" s="112" t="s">
        <v>4</v>
      </c>
      <c r="AA514" s="139" t="s">
        <v>2858</v>
      </c>
    </row>
    <row r="515" spans="1:27" ht="17.25" customHeight="1">
      <c r="A515" s="69" t="str">
        <f>IF(priority(Main[[#This Row],[Comments]])&lt;&gt;0, priority(Main[[#This Row],[Comments]]),"")</f>
        <v/>
      </c>
      <c r="B515" s="63" t="s">
        <v>1225</v>
      </c>
      <c r="C515" s="148" t="s">
        <v>33</v>
      </c>
      <c r="D515" s="113" t="s">
        <v>288</v>
      </c>
      <c r="E515" s="129"/>
      <c r="F515" s="129"/>
      <c r="G515" s="69" t="str">
        <f>IF(stdProdLT(Main[[#This Row],[Comments]])=0.1,"N/A",IF(stdProdLT(Main[[#This Row],[Comments]])=0,"",stdProdLT(Main[[#This Row],[Comments]])))</f>
        <v/>
      </c>
      <c r="H515" s="138" t="str">
        <f>IF(Main[[#This Row],[In Stock Date]]="N/A", "N/A",IF(AND(Main[[#This Row],[In Stock Date]]&lt;&gt;"",Main[[#This Row],[Revised Due Date]]&lt;&gt;"",Main[[#This Row],[In Stock Date]]&lt;&gt;""),Main[[#This Row],[In Stock Date]]-Main[[#This Row],[Revised Due Date]],""))</f>
        <v/>
      </c>
      <c r="I515" s="139" t="s">
        <v>4</v>
      </c>
      <c r="J515" s="139" t="s">
        <v>4</v>
      </c>
      <c r="K515" s="139" t="s">
        <v>4</v>
      </c>
      <c r="L515" s="129"/>
      <c r="M515" s="114" t="str">
        <f>IF(Main[[#This Row],[Tech Start Date]]&lt;1/1/1990,"",IF(Main[[#This Row],[Class]]="C",WORKDAY(Main[[#This Row],[Tech Start Date]],9),IF(Main[[#This Row],[Class]]="B", WORKDAY(Main[[#This Row],[Tech Start Date]],6),IF(Main[[#This Row],[Class]]="A",WORKDAY(Main[[#This Row],[Tech Start Date]],2),""))))</f>
        <v/>
      </c>
      <c r="N515" s="114" t="str">
        <f>IF(Main[[#This Row],[Tech Start Date]]&lt;1/1/1990,"",IF(Main[[#This Row],[Class]]="C",WORKDAY(Main[[#This Row],[Tech Start Date]],19),IF(Main[[#This Row],[Class]]="B", WORKDAY(Main[[#This Row],[Tech Start Date]],12),IF(Main[[#This Row],[Class]]="A",WORKDAY(Main[[#This Row],[Tech Start Date]],4),""))))</f>
        <v/>
      </c>
      <c r="O515" s="114" t="str">
        <f>IF(Main[[#This Row],[Tech Start Date]]&lt;1/1/1990,"",IF(Main[[#This Row],[Class]]="C",WORKDAY(Main[[#This Row],[Tech Start Date]],23),IF(Main[[#This Row],[Class]]="B", WORKDAY(Main[[#This Row],[Tech Start Date]],15),IF(Main[[#This Row],[Class]]="A",WORKDAY(Main[[#This Row],[Tech Start Date]],5),""))))</f>
        <v/>
      </c>
      <c r="P515" s="114" t="str">
        <f>IF(Main[[#This Row],[Tech Start Date]]&lt;1/1/1990,"",IF(Main[[#This Row],[Class]]="C",WORKDAY(Main[[#This Row],[Tech Start Date]],28),IF(Main[[#This Row],[Class]]="B", WORKDAY(Main[[#This Row],[Tech Start Date]],19),IF(Main[[#This Row],[Class]]="A",WORKDAY(Main[[#This Row],[Tech Start Date]],9),""))))</f>
        <v/>
      </c>
      <c r="Q515" s="129"/>
      <c r="R515" s="129"/>
      <c r="S515" s="139" t="s">
        <v>11</v>
      </c>
      <c r="T515" s="115" t="s">
        <v>4</v>
      </c>
      <c r="U515" s="139" t="s">
        <v>14</v>
      </c>
      <c r="V515" s="139" t="s">
        <v>1915</v>
      </c>
      <c r="W515" s="139" t="s">
        <v>1922</v>
      </c>
      <c r="X515" s="139" t="s">
        <v>2827</v>
      </c>
      <c r="Y515" s="112" t="s">
        <v>2948</v>
      </c>
      <c r="Z515" s="112" t="s">
        <v>4</v>
      </c>
      <c r="AA515" s="139" t="s">
        <v>2827</v>
      </c>
    </row>
    <row r="516" spans="1:27" ht="17.25" customHeight="1">
      <c r="A516" s="69" t="str">
        <f>IF(priority(Main[[#This Row],[Comments]])&lt;&gt;0, priority(Main[[#This Row],[Comments]]),"")</f>
        <v/>
      </c>
      <c r="B516" s="63" t="s">
        <v>1322</v>
      </c>
      <c r="C516" s="148" t="s">
        <v>4</v>
      </c>
      <c r="D516" s="113" t="s">
        <v>404</v>
      </c>
      <c r="E516" s="129">
        <v>40387.702291666668</v>
      </c>
      <c r="F516" s="129"/>
      <c r="G516" s="69" t="str">
        <f>IF(stdProdLT(Main[[#This Row],[Comments]])=0.1,"N/A",IF(stdProdLT(Main[[#This Row],[Comments]])=0,"",stdProdLT(Main[[#This Row],[Comments]])))</f>
        <v/>
      </c>
      <c r="H516" s="138" t="str">
        <f>IF(Main[[#This Row],[In Stock Date]]="N/A", "N/A",IF(AND(Main[[#This Row],[In Stock Date]]&lt;&gt;"",Main[[#This Row],[Revised Due Date]]&lt;&gt;"",Main[[#This Row],[In Stock Date]]&lt;&gt;""),Main[[#This Row],[In Stock Date]]-Main[[#This Row],[Revised Due Date]],""))</f>
        <v/>
      </c>
      <c r="I516" s="139" t="s">
        <v>4</v>
      </c>
      <c r="J516" s="139" t="s">
        <v>28</v>
      </c>
      <c r="K516" s="139" t="s">
        <v>4</v>
      </c>
      <c r="L516" s="129"/>
      <c r="M516" s="114" t="str">
        <f>IF(Main[[#This Row],[Tech Start Date]]&lt;1/1/1990,"",IF(Main[[#This Row],[Class]]="C",WORKDAY(Main[[#This Row],[Tech Start Date]],9),IF(Main[[#This Row],[Class]]="B", WORKDAY(Main[[#This Row],[Tech Start Date]],6),IF(Main[[#This Row],[Class]]="A",WORKDAY(Main[[#This Row],[Tech Start Date]],2),""))))</f>
        <v/>
      </c>
      <c r="N516" s="114" t="str">
        <f>IF(Main[[#This Row],[Tech Start Date]]&lt;1/1/1990,"",IF(Main[[#This Row],[Class]]="C",WORKDAY(Main[[#This Row],[Tech Start Date]],19),IF(Main[[#This Row],[Class]]="B", WORKDAY(Main[[#This Row],[Tech Start Date]],12),IF(Main[[#This Row],[Class]]="A",WORKDAY(Main[[#This Row],[Tech Start Date]],4),""))))</f>
        <v/>
      </c>
      <c r="O516" s="114" t="str">
        <f>IF(Main[[#This Row],[Tech Start Date]]&lt;1/1/1990,"",IF(Main[[#This Row],[Class]]="C",WORKDAY(Main[[#This Row],[Tech Start Date]],23),IF(Main[[#This Row],[Class]]="B", WORKDAY(Main[[#This Row],[Tech Start Date]],15),IF(Main[[#This Row],[Class]]="A",WORKDAY(Main[[#This Row],[Tech Start Date]],5),""))))</f>
        <v/>
      </c>
      <c r="P516" s="114" t="str">
        <f>IF(Main[[#This Row],[Tech Start Date]]&lt;1/1/1990,"",IF(Main[[#This Row],[Class]]="C",WORKDAY(Main[[#This Row],[Tech Start Date]],28),IF(Main[[#This Row],[Class]]="B", WORKDAY(Main[[#This Row],[Tech Start Date]],19),IF(Main[[#This Row],[Class]]="A",WORKDAY(Main[[#This Row],[Tech Start Date]],9),""))))</f>
        <v/>
      </c>
      <c r="Q516" s="129">
        <v>40400</v>
      </c>
      <c r="R516" s="129"/>
      <c r="S516" s="139" t="s">
        <v>6</v>
      </c>
      <c r="T516" s="115" t="s">
        <v>4</v>
      </c>
      <c r="U516" s="139" t="s">
        <v>7</v>
      </c>
      <c r="V516" s="139" t="s">
        <v>1914</v>
      </c>
      <c r="W516" s="139" t="s">
        <v>1916</v>
      </c>
      <c r="X516" s="139" t="s">
        <v>102</v>
      </c>
      <c r="Y516" s="112" t="s">
        <v>3032</v>
      </c>
      <c r="Z516" s="112" t="s">
        <v>129</v>
      </c>
      <c r="AA516" s="139" t="s">
        <v>3396</v>
      </c>
    </row>
    <row r="517" spans="1:27" ht="17.25" customHeight="1">
      <c r="A517" s="69" t="str">
        <f>IF(priority(Main[[#This Row],[Comments]])&lt;&gt;0, priority(Main[[#This Row],[Comments]]),"")</f>
        <v/>
      </c>
      <c r="B517" s="63" t="s">
        <v>1719</v>
      </c>
      <c r="C517" s="148" t="s">
        <v>277</v>
      </c>
      <c r="D517" s="113" t="s">
        <v>773</v>
      </c>
      <c r="E517" s="129"/>
      <c r="F517" s="129">
        <v>40680</v>
      </c>
      <c r="G517" s="69" t="str">
        <f>IF(stdProdLT(Main[[#This Row],[Comments]])=0.1,"N/A",IF(stdProdLT(Main[[#This Row],[Comments]])=0,"",stdProdLT(Main[[#This Row],[Comments]])))</f>
        <v/>
      </c>
      <c r="H517" s="138" t="str">
        <f>IF(Main[[#This Row],[In Stock Date]]="N/A", "N/A",IF(AND(Main[[#This Row],[In Stock Date]]&lt;&gt;"",Main[[#This Row],[Revised Due Date]]&lt;&gt;"",Main[[#This Row],[In Stock Date]]&lt;&gt;""),Main[[#This Row],[In Stock Date]]-Main[[#This Row],[Revised Due Date]],""))</f>
        <v/>
      </c>
      <c r="I517" s="139" t="s">
        <v>4</v>
      </c>
      <c r="J517" s="139" t="s">
        <v>28</v>
      </c>
      <c r="K517" s="139" t="s">
        <v>4</v>
      </c>
      <c r="L517" s="129"/>
      <c r="M517" s="114" t="str">
        <f>IF(Main[[#This Row],[Tech Start Date]]&lt;1/1/1990,"",IF(Main[[#This Row],[Class]]="C",WORKDAY(Main[[#This Row],[Tech Start Date]],9),IF(Main[[#This Row],[Class]]="B", WORKDAY(Main[[#This Row],[Tech Start Date]],6),IF(Main[[#This Row],[Class]]="A",WORKDAY(Main[[#This Row],[Tech Start Date]],2),""))))</f>
        <v/>
      </c>
      <c r="N517" s="114" t="str">
        <f>IF(Main[[#This Row],[Tech Start Date]]&lt;1/1/1990,"",IF(Main[[#This Row],[Class]]="C",WORKDAY(Main[[#This Row],[Tech Start Date]],19),IF(Main[[#This Row],[Class]]="B", WORKDAY(Main[[#This Row],[Tech Start Date]],12),IF(Main[[#This Row],[Class]]="A",WORKDAY(Main[[#This Row],[Tech Start Date]],4),""))))</f>
        <v/>
      </c>
      <c r="O517" s="114" t="str">
        <f>IF(Main[[#This Row],[Tech Start Date]]&lt;1/1/1990,"",IF(Main[[#This Row],[Class]]="C",WORKDAY(Main[[#This Row],[Tech Start Date]],23),IF(Main[[#This Row],[Class]]="B", WORKDAY(Main[[#This Row],[Tech Start Date]],15),IF(Main[[#This Row],[Class]]="A",WORKDAY(Main[[#This Row],[Tech Start Date]],5),""))))</f>
        <v/>
      </c>
      <c r="P517" s="114" t="str">
        <f>IF(Main[[#This Row],[Tech Start Date]]&lt;1/1/1990,"",IF(Main[[#This Row],[Class]]="C",WORKDAY(Main[[#This Row],[Tech Start Date]],28),IF(Main[[#This Row],[Class]]="B", WORKDAY(Main[[#This Row],[Tech Start Date]],19),IF(Main[[#This Row],[Class]]="A",WORKDAY(Main[[#This Row],[Tech Start Date]],9),""))))</f>
        <v/>
      </c>
      <c r="Q517" s="129">
        <v>40568</v>
      </c>
      <c r="R517" s="129"/>
      <c r="S517" s="139" t="s">
        <v>11</v>
      </c>
      <c r="T517" s="115" t="s">
        <v>774</v>
      </c>
      <c r="U517" s="139" t="s">
        <v>14</v>
      </c>
      <c r="V517" s="139" t="s">
        <v>1915</v>
      </c>
      <c r="W517" s="139" t="s">
        <v>1919</v>
      </c>
      <c r="X517" s="139" t="s">
        <v>2860</v>
      </c>
      <c r="Y517" s="112" t="s">
        <v>3004</v>
      </c>
      <c r="Z517" s="112" t="s">
        <v>4</v>
      </c>
      <c r="AA517" s="139" t="s">
        <v>2860</v>
      </c>
    </row>
    <row r="518" spans="1:27" ht="17.25" customHeight="1">
      <c r="A518" s="69" t="str">
        <f>IF(priority(Main[[#This Row],[Comments]])&lt;&gt;0, priority(Main[[#This Row],[Comments]]),"")</f>
        <v/>
      </c>
      <c r="B518" s="63" t="s">
        <v>1337</v>
      </c>
      <c r="C518" s="148" t="s">
        <v>33</v>
      </c>
      <c r="D518" s="113" t="s">
        <v>419</v>
      </c>
      <c r="E518" s="129"/>
      <c r="F518" s="129">
        <v>40266</v>
      </c>
      <c r="G518" s="69" t="str">
        <f>IF(stdProdLT(Main[[#This Row],[Comments]])=0.1,"N/A",IF(stdProdLT(Main[[#This Row],[Comments]])=0,"",stdProdLT(Main[[#This Row],[Comments]])))</f>
        <v/>
      </c>
      <c r="H518" s="138" t="str">
        <f>IF(Main[[#This Row],[In Stock Date]]="N/A", "N/A",IF(AND(Main[[#This Row],[In Stock Date]]&lt;&gt;"",Main[[#This Row],[Revised Due Date]]&lt;&gt;"",Main[[#This Row],[In Stock Date]]&lt;&gt;""),Main[[#This Row],[In Stock Date]]-Main[[#This Row],[Revised Due Date]],""))</f>
        <v/>
      </c>
      <c r="I518" s="139" t="s">
        <v>4</v>
      </c>
      <c r="J518" s="139" t="s">
        <v>4</v>
      </c>
      <c r="K518" s="139" t="s">
        <v>4</v>
      </c>
      <c r="L518" s="129"/>
      <c r="M518" s="114" t="str">
        <f>IF(Main[[#This Row],[Tech Start Date]]&lt;1/1/1990,"",IF(Main[[#This Row],[Class]]="C",WORKDAY(Main[[#This Row],[Tech Start Date]],9),IF(Main[[#This Row],[Class]]="B", WORKDAY(Main[[#This Row],[Tech Start Date]],6),IF(Main[[#This Row],[Class]]="A",WORKDAY(Main[[#This Row],[Tech Start Date]],2),""))))</f>
        <v/>
      </c>
      <c r="N518" s="114" t="str">
        <f>IF(Main[[#This Row],[Tech Start Date]]&lt;1/1/1990,"",IF(Main[[#This Row],[Class]]="C",WORKDAY(Main[[#This Row],[Tech Start Date]],19),IF(Main[[#This Row],[Class]]="B", WORKDAY(Main[[#This Row],[Tech Start Date]],12),IF(Main[[#This Row],[Class]]="A",WORKDAY(Main[[#This Row],[Tech Start Date]],4),""))))</f>
        <v/>
      </c>
      <c r="O518" s="114" t="str">
        <f>IF(Main[[#This Row],[Tech Start Date]]&lt;1/1/1990,"",IF(Main[[#This Row],[Class]]="C",WORKDAY(Main[[#This Row],[Tech Start Date]],23),IF(Main[[#This Row],[Class]]="B", WORKDAY(Main[[#This Row],[Tech Start Date]],15),IF(Main[[#This Row],[Class]]="A",WORKDAY(Main[[#This Row],[Tech Start Date]],5),""))))</f>
        <v/>
      </c>
      <c r="P518" s="114" t="str">
        <f>IF(Main[[#This Row],[Tech Start Date]]&lt;1/1/1990,"",IF(Main[[#This Row],[Class]]="C",WORKDAY(Main[[#This Row],[Tech Start Date]],28),IF(Main[[#This Row],[Class]]="B", WORKDAY(Main[[#This Row],[Tech Start Date]],19),IF(Main[[#This Row],[Class]]="A",WORKDAY(Main[[#This Row],[Tech Start Date]],9),""))))</f>
        <v/>
      </c>
      <c r="Q518" s="129">
        <v>40266</v>
      </c>
      <c r="R518" s="129"/>
      <c r="S518" s="139" t="s">
        <v>11</v>
      </c>
      <c r="T518" s="115" t="s">
        <v>4</v>
      </c>
      <c r="U518" s="139" t="s">
        <v>14</v>
      </c>
      <c r="V518" s="139" t="s">
        <v>1917</v>
      </c>
      <c r="W518" s="139" t="s">
        <v>1919</v>
      </c>
      <c r="X518" s="139" t="s">
        <v>2850</v>
      </c>
      <c r="Y518" s="112" t="s">
        <v>4</v>
      </c>
      <c r="Z518" s="112" t="s">
        <v>4</v>
      </c>
      <c r="AA518" s="139" t="s">
        <v>2850</v>
      </c>
    </row>
    <row r="519" spans="1:27" ht="17.25" customHeight="1">
      <c r="A519" s="69" t="str">
        <f>IF(priority(Main[[#This Row],[Comments]])&lt;&gt;0, priority(Main[[#This Row],[Comments]]),"")</f>
        <v/>
      </c>
      <c r="B519" s="63" t="s">
        <v>1393</v>
      </c>
      <c r="C519" s="148" t="s">
        <v>93</v>
      </c>
      <c r="D519" s="113" t="s">
        <v>420</v>
      </c>
      <c r="E519" s="129"/>
      <c r="F519" s="129">
        <v>40269</v>
      </c>
      <c r="G519" s="69" t="str">
        <f>IF(stdProdLT(Main[[#This Row],[Comments]])=0.1,"N/A",IF(stdProdLT(Main[[#This Row],[Comments]])=0,"",stdProdLT(Main[[#This Row],[Comments]])))</f>
        <v/>
      </c>
      <c r="H519" s="138" t="str">
        <f>IF(Main[[#This Row],[In Stock Date]]="N/A", "N/A",IF(AND(Main[[#This Row],[In Stock Date]]&lt;&gt;"",Main[[#This Row],[Revised Due Date]]&lt;&gt;"",Main[[#This Row],[In Stock Date]]&lt;&gt;""),Main[[#This Row],[In Stock Date]]-Main[[#This Row],[Revised Due Date]],""))</f>
        <v/>
      </c>
      <c r="I519" s="139" t="s">
        <v>4</v>
      </c>
      <c r="J519" s="139" t="s">
        <v>4</v>
      </c>
      <c r="K519" s="139" t="s">
        <v>4</v>
      </c>
      <c r="L519" s="129"/>
      <c r="M519" s="114" t="str">
        <f>IF(Main[[#This Row],[Tech Start Date]]&lt;1/1/1990,"",IF(Main[[#This Row],[Class]]="C",WORKDAY(Main[[#This Row],[Tech Start Date]],9),IF(Main[[#This Row],[Class]]="B", WORKDAY(Main[[#This Row],[Tech Start Date]],6),IF(Main[[#This Row],[Class]]="A",WORKDAY(Main[[#This Row],[Tech Start Date]],2),""))))</f>
        <v/>
      </c>
      <c r="N519" s="114" t="str">
        <f>IF(Main[[#This Row],[Tech Start Date]]&lt;1/1/1990,"",IF(Main[[#This Row],[Class]]="C",WORKDAY(Main[[#This Row],[Tech Start Date]],19),IF(Main[[#This Row],[Class]]="B", WORKDAY(Main[[#This Row],[Tech Start Date]],12),IF(Main[[#This Row],[Class]]="A",WORKDAY(Main[[#This Row],[Tech Start Date]],4),""))))</f>
        <v/>
      </c>
      <c r="O519" s="114" t="str">
        <f>IF(Main[[#This Row],[Tech Start Date]]&lt;1/1/1990,"",IF(Main[[#This Row],[Class]]="C",WORKDAY(Main[[#This Row],[Tech Start Date]],23),IF(Main[[#This Row],[Class]]="B", WORKDAY(Main[[#This Row],[Tech Start Date]],15),IF(Main[[#This Row],[Class]]="A",WORKDAY(Main[[#This Row],[Tech Start Date]],5),""))))</f>
        <v/>
      </c>
      <c r="P519" s="114" t="str">
        <f>IF(Main[[#This Row],[Tech Start Date]]&lt;1/1/1990,"",IF(Main[[#This Row],[Class]]="C",WORKDAY(Main[[#This Row],[Tech Start Date]],28),IF(Main[[#This Row],[Class]]="B", WORKDAY(Main[[#This Row],[Tech Start Date]],19),IF(Main[[#This Row],[Class]]="A",WORKDAY(Main[[#This Row],[Tech Start Date]],9),""))))</f>
        <v/>
      </c>
      <c r="Q519" s="129">
        <v>40185</v>
      </c>
      <c r="R519" s="129"/>
      <c r="S519" s="139" t="s">
        <v>11</v>
      </c>
      <c r="T519" s="115" t="s">
        <v>4</v>
      </c>
      <c r="U519" s="139" t="s">
        <v>12</v>
      </c>
      <c r="V519" s="139" t="s">
        <v>1924</v>
      </c>
      <c r="W519" s="139" t="s">
        <v>1925</v>
      </c>
      <c r="X519" s="139" t="s">
        <v>2845</v>
      </c>
      <c r="Y519" s="112" t="s">
        <v>4</v>
      </c>
      <c r="Z519" s="112" t="s">
        <v>4</v>
      </c>
      <c r="AA519" s="139" t="s">
        <v>2845</v>
      </c>
    </row>
    <row r="520" spans="1:27" ht="17.25" customHeight="1">
      <c r="A520" s="69" t="str">
        <f>IF(priority(Main[[#This Row],[Comments]])&lt;&gt;0, priority(Main[[#This Row],[Comments]]),"")</f>
        <v/>
      </c>
      <c r="B520" s="63" t="s">
        <v>1394</v>
      </c>
      <c r="C520" s="148" t="s">
        <v>169</v>
      </c>
      <c r="D520" s="113" t="s">
        <v>421</v>
      </c>
      <c r="E520" s="129"/>
      <c r="F520" s="129">
        <v>40237</v>
      </c>
      <c r="G520" s="69" t="str">
        <f>IF(stdProdLT(Main[[#This Row],[Comments]])=0.1,"N/A",IF(stdProdLT(Main[[#This Row],[Comments]])=0,"",stdProdLT(Main[[#This Row],[Comments]])))</f>
        <v/>
      </c>
      <c r="H520" s="138" t="str">
        <f>IF(Main[[#This Row],[In Stock Date]]="N/A", "N/A",IF(AND(Main[[#This Row],[In Stock Date]]&lt;&gt;"",Main[[#This Row],[Revised Due Date]]&lt;&gt;"",Main[[#This Row],[In Stock Date]]&lt;&gt;""),Main[[#This Row],[In Stock Date]]-Main[[#This Row],[Revised Due Date]],""))</f>
        <v/>
      </c>
      <c r="I520" s="139" t="s">
        <v>4</v>
      </c>
      <c r="J520" s="139" t="s">
        <v>4</v>
      </c>
      <c r="K520" s="139" t="s">
        <v>4</v>
      </c>
      <c r="L520" s="129"/>
      <c r="M520" s="114" t="str">
        <f>IF(Main[[#This Row],[Tech Start Date]]&lt;1/1/1990,"",IF(Main[[#This Row],[Class]]="C",WORKDAY(Main[[#This Row],[Tech Start Date]],9),IF(Main[[#This Row],[Class]]="B", WORKDAY(Main[[#This Row],[Tech Start Date]],6),IF(Main[[#This Row],[Class]]="A",WORKDAY(Main[[#This Row],[Tech Start Date]],2),""))))</f>
        <v/>
      </c>
      <c r="N520" s="114" t="str">
        <f>IF(Main[[#This Row],[Tech Start Date]]&lt;1/1/1990,"",IF(Main[[#This Row],[Class]]="C",WORKDAY(Main[[#This Row],[Tech Start Date]],19),IF(Main[[#This Row],[Class]]="B", WORKDAY(Main[[#This Row],[Tech Start Date]],12),IF(Main[[#This Row],[Class]]="A",WORKDAY(Main[[#This Row],[Tech Start Date]],4),""))))</f>
        <v/>
      </c>
      <c r="O520" s="114" t="str">
        <f>IF(Main[[#This Row],[Tech Start Date]]&lt;1/1/1990,"",IF(Main[[#This Row],[Class]]="C",WORKDAY(Main[[#This Row],[Tech Start Date]],23),IF(Main[[#This Row],[Class]]="B", WORKDAY(Main[[#This Row],[Tech Start Date]],15),IF(Main[[#This Row],[Class]]="A",WORKDAY(Main[[#This Row],[Tech Start Date]],5),""))))</f>
        <v/>
      </c>
      <c r="P520" s="114" t="str">
        <f>IF(Main[[#This Row],[Tech Start Date]]&lt;1/1/1990,"",IF(Main[[#This Row],[Class]]="C",WORKDAY(Main[[#This Row],[Tech Start Date]],28),IF(Main[[#This Row],[Class]]="B", WORKDAY(Main[[#This Row],[Tech Start Date]],19),IF(Main[[#This Row],[Class]]="A",WORKDAY(Main[[#This Row],[Tech Start Date]],9),""))))</f>
        <v/>
      </c>
      <c r="Q520" s="129">
        <v>40132</v>
      </c>
      <c r="R520" s="129"/>
      <c r="S520" s="139" t="s">
        <v>11</v>
      </c>
      <c r="T520" s="115" t="s">
        <v>4</v>
      </c>
      <c r="U520" s="139" t="s">
        <v>14</v>
      </c>
      <c r="V520" s="139" t="s">
        <v>1914</v>
      </c>
      <c r="W520" s="139" t="s">
        <v>1919</v>
      </c>
      <c r="X520" s="139" t="s">
        <v>2858</v>
      </c>
      <c r="Y520" s="112" t="s">
        <v>4</v>
      </c>
      <c r="Z520" s="112" t="s">
        <v>4</v>
      </c>
      <c r="AA520" s="139" t="s">
        <v>2858</v>
      </c>
    </row>
    <row r="521" spans="1:27" ht="17.25" customHeight="1">
      <c r="A521" s="69" t="str">
        <f>IF(priority(Main[[#This Row],[Comments]])&lt;&gt;0, priority(Main[[#This Row],[Comments]]),"")</f>
        <v/>
      </c>
      <c r="B521" s="63" t="s">
        <v>1395</v>
      </c>
      <c r="C521" s="148" t="s">
        <v>93</v>
      </c>
      <c r="D521" s="113" t="s">
        <v>422</v>
      </c>
      <c r="E521" s="129"/>
      <c r="F521" s="129">
        <v>40144</v>
      </c>
      <c r="G521" s="69" t="str">
        <f>IF(stdProdLT(Main[[#This Row],[Comments]])=0.1,"N/A",IF(stdProdLT(Main[[#This Row],[Comments]])=0,"",stdProdLT(Main[[#This Row],[Comments]])))</f>
        <v/>
      </c>
      <c r="H521" s="138" t="str">
        <f>IF(Main[[#This Row],[In Stock Date]]="N/A", "N/A",IF(AND(Main[[#This Row],[In Stock Date]]&lt;&gt;"",Main[[#This Row],[Revised Due Date]]&lt;&gt;"",Main[[#This Row],[In Stock Date]]&lt;&gt;""),Main[[#This Row],[In Stock Date]]-Main[[#This Row],[Revised Due Date]],""))</f>
        <v/>
      </c>
      <c r="I521" s="139" t="s">
        <v>4</v>
      </c>
      <c r="J521" s="139" t="s">
        <v>4</v>
      </c>
      <c r="K521" s="139" t="s">
        <v>4</v>
      </c>
      <c r="L521" s="129"/>
      <c r="M521" s="114" t="str">
        <f>IF(Main[[#This Row],[Tech Start Date]]&lt;1/1/1990,"",IF(Main[[#This Row],[Class]]="C",WORKDAY(Main[[#This Row],[Tech Start Date]],9),IF(Main[[#This Row],[Class]]="B", WORKDAY(Main[[#This Row],[Tech Start Date]],6),IF(Main[[#This Row],[Class]]="A",WORKDAY(Main[[#This Row],[Tech Start Date]],2),""))))</f>
        <v/>
      </c>
      <c r="N521" s="114" t="str">
        <f>IF(Main[[#This Row],[Tech Start Date]]&lt;1/1/1990,"",IF(Main[[#This Row],[Class]]="C",WORKDAY(Main[[#This Row],[Tech Start Date]],19),IF(Main[[#This Row],[Class]]="B", WORKDAY(Main[[#This Row],[Tech Start Date]],12),IF(Main[[#This Row],[Class]]="A",WORKDAY(Main[[#This Row],[Tech Start Date]],4),""))))</f>
        <v/>
      </c>
      <c r="O521" s="114" t="str">
        <f>IF(Main[[#This Row],[Tech Start Date]]&lt;1/1/1990,"",IF(Main[[#This Row],[Class]]="C",WORKDAY(Main[[#This Row],[Tech Start Date]],23),IF(Main[[#This Row],[Class]]="B", WORKDAY(Main[[#This Row],[Tech Start Date]],15),IF(Main[[#This Row],[Class]]="A",WORKDAY(Main[[#This Row],[Tech Start Date]],5),""))))</f>
        <v/>
      </c>
      <c r="P521" s="114" t="str">
        <f>IF(Main[[#This Row],[Tech Start Date]]&lt;1/1/1990,"",IF(Main[[#This Row],[Class]]="C",WORKDAY(Main[[#This Row],[Tech Start Date]],28),IF(Main[[#This Row],[Class]]="B", WORKDAY(Main[[#This Row],[Tech Start Date]],19),IF(Main[[#This Row],[Class]]="A",WORKDAY(Main[[#This Row],[Tech Start Date]],9),""))))</f>
        <v/>
      </c>
      <c r="Q521" s="129">
        <v>40144</v>
      </c>
      <c r="R521" s="129"/>
      <c r="S521" s="139" t="s">
        <v>11</v>
      </c>
      <c r="T521" s="115" t="s">
        <v>4</v>
      </c>
      <c r="U521" s="139" t="s">
        <v>14</v>
      </c>
      <c r="V521" s="139" t="s">
        <v>1917</v>
      </c>
      <c r="W521" s="139" t="s">
        <v>1925</v>
      </c>
      <c r="X521" s="139" t="s">
        <v>2856</v>
      </c>
      <c r="Y521" s="112" t="s">
        <v>4</v>
      </c>
      <c r="Z521" s="112" t="s">
        <v>4</v>
      </c>
      <c r="AA521" s="139" t="s">
        <v>2856</v>
      </c>
    </row>
    <row r="522" spans="1:27" ht="17.25" customHeight="1">
      <c r="A522" s="69" t="str">
        <f>IF(priority(Main[[#This Row],[Comments]])&lt;&gt;0, priority(Main[[#This Row],[Comments]]),"")</f>
        <v/>
      </c>
      <c r="B522" s="63" t="s">
        <v>1338</v>
      </c>
      <c r="C522" s="148" t="s">
        <v>93</v>
      </c>
      <c r="D522" s="113" t="s">
        <v>423</v>
      </c>
      <c r="E522" s="129"/>
      <c r="F522" s="129">
        <v>40162</v>
      </c>
      <c r="G522" s="69" t="str">
        <f>IF(stdProdLT(Main[[#This Row],[Comments]])=0.1,"N/A",IF(stdProdLT(Main[[#This Row],[Comments]])=0,"",stdProdLT(Main[[#This Row],[Comments]])))</f>
        <v/>
      </c>
      <c r="H522" s="138" t="str">
        <f>IF(Main[[#This Row],[In Stock Date]]="N/A", "N/A",IF(AND(Main[[#This Row],[In Stock Date]]&lt;&gt;"",Main[[#This Row],[Revised Due Date]]&lt;&gt;"",Main[[#This Row],[In Stock Date]]&lt;&gt;""),Main[[#This Row],[In Stock Date]]-Main[[#This Row],[Revised Due Date]],""))</f>
        <v/>
      </c>
      <c r="I522" s="139" t="s">
        <v>4</v>
      </c>
      <c r="J522" s="139" t="s">
        <v>4</v>
      </c>
      <c r="K522" s="139" t="s">
        <v>4</v>
      </c>
      <c r="L522" s="129"/>
      <c r="M522" s="114" t="str">
        <f>IF(Main[[#This Row],[Tech Start Date]]&lt;1/1/1990,"",IF(Main[[#This Row],[Class]]="C",WORKDAY(Main[[#This Row],[Tech Start Date]],9),IF(Main[[#This Row],[Class]]="B", WORKDAY(Main[[#This Row],[Tech Start Date]],6),IF(Main[[#This Row],[Class]]="A",WORKDAY(Main[[#This Row],[Tech Start Date]],2),""))))</f>
        <v/>
      </c>
      <c r="N522" s="114" t="str">
        <f>IF(Main[[#This Row],[Tech Start Date]]&lt;1/1/1990,"",IF(Main[[#This Row],[Class]]="C",WORKDAY(Main[[#This Row],[Tech Start Date]],19),IF(Main[[#This Row],[Class]]="B", WORKDAY(Main[[#This Row],[Tech Start Date]],12),IF(Main[[#This Row],[Class]]="A",WORKDAY(Main[[#This Row],[Tech Start Date]],4),""))))</f>
        <v/>
      </c>
      <c r="O522" s="114" t="str">
        <f>IF(Main[[#This Row],[Tech Start Date]]&lt;1/1/1990,"",IF(Main[[#This Row],[Class]]="C",WORKDAY(Main[[#This Row],[Tech Start Date]],23),IF(Main[[#This Row],[Class]]="B", WORKDAY(Main[[#This Row],[Tech Start Date]],15),IF(Main[[#This Row],[Class]]="A",WORKDAY(Main[[#This Row],[Tech Start Date]],5),""))))</f>
        <v/>
      </c>
      <c r="P522" s="114" t="str">
        <f>IF(Main[[#This Row],[Tech Start Date]]&lt;1/1/1990,"",IF(Main[[#This Row],[Class]]="C",WORKDAY(Main[[#This Row],[Tech Start Date]],28),IF(Main[[#This Row],[Class]]="B", WORKDAY(Main[[#This Row],[Tech Start Date]],19),IF(Main[[#This Row],[Class]]="A",WORKDAY(Main[[#This Row],[Tech Start Date]],9),""))))</f>
        <v/>
      </c>
      <c r="Q522" s="129">
        <v>40127</v>
      </c>
      <c r="R522" s="129"/>
      <c r="S522" s="139" t="s">
        <v>11</v>
      </c>
      <c r="T522" s="115" t="s">
        <v>4</v>
      </c>
      <c r="U522" s="139" t="s">
        <v>14</v>
      </c>
      <c r="V522" s="139" t="s">
        <v>1924</v>
      </c>
      <c r="W522" s="139" t="s">
        <v>1925</v>
      </c>
      <c r="X522" s="139" t="s">
        <v>2845</v>
      </c>
      <c r="Y522" s="112" t="s">
        <v>4</v>
      </c>
      <c r="Z522" s="112" t="s">
        <v>4</v>
      </c>
      <c r="AA522" s="139" t="s">
        <v>2845</v>
      </c>
    </row>
    <row r="523" spans="1:27" ht="17.25" customHeight="1">
      <c r="A523" s="69" t="str">
        <f>IF(priority(Main[[#This Row],[Comments]])&lt;&gt;0, priority(Main[[#This Row],[Comments]]),"")</f>
        <v/>
      </c>
      <c r="B523" s="63" t="s">
        <v>1339</v>
      </c>
      <c r="C523" s="148" t="s">
        <v>424</v>
      </c>
      <c r="D523" s="113" t="s">
        <v>425</v>
      </c>
      <c r="E523" s="129"/>
      <c r="F523" s="129">
        <v>40179</v>
      </c>
      <c r="G523" s="69" t="str">
        <f>IF(stdProdLT(Main[[#This Row],[Comments]])=0.1,"N/A",IF(stdProdLT(Main[[#This Row],[Comments]])=0,"",stdProdLT(Main[[#This Row],[Comments]])))</f>
        <v/>
      </c>
      <c r="H523" s="138" t="str">
        <f>IF(Main[[#This Row],[In Stock Date]]="N/A", "N/A",IF(AND(Main[[#This Row],[In Stock Date]]&lt;&gt;"",Main[[#This Row],[Revised Due Date]]&lt;&gt;"",Main[[#This Row],[In Stock Date]]&lt;&gt;""),Main[[#This Row],[In Stock Date]]-Main[[#This Row],[Revised Due Date]],""))</f>
        <v/>
      </c>
      <c r="I523" s="139" t="s">
        <v>4</v>
      </c>
      <c r="J523" s="139" t="s">
        <v>4</v>
      </c>
      <c r="K523" s="140" t="s">
        <v>4</v>
      </c>
      <c r="L523" s="129"/>
      <c r="M523" s="114" t="str">
        <f>IF(Main[[#This Row],[Tech Start Date]]&lt;1/1/1990,"",IF(Main[[#This Row],[Class]]="C",WORKDAY(Main[[#This Row],[Tech Start Date]],9),IF(Main[[#This Row],[Class]]="B", WORKDAY(Main[[#This Row],[Tech Start Date]],6),IF(Main[[#This Row],[Class]]="A",WORKDAY(Main[[#This Row],[Tech Start Date]],2),""))))</f>
        <v/>
      </c>
      <c r="N523" s="114" t="str">
        <f>IF(Main[[#This Row],[Tech Start Date]]&lt;1/1/1990,"",IF(Main[[#This Row],[Class]]="C",WORKDAY(Main[[#This Row],[Tech Start Date]],19),IF(Main[[#This Row],[Class]]="B", WORKDAY(Main[[#This Row],[Tech Start Date]],12),IF(Main[[#This Row],[Class]]="A",WORKDAY(Main[[#This Row],[Tech Start Date]],4),""))))</f>
        <v/>
      </c>
      <c r="O523" s="114" t="str">
        <f>IF(Main[[#This Row],[Tech Start Date]]&lt;1/1/1990,"",IF(Main[[#This Row],[Class]]="C",WORKDAY(Main[[#This Row],[Tech Start Date]],23),IF(Main[[#This Row],[Class]]="B", WORKDAY(Main[[#This Row],[Tech Start Date]],15),IF(Main[[#This Row],[Class]]="A",WORKDAY(Main[[#This Row],[Tech Start Date]],5),""))))</f>
        <v/>
      </c>
      <c r="P523" s="114" t="str">
        <f>IF(Main[[#This Row],[Tech Start Date]]&lt;1/1/1990,"",IF(Main[[#This Row],[Class]]="C",WORKDAY(Main[[#This Row],[Tech Start Date]],28),IF(Main[[#This Row],[Class]]="B", WORKDAY(Main[[#This Row],[Tech Start Date]],19),IF(Main[[#This Row],[Class]]="A",WORKDAY(Main[[#This Row],[Tech Start Date]],9),""))))</f>
        <v/>
      </c>
      <c r="Q523" s="129">
        <v>40179</v>
      </c>
      <c r="R523" s="129"/>
      <c r="S523" s="139" t="s">
        <v>11</v>
      </c>
      <c r="T523" s="115" t="s">
        <v>4</v>
      </c>
      <c r="U523" s="139" t="s">
        <v>14</v>
      </c>
      <c r="V523" s="139" t="s">
        <v>1914</v>
      </c>
      <c r="W523" s="139" t="s">
        <v>1919</v>
      </c>
      <c r="X523" s="139" t="s">
        <v>2854</v>
      </c>
      <c r="Y523" s="112" t="s">
        <v>4</v>
      </c>
      <c r="Z523" s="112" t="s">
        <v>4</v>
      </c>
      <c r="AA523" s="139" t="s">
        <v>2854</v>
      </c>
    </row>
    <row r="524" spans="1:27" ht="17.25" customHeight="1">
      <c r="A524" s="69" t="str">
        <f>IF(priority(Main[[#This Row],[Comments]])&lt;&gt;0, priority(Main[[#This Row],[Comments]]),"")</f>
        <v/>
      </c>
      <c r="B524" s="63" t="s">
        <v>1340</v>
      </c>
      <c r="C524" s="148" t="s">
        <v>197</v>
      </c>
      <c r="D524" s="113" t="s">
        <v>426</v>
      </c>
      <c r="E524" s="129"/>
      <c r="F524" s="129"/>
      <c r="G524" s="69" t="str">
        <f>IF(stdProdLT(Main[[#This Row],[Comments]])=0.1,"N/A",IF(stdProdLT(Main[[#This Row],[Comments]])=0,"",stdProdLT(Main[[#This Row],[Comments]])))</f>
        <v/>
      </c>
      <c r="H524" s="138" t="str">
        <f>IF(Main[[#This Row],[In Stock Date]]="N/A", "N/A",IF(AND(Main[[#This Row],[In Stock Date]]&lt;&gt;"",Main[[#This Row],[Revised Due Date]]&lt;&gt;"",Main[[#This Row],[In Stock Date]]&lt;&gt;""),Main[[#This Row],[In Stock Date]]-Main[[#This Row],[Revised Due Date]],""))</f>
        <v/>
      </c>
      <c r="I524" s="139" t="s">
        <v>4</v>
      </c>
      <c r="J524" s="139" t="s">
        <v>4</v>
      </c>
      <c r="K524" s="139" t="s">
        <v>4</v>
      </c>
      <c r="L524" s="129"/>
      <c r="M524" s="114" t="str">
        <f>IF(Main[[#This Row],[Tech Start Date]]&lt;1/1/1990,"",IF(Main[[#This Row],[Class]]="C",WORKDAY(Main[[#This Row],[Tech Start Date]],9),IF(Main[[#This Row],[Class]]="B", WORKDAY(Main[[#This Row],[Tech Start Date]],6),IF(Main[[#This Row],[Class]]="A",WORKDAY(Main[[#This Row],[Tech Start Date]],2),""))))</f>
        <v/>
      </c>
      <c r="N524" s="114" t="str">
        <f>IF(Main[[#This Row],[Tech Start Date]]&lt;1/1/1990,"",IF(Main[[#This Row],[Class]]="C",WORKDAY(Main[[#This Row],[Tech Start Date]],19),IF(Main[[#This Row],[Class]]="B", WORKDAY(Main[[#This Row],[Tech Start Date]],12),IF(Main[[#This Row],[Class]]="A",WORKDAY(Main[[#This Row],[Tech Start Date]],4),""))))</f>
        <v/>
      </c>
      <c r="O524" s="114" t="str">
        <f>IF(Main[[#This Row],[Tech Start Date]]&lt;1/1/1990,"",IF(Main[[#This Row],[Class]]="C",WORKDAY(Main[[#This Row],[Tech Start Date]],23),IF(Main[[#This Row],[Class]]="B", WORKDAY(Main[[#This Row],[Tech Start Date]],15),IF(Main[[#This Row],[Class]]="A",WORKDAY(Main[[#This Row],[Tech Start Date]],5),""))))</f>
        <v/>
      </c>
      <c r="P524" s="114" t="str">
        <f>IF(Main[[#This Row],[Tech Start Date]]&lt;1/1/1990,"",IF(Main[[#This Row],[Class]]="C",WORKDAY(Main[[#This Row],[Tech Start Date]],28),IF(Main[[#This Row],[Class]]="B", WORKDAY(Main[[#This Row],[Tech Start Date]],19),IF(Main[[#This Row],[Class]]="A",WORKDAY(Main[[#This Row],[Tech Start Date]],9),""))))</f>
        <v/>
      </c>
      <c r="Q524" s="129">
        <v>40165</v>
      </c>
      <c r="R524" s="129"/>
      <c r="S524" s="139" t="s">
        <v>11</v>
      </c>
      <c r="T524" s="115" t="s">
        <v>4</v>
      </c>
      <c r="U524" s="139" t="s">
        <v>14</v>
      </c>
      <c r="V524" s="139" t="s">
        <v>1924</v>
      </c>
      <c r="W524" s="139" t="s">
        <v>1920</v>
      </c>
      <c r="X524" s="139" t="s">
        <v>883</v>
      </c>
      <c r="Y524" s="112" t="s">
        <v>2963</v>
      </c>
      <c r="Z524" s="112" t="s">
        <v>4</v>
      </c>
      <c r="AA524" s="139" t="s">
        <v>883</v>
      </c>
    </row>
    <row r="525" spans="1:27" ht="17.25" customHeight="1">
      <c r="A525" s="69" t="str">
        <f>IF(priority(Main[[#This Row],[Comments]])&lt;&gt;0, priority(Main[[#This Row],[Comments]]),"")</f>
        <v/>
      </c>
      <c r="B525" s="63" t="s">
        <v>1341</v>
      </c>
      <c r="C525" s="148" t="s">
        <v>4</v>
      </c>
      <c r="D525" s="113" t="s">
        <v>427</v>
      </c>
      <c r="E525" s="129"/>
      <c r="F525" s="129"/>
      <c r="G525" s="69" t="str">
        <f>IF(stdProdLT(Main[[#This Row],[Comments]])=0.1,"N/A",IF(stdProdLT(Main[[#This Row],[Comments]])=0,"",stdProdLT(Main[[#This Row],[Comments]])))</f>
        <v/>
      </c>
      <c r="H525" s="138" t="str">
        <f>IF(Main[[#This Row],[In Stock Date]]="N/A", "N/A",IF(AND(Main[[#This Row],[In Stock Date]]&lt;&gt;"",Main[[#This Row],[Revised Due Date]]&lt;&gt;"",Main[[#This Row],[In Stock Date]]&lt;&gt;""),Main[[#This Row],[In Stock Date]]-Main[[#This Row],[Revised Due Date]],""))</f>
        <v/>
      </c>
      <c r="I525" s="139" t="s">
        <v>4</v>
      </c>
      <c r="J525" s="139" t="s">
        <v>4</v>
      </c>
      <c r="K525" s="139" t="s">
        <v>4</v>
      </c>
      <c r="L525" s="129"/>
      <c r="M525" s="114" t="str">
        <f>IF(Main[[#This Row],[Tech Start Date]]&lt;1/1/1990,"",IF(Main[[#This Row],[Class]]="C",WORKDAY(Main[[#This Row],[Tech Start Date]],9),IF(Main[[#This Row],[Class]]="B", WORKDAY(Main[[#This Row],[Tech Start Date]],6),IF(Main[[#This Row],[Class]]="A",WORKDAY(Main[[#This Row],[Tech Start Date]],2),""))))</f>
        <v/>
      </c>
      <c r="N525" s="114" t="str">
        <f>IF(Main[[#This Row],[Tech Start Date]]&lt;1/1/1990,"",IF(Main[[#This Row],[Class]]="C",WORKDAY(Main[[#This Row],[Tech Start Date]],19),IF(Main[[#This Row],[Class]]="B", WORKDAY(Main[[#This Row],[Tech Start Date]],12),IF(Main[[#This Row],[Class]]="A",WORKDAY(Main[[#This Row],[Tech Start Date]],4),""))))</f>
        <v/>
      </c>
      <c r="O525" s="114" t="str">
        <f>IF(Main[[#This Row],[Tech Start Date]]&lt;1/1/1990,"",IF(Main[[#This Row],[Class]]="C",WORKDAY(Main[[#This Row],[Tech Start Date]],23),IF(Main[[#This Row],[Class]]="B", WORKDAY(Main[[#This Row],[Tech Start Date]],15),IF(Main[[#This Row],[Class]]="A",WORKDAY(Main[[#This Row],[Tech Start Date]],5),""))))</f>
        <v/>
      </c>
      <c r="P525" s="114" t="str">
        <f>IF(Main[[#This Row],[Tech Start Date]]&lt;1/1/1990,"",IF(Main[[#This Row],[Class]]="C",WORKDAY(Main[[#This Row],[Tech Start Date]],28),IF(Main[[#This Row],[Class]]="B", WORKDAY(Main[[#This Row],[Tech Start Date]],19),IF(Main[[#This Row],[Class]]="A",WORKDAY(Main[[#This Row],[Tech Start Date]],9),""))))</f>
        <v/>
      </c>
      <c r="Q525" s="129"/>
      <c r="R525" s="129"/>
      <c r="S525" s="139" t="s">
        <v>6</v>
      </c>
      <c r="T525" s="115" t="s">
        <v>4</v>
      </c>
      <c r="U525" s="139" t="s">
        <v>12</v>
      </c>
      <c r="V525" s="139" t="s">
        <v>1914</v>
      </c>
      <c r="W525" s="139" t="s">
        <v>4</v>
      </c>
      <c r="X525" s="139" t="s">
        <v>912</v>
      </c>
      <c r="Y525" s="112" t="s">
        <v>4</v>
      </c>
      <c r="Z525" s="112" t="s">
        <v>4</v>
      </c>
      <c r="AA525" s="139" t="s">
        <v>4</v>
      </c>
    </row>
    <row r="526" spans="1:27" ht="17.25" customHeight="1">
      <c r="A526" s="69" t="str">
        <f>IF(priority(Main[[#This Row],[Comments]])&lt;&gt;0, priority(Main[[#This Row],[Comments]]),"")</f>
        <v/>
      </c>
      <c r="B526" s="63" t="s">
        <v>1342</v>
      </c>
      <c r="C526" s="148" t="s">
        <v>4</v>
      </c>
      <c r="D526" s="113" t="s">
        <v>428</v>
      </c>
      <c r="E526" s="129">
        <v>40367.39403935185</v>
      </c>
      <c r="F526" s="129"/>
      <c r="G526" s="69" t="str">
        <f>IF(stdProdLT(Main[[#This Row],[Comments]])=0.1,"N/A",IF(stdProdLT(Main[[#This Row],[Comments]])=0,"",stdProdLT(Main[[#This Row],[Comments]])))</f>
        <v/>
      </c>
      <c r="H526" s="138" t="str">
        <f>IF(Main[[#This Row],[In Stock Date]]="N/A", "N/A",IF(AND(Main[[#This Row],[In Stock Date]]&lt;&gt;"",Main[[#This Row],[Revised Due Date]]&lt;&gt;"",Main[[#This Row],[In Stock Date]]&lt;&gt;""),Main[[#This Row],[In Stock Date]]-Main[[#This Row],[Revised Due Date]],""))</f>
        <v/>
      </c>
      <c r="I526" s="139" t="s">
        <v>126</v>
      </c>
      <c r="J526" s="139" t="s">
        <v>28</v>
      </c>
      <c r="K526" s="139" t="s">
        <v>1923</v>
      </c>
      <c r="L526" s="129"/>
      <c r="M526" s="114" t="str">
        <f>IF(Main[[#This Row],[Tech Start Date]]&lt;1/1/1990,"",IF(Main[[#This Row],[Class]]="C",WORKDAY(Main[[#This Row],[Tech Start Date]],9),IF(Main[[#This Row],[Class]]="B", WORKDAY(Main[[#This Row],[Tech Start Date]],6),IF(Main[[#This Row],[Class]]="A",WORKDAY(Main[[#This Row],[Tech Start Date]],2),""))))</f>
        <v/>
      </c>
      <c r="N526" s="114" t="str">
        <f>IF(Main[[#This Row],[Tech Start Date]]&lt;1/1/1990,"",IF(Main[[#This Row],[Class]]="C",WORKDAY(Main[[#This Row],[Tech Start Date]],19),IF(Main[[#This Row],[Class]]="B", WORKDAY(Main[[#This Row],[Tech Start Date]],12),IF(Main[[#This Row],[Class]]="A",WORKDAY(Main[[#This Row],[Tech Start Date]],4),""))))</f>
        <v/>
      </c>
      <c r="O526" s="114" t="str">
        <f>IF(Main[[#This Row],[Tech Start Date]]&lt;1/1/1990,"",IF(Main[[#This Row],[Class]]="C",WORKDAY(Main[[#This Row],[Tech Start Date]],23),IF(Main[[#This Row],[Class]]="B", WORKDAY(Main[[#This Row],[Tech Start Date]],15),IF(Main[[#This Row],[Class]]="A",WORKDAY(Main[[#This Row],[Tech Start Date]],5),""))))</f>
        <v/>
      </c>
      <c r="P526" s="114" t="str">
        <f>IF(Main[[#This Row],[Tech Start Date]]&lt;1/1/1990,"",IF(Main[[#This Row],[Class]]="C",WORKDAY(Main[[#This Row],[Tech Start Date]],28),IF(Main[[#This Row],[Class]]="B", WORKDAY(Main[[#This Row],[Tech Start Date]],19),IF(Main[[#This Row],[Class]]="A",WORKDAY(Main[[#This Row],[Tech Start Date]],9),""))))</f>
        <v/>
      </c>
      <c r="Q526" s="129">
        <v>40405</v>
      </c>
      <c r="R526" s="129"/>
      <c r="S526" s="139" t="s">
        <v>6</v>
      </c>
      <c r="T526" s="115" t="s">
        <v>4</v>
      </c>
      <c r="U526" s="139" t="s">
        <v>29</v>
      </c>
      <c r="V526" s="139" t="s">
        <v>1914</v>
      </c>
      <c r="W526" s="139" t="s">
        <v>1922</v>
      </c>
      <c r="X526" s="139" t="s">
        <v>2052</v>
      </c>
      <c r="Y526" s="112" t="s">
        <v>2972</v>
      </c>
      <c r="Z526" s="112" t="s">
        <v>129</v>
      </c>
      <c r="AA526" s="139" t="s">
        <v>2052</v>
      </c>
    </row>
    <row r="527" spans="1:27" ht="17.25" customHeight="1">
      <c r="A527" s="69" t="str">
        <f>IF(priority(Main[[#This Row],[Comments]])&lt;&gt;0, priority(Main[[#This Row],[Comments]]),"")</f>
        <v/>
      </c>
      <c r="B527" s="63" t="s">
        <v>1813</v>
      </c>
      <c r="C527" s="148" t="s">
        <v>95</v>
      </c>
      <c r="D527" s="113" t="s">
        <v>864</v>
      </c>
      <c r="E527" s="129"/>
      <c r="F527" s="129"/>
      <c r="G527" s="69" t="str">
        <f>IF(stdProdLT(Main[[#This Row],[Comments]])=0.1,"N/A",IF(stdProdLT(Main[[#This Row],[Comments]])=0,"",stdProdLT(Main[[#This Row],[Comments]])))</f>
        <v/>
      </c>
      <c r="H527" s="138" t="str">
        <f>IF(Main[[#This Row],[In Stock Date]]="N/A", "N/A",IF(AND(Main[[#This Row],[In Stock Date]]&lt;&gt;"",Main[[#This Row],[Revised Due Date]]&lt;&gt;"",Main[[#This Row],[In Stock Date]]&lt;&gt;""),Main[[#This Row],[In Stock Date]]-Main[[#This Row],[Revised Due Date]],""))</f>
        <v/>
      </c>
      <c r="I527" s="139" t="s">
        <v>4</v>
      </c>
      <c r="J527" s="139" t="s">
        <v>4</v>
      </c>
      <c r="K527" s="140" t="s">
        <v>4</v>
      </c>
      <c r="L527" s="129"/>
      <c r="M527" s="114" t="str">
        <f>IF(Main[[#This Row],[Tech Start Date]]&lt;1/1/1990,"",IF(Main[[#This Row],[Class]]="C",WORKDAY(Main[[#This Row],[Tech Start Date]],9),IF(Main[[#This Row],[Class]]="B", WORKDAY(Main[[#This Row],[Tech Start Date]],6),IF(Main[[#This Row],[Class]]="A",WORKDAY(Main[[#This Row],[Tech Start Date]],2),""))))</f>
        <v/>
      </c>
      <c r="N527" s="114" t="str">
        <f>IF(Main[[#This Row],[Tech Start Date]]&lt;1/1/1990,"",IF(Main[[#This Row],[Class]]="C",WORKDAY(Main[[#This Row],[Tech Start Date]],19),IF(Main[[#This Row],[Class]]="B", WORKDAY(Main[[#This Row],[Tech Start Date]],12),IF(Main[[#This Row],[Class]]="A",WORKDAY(Main[[#This Row],[Tech Start Date]],4),""))))</f>
        <v/>
      </c>
      <c r="O527" s="114" t="str">
        <f>IF(Main[[#This Row],[Tech Start Date]]&lt;1/1/1990,"",IF(Main[[#This Row],[Class]]="C",WORKDAY(Main[[#This Row],[Tech Start Date]],23),IF(Main[[#This Row],[Class]]="B", WORKDAY(Main[[#This Row],[Tech Start Date]],15),IF(Main[[#This Row],[Class]]="A",WORKDAY(Main[[#This Row],[Tech Start Date]],5),""))))</f>
        <v/>
      </c>
      <c r="P527" s="114" t="str">
        <f>IF(Main[[#This Row],[Tech Start Date]]&lt;1/1/1990,"",IF(Main[[#This Row],[Class]]="C",WORKDAY(Main[[#This Row],[Tech Start Date]],28),IF(Main[[#This Row],[Class]]="B", WORKDAY(Main[[#This Row],[Tech Start Date]],19),IF(Main[[#This Row],[Class]]="A",WORKDAY(Main[[#This Row],[Tech Start Date]],9),""))))</f>
        <v/>
      </c>
      <c r="Q527" s="129">
        <v>40206</v>
      </c>
      <c r="R527" s="129">
        <v>40284</v>
      </c>
      <c r="S527" s="139" t="s">
        <v>11</v>
      </c>
      <c r="T527" s="115" t="s">
        <v>4</v>
      </c>
      <c r="U527" s="139" t="s">
        <v>14</v>
      </c>
      <c r="V527" s="139" t="s">
        <v>1915</v>
      </c>
      <c r="W527" s="139" t="s">
        <v>1916</v>
      </c>
      <c r="X527" s="139" t="s">
        <v>2837</v>
      </c>
      <c r="Y527" s="112" t="s">
        <v>3035</v>
      </c>
      <c r="Z527" s="112" t="s">
        <v>4</v>
      </c>
      <c r="AA527" s="139" t="s">
        <v>3412</v>
      </c>
    </row>
    <row r="528" spans="1:27" ht="17.25" customHeight="1">
      <c r="A528" s="69" t="str">
        <f>IF(priority(Main[[#This Row],[Comments]])&lt;&gt;0, priority(Main[[#This Row],[Comments]]),"")</f>
        <v/>
      </c>
      <c r="B528" s="63" t="s">
        <v>1604</v>
      </c>
      <c r="C528" s="148" t="s">
        <v>4</v>
      </c>
      <c r="D528" s="113" t="s">
        <v>678</v>
      </c>
      <c r="E528" s="129">
        <v>40619.658206018517</v>
      </c>
      <c r="F528" s="129"/>
      <c r="G528" s="69" t="str">
        <f>IF(stdProdLT(Main[[#This Row],[Comments]])=0.1,"N/A",IF(stdProdLT(Main[[#This Row],[Comments]])=0,"",stdProdLT(Main[[#This Row],[Comments]])))</f>
        <v/>
      </c>
      <c r="H528" s="138" t="str">
        <f>IF(Main[[#This Row],[In Stock Date]]="N/A", "N/A",IF(AND(Main[[#This Row],[In Stock Date]]&lt;&gt;"",Main[[#This Row],[Revised Due Date]]&lt;&gt;"",Main[[#This Row],[In Stock Date]]&lt;&gt;""),Main[[#This Row],[In Stock Date]]-Main[[#This Row],[Revised Due Date]],""))</f>
        <v/>
      </c>
      <c r="I528" s="139" t="s">
        <v>922</v>
      </c>
      <c r="J528" s="139" t="s">
        <v>28</v>
      </c>
      <c r="K528" s="139" t="s">
        <v>1923</v>
      </c>
      <c r="L528" s="129"/>
      <c r="M528" s="114" t="str">
        <f>IF(Main[[#This Row],[Tech Start Date]]&lt;1/1/1990,"",IF(Main[[#This Row],[Class]]="C",WORKDAY(Main[[#This Row],[Tech Start Date]],9),IF(Main[[#This Row],[Class]]="B", WORKDAY(Main[[#This Row],[Tech Start Date]],6),IF(Main[[#This Row],[Class]]="A",WORKDAY(Main[[#This Row],[Tech Start Date]],2),""))))</f>
        <v/>
      </c>
      <c r="N528" s="114" t="str">
        <f>IF(Main[[#This Row],[Tech Start Date]]&lt;1/1/1990,"",IF(Main[[#This Row],[Class]]="C",WORKDAY(Main[[#This Row],[Tech Start Date]],19),IF(Main[[#This Row],[Class]]="B", WORKDAY(Main[[#This Row],[Tech Start Date]],12),IF(Main[[#This Row],[Class]]="A",WORKDAY(Main[[#This Row],[Tech Start Date]],4),""))))</f>
        <v/>
      </c>
      <c r="O528" s="114" t="str">
        <f>IF(Main[[#This Row],[Tech Start Date]]&lt;1/1/1990,"",IF(Main[[#This Row],[Class]]="C",WORKDAY(Main[[#This Row],[Tech Start Date]],23),IF(Main[[#This Row],[Class]]="B", WORKDAY(Main[[#This Row],[Tech Start Date]],15),IF(Main[[#This Row],[Class]]="A",WORKDAY(Main[[#This Row],[Tech Start Date]],5),""))))</f>
        <v/>
      </c>
      <c r="P528" s="114" t="str">
        <f>IF(Main[[#This Row],[Tech Start Date]]&lt;1/1/1990,"",IF(Main[[#This Row],[Class]]="C",WORKDAY(Main[[#This Row],[Tech Start Date]],28),IF(Main[[#This Row],[Class]]="B", WORKDAY(Main[[#This Row],[Tech Start Date]],19),IF(Main[[#This Row],[Class]]="A",WORKDAY(Main[[#This Row],[Tech Start Date]],9),""))))</f>
        <v/>
      </c>
      <c r="Q528" s="129"/>
      <c r="R528" s="129"/>
      <c r="S528" s="139" t="s">
        <v>6</v>
      </c>
      <c r="T528" s="115" t="s">
        <v>4</v>
      </c>
      <c r="U528" s="139" t="s">
        <v>29</v>
      </c>
      <c r="V528" s="139" t="s">
        <v>1929</v>
      </c>
      <c r="W528" s="139" t="s">
        <v>1916</v>
      </c>
      <c r="X528" s="139" t="s">
        <v>922</v>
      </c>
      <c r="Y528" s="112" t="s">
        <v>2982</v>
      </c>
      <c r="Z528" s="112" t="s">
        <v>2211</v>
      </c>
      <c r="AA528" s="139" t="s">
        <v>922</v>
      </c>
    </row>
    <row r="529" spans="1:27" ht="17.25" customHeight="1">
      <c r="A529" s="69" t="str">
        <f>IF(priority(Main[[#This Row],[Comments]])&lt;&gt;0, priority(Main[[#This Row],[Comments]]),"")</f>
        <v/>
      </c>
      <c r="B529" s="63" t="s">
        <v>1344</v>
      </c>
      <c r="C529" s="148" t="s">
        <v>4</v>
      </c>
      <c r="D529" s="113" t="s">
        <v>430</v>
      </c>
      <c r="E529" s="129">
        <v>40585.693101851852</v>
      </c>
      <c r="F529" s="129"/>
      <c r="G529" s="69" t="str">
        <f>IF(stdProdLT(Main[[#This Row],[Comments]])=0.1,"N/A",IF(stdProdLT(Main[[#This Row],[Comments]])=0,"",stdProdLT(Main[[#This Row],[Comments]])))</f>
        <v/>
      </c>
      <c r="H529" s="138" t="str">
        <f>IF(Main[[#This Row],[In Stock Date]]="N/A", "N/A",IF(AND(Main[[#This Row],[In Stock Date]]&lt;&gt;"",Main[[#This Row],[Revised Due Date]]&lt;&gt;"",Main[[#This Row],[In Stock Date]]&lt;&gt;""),Main[[#This Row],[In Stock Date]]-Main[[#This Row],[Revised Due Date]],""))</f>
        <v/>
      </c>
      <c r="I529" s="139" t="s">
        <v>431</v>
      </c>
      <c r="J529" s="139" t="s">
        <v>21</v>
      </c>
      <c r="K529" s="139" t="s">
        <v>4</v>
      </c>
      <c r="L529" s="129"/>
      <c r="M529" s="114" t="str">
        <f>IF(Main[[#This Row],[Tech Start Date]]&lt;1/1/1990,"",IF(Main[[#This Row],[Class]]="C",WORKDAY(Main[[#This Row],[Tech Start Date]],9),IF(Main[[#This Row],[Class]]="B", WORKDAY(Main[[#This Row],[Tech Start Date]],6),IF(Main[[#This Row],[Class]]="A",WORKDAY(Main[[#This Row],[Tech Start Date]],2),""))))</f>
        <v/>
      </c>
      <c r="N529" s="114" t="str">
        <f>IF(Main[[#This Row],[Tech Start Date]]&lt;1/1/1990,"",IF(Main[[#This Row],[Class]]="C",WORKDAY(Main[[#This Row],[Tech Start Date]],19),IF(Main[[#This Row],[Class]]="B", WORKDAY(Main[[#This Row],[Tech Start Date]],12),IF(Main[[#This Row],[Class]]="A",WORKDAY(Main[[#This Row],[Tech Start Date]],4),""))))</f>
        <v/>
      </c>
      <c r="O529" s="114" t="str">
        <f>IF(Main[[#This Row],[Tech Start Date]]&lt;1/1/1990,"",IF(Main[[#This Row],[Class]]="C",WORKDAY(Main[[#This Row],[Tech Start Date]],23),IF(Main[[#This Row],[Class]]="B", WORKDAY(Main[[#This Row],[Tech Start Date]],15),IF(Main[[#This Row],[Class]]="A",WORKDAY(Main[[#This Row],[Tech Start Date]],5),""))))</f>
        <v/>
      </c>
      <c r="P529" s="114" t="str">
        <f>IF(Main[[#This Row],[Tech Start Date]]&lt;1/1/1990,"",IF(Main[[#This Row],[Class]]="C",WORKDAY(Main[[#This Row],[Tech Start Date]],28),IF(Main[[#This Row],[Class]]="B", WORKDAY(Main[[#This Row],[Tech Start Date]],19),IF(Main[[#This Row],[Class]]="A",WORKDAY(Main[[#This Row],[Tech Start Date]],9),""))))</f>
        <v/>
      </c>
      <c r="Q529" s="129">
        <v>40602</v>
      </c>
      <c r="R529" s="129"/>
      <c r="S529" s="139" t="s">
        <v>6</v>
      </c>
      <c r="T529" s="115" t="s">
        <v>4</v>
      </c>
      <c r="U529" s="139" t="s">
        <v>29</v>
      </c>
      <c r="V529" s="139" t="s">
        <v>1917</v>
      </c>
      <c r="W529" s="139" t="s">
        <v>1918</v>
      </c>
      <c r="X529" s="139" t="s">
        <v>30</v>
      </c>
      <c r="Y529" s="112" t="s">
        <v>2957</v>
      </c>
      <c r="Z529" s="112" t="s">
        <v>415</v>
      </c>
      <c r="AA529" s="139" t="s">
        <v>30</v>
      </c>
    </row>
    <row r="530" spans="1:27" ht="17.25" customHeight="1">
      <c r="A530" s="69" t="str">
        <f>IF(priority(Main[[#This Row],[Comments]])&lt;&gt;0, priority(Main[[#This Row],[Comments]]),"")</f>
        <v/>
      </c>
      <c r="B530" s="63" t="s">
        <v>1345</v>
      </c>
      <c r="C530" s="148" t="s">
        <v>4</v>
      </c>
      <c r="D530" s="113" t="s">
        <v>432</v>
      </c>
      <c r="E530" s="129"/>
      <c r="F530" s="129"/>
      <c r="G530" s="69" t="str">
        <f>IF(stdProdLT(Main[[#This Row],[Comments]])=0.1,"N/A",IF(stdProdLT(Main[[#This Row],[Comments]])=0,"",stdProdLT(Main[[#This Row],[Comments]])))</f>
        <v/>
      </c>
      <c r="H530" s="138" t="str">
        <f>IF(Main[[#This Row],[In Stock Date]]="N/A", "N/A",IF(AND(Main[[#This Row],[In Stock Date]]&lt;&gt;"",Main[[#This Row],[Revised Due Date]]&lt;&gt;"",Main[[#This Row],[In Stock Date]]&lt;&gt;""),Main[[#This Row],[In Stock Date]]-Main[[#This Row],[Revised Due Date]],""))</f>
        <v/>
      </c>
      <c r="I530" s="139" t="s">
        <v>4</v>
      </c>
      <c r="J530" s="139" t="s">
        <v>4</v>
      </c>
      <c r="K530" s="139" t="s">
        <v>4</v>
      </c>
      <c r="L530" s="129"/>
      <c r="M530" s="114" t="str">
        <f>IF(Main[[#This Row],[Tech Start Date]]&lt;1/1/1990,"",IF(Main[[#This Row],[Class]]="C",WORKDAY(Main[[#This Row],[Tech Start Date]],9),IF(Main[[#This Row],[Class]]="B", WORKDAY(Main[[#This Row],[Tech Start Date]],6),IF(Main[[#This Row],[Class]]="A",WORKDAY(Main[[#This Row],[Tech Start Date]],2),""))))</f>
        <v/>
      </c>
      <c r="N530" s="114" t="str">
        <f>IF(Main[[#This Row],[Tech Start Date]]&lt;1/1/1990,"",IF(Main[[#This Row],[Class]]="C",WORKDAY(Main[[#This Row],[Tech Start Date]],19),IF(Main[[#This Row],[Class]]="B", WORKDAY(Main[[#This Row],[Tech Start Date]],12),IF(Main[[#This Row],[Class]]="A",WORKDAY(Main[[#This Row],[Tech Start Date]],4),""))))</f>
        <v/>
      </c>
      <c r="O530" s="114" t="str">
        <f>IF(Main[[#This Row],[Tech Start Date]]&lt;1/1/1990,"",IF(Main[[#This Row],[Class]]="C",WORKDAY(Main[[#This Row],[Tech Start Date]],23),IF(Main[[#This Row],[Class]]="B", WORKDAY(Main[[#This Row],[Tech Start Date]],15),IF(Main[[#This Row],[Class]]="A",WORKDAY(Main[[#This Row],[Tech Start Date]],5),""))))</f>
        <v/>
      </c>
      <c r="P530" s="114" t="str">
        <f>IF(Main[[#This Row],[Tech Start Date]]&lt;1/1/1990,"",IF(Main[[#This Row],[Class]]="C",WORKDAY(Main[[#This Row],[Tech Start Date]],28),IF(Main[[#This Row],[Class]]="B", WORKDAY(Main[[#This Row],[Tech Start Date]],19),IF(Main[[#This Row],[Class]]="A",WORKDAY(Main[[#This Row],[Tech Start Date]],9),""))))</f>
        <v/>
      </c>
      <c r="Q530" s="129"/>
      <c r="R530" s="129"/>
      <c r="S530" s="139" t="s">
        <v>4</v>
      </c>
      <c r="T530" s="115" t="s">
        <v>4</v>
      </c>
      <c r="U530" s="139" t="s">
        <v>14</v>
      </c>
      <c r="V530" s="139" t="s">
        <v>1914</v>
      </c>
      <c r="W530" s="139" t="s">
        <v>1928</v>
      </c>
      <c r="X530" s="139" t="s">
        <v>922</v>
      </c>
      <c r="Y530" s="112" t="s">
        <v>4</v>
      </c>
      <c r="Z530" s="112" t="s">
        <v>4</v>
      </c>
      <c r="AA530" s="139" t="s">
        <v>4</v>
      </c>
    </row>
    <row r="531" spans="1:27" ht="17.25" customHeight="1">
      <c r="A531" s="69" t="str">
        <f>IF(priority(Main[[#This Row],[Comments]])&lt;&gt;0, priority(Main[[#This Row],[Comments]]),"")</f>
        <v/>
      </c>
      <c r="B531" s="63" t="s">
        <v>1347</v>
      </c>
      <c r="C531" s="148" t="s">
        <v>31</v>
      </c>
      <c r="D531" s="113" t="s">
        <v>435</v>
      </c>
      <c r="E531" s="129"/>
      <c r="F531" s="129"/>
      <c r="G531" s="69" t="str">
        <f>IF(stdProdLT(Main[[#This Row],[Comments]])=0.1,"N/A",IF(stdProdLT(Main[[#This Row],[Comments]])=0,"",stdProdLT(Main[[#This Row],[Comments]])))</f>
        <v/>
      </c>
      <c r="H531" s="138" t="str">
        <f>IF(Main[[#This Row],[In Stock Date]]="N/A", "N/A",IF(AND(Main[[#This Row],[In Stock Date]]&lt;&gt;"",Main[[#This Row],[Revised Due Date]]&lt;&gt;"",Main[[#This Row],[In Stock Date]]&lt;&gt;""),Main[[#This Row],[In Stock Date]]-Main[[#This Row],[Revised Due Date]],""))</f>
        <v/>
      </c>
      <c r="I531" s="139" t="s">
        <v>4</v>
      </c>
      <c r="J531" s="139" t="s">
        <v>4</v>
      </c>
      <c r="K531" s="139" t="s">
        <v>4</v>
      </c>
      <c r="L531" s="129"/>
      <c r="M531" s="114" t="str">
        <f>IF(Main[[#This Row],[Tech Start Date]]&lt;1/1/1990,"",IF(Main[[#This Row],[Class]]="C",WORKDAY(Main[[#This Row],[Tech Start Date]],9),IF(Main[[#This Row],[Class]]="B", WORKDAY(Main[[#This Row],[Tech Start Date]],6),IF(Main[[#This Row],[Class]]="A",WORKDAY(Main[[#This Row],[Tech Start Date]],2),""))))</f>
        <v/>
      </c>
      <c r="N531" s="114" t="str">
        <f>IF(Main[[#This Row],[Tech Start Date]]&lt;1/1/1990,"",IF(Main[[#This Row],[Class]]="C",WORKDAY(Main[[#This Row],[Tech Start Date]],19),IF(Main[[#This Row],[Class]]="B", WORKDAY(Main[[#This Row],[Tech Start Date]],12),IF(Main[[#This Row],[Class]]="A",WORKDAY(Main[[#This Row],[Tech Start Date]],4),""))))</f>
        <v/>
      </c>
      <c r="O531" s="114" t="str">
        <f>IF(Main[[#This Row],[Tech Start Date]]&lt;1/1/1990,"",IF(Main[[#This Row],[Class]]="C",WORKDAY(Main[[#This Row],[Tech Start Date]],23),IF(Main[[#This Row],[Class]]="B", WORKDAY(Main[[#This Row],[Tech Start Date]],15),IF(Main[[#This Row],[Class]]="A",WORKDAY(Main[[#This Row],[Tech Start Date]],5),""))))</f>
        <v/>
      </c>
      <c r="P531" s="114" t="str">
        <f>IF(Main[[#This Row],[Tech Start Date]]&lt;1/1/1990,"",IF(Main[[#This Row],[Class]]="C",WORKDAY(Main[[#This Row],[Tech Start Date]],28),IF(Main[[#This Row],[Class]]="B", WORKDAY(Main[[#This Row],[Tech Start Date]],19),IF(Main[[#This Row],[Class]]="A",WORKDAY(Main[[#This Row],[Tech Start Date]],9),""))))</f>
        <v/>
      </c>
      <c r="Q531" s="129">
        <v>40318</v>
      </c>
      <c r="R531" s="129"/>
      <c r="S531" s="139" t="s">
        <v>11</v>
      </c>
      <c r="T531" s="115" t="s">
        <v>4</v>
      </c>
      <c r="U531" s="139" t="s">
        <v>14</v>
      </c>
      <c r="V531" s="139" t="s">
        <v>1917</v>
      </c>
      <c r="W531" s="139" t="s">
        <v>1916</v>
      </c>
      <c r="X531" s="139" t="s">
        <v>2830</v>
      </c>
      <c r="Y531" s="112" t="s">
        <v>4</v>
      </c>
      <c r="Z531" s="112" t="s">
        <v>4</v>
      </c>
      <c r="AA531" s="139" t="s">
        <v>2830</v>
      </c>
    </row>
    <row r="532" spans="1:27" ht="17.25" customHeight="1">
      <c r="A532" s="69" t="str">
        <f>IF(priority(Main[[#This Row],[Comments]])&lt;&gt;0, priority(Main[[#This Row],[Comments]]),"")</f>
        <v/>
      </c>
      <c r="B532" s="63" t="s">
        <v>1348</v>
      </c>
      <c r="C532" s="148" t="s">
        <v>436</v>
      </c>
      <c r="D532" s="113" t="s">
        <v>437</v>
      </c>
      <c r="E532" s="129"/>
      <c r="F532" s="129">
        <v>40056</v>
      </c>
      <c r="G532" s="69" t="str">
        <f>IF(stdProdLT(Main[[#This Row],[Comments]])=0.1,"N/A",IF(stdProdLT(Main[[#This Row],[Comments]])=0,"",stdProdLT(Main[[#This Row],[Comments]])))</f>
        <v/>
      </c>
      <c r="H532" s="138" t="str">
        <f>IF(Main[[#This Row],[In Stock Date]]="N/A", "N/A",IF(AND(Main[[#This Row],[In Stock Date]]&lt;&gt;"",Main[[#This Row],[Revised Due Date]]&lt;&gt;"",Main[[#This Row],[In Stock Date]]&lt;&gt;""),Main[[#This Row],[In Stock Date]]-Main[[#This Row],[Revised Due Date]],""))</f>
        <v/>
      </c>
      <c r="I532" s="139" t="s">
        <v>4</v>
      </c>
      <c r="J532" s="139" t="s">
        <v>4</v>
      </c>
      <c r="K532" s="140" t="s">
        <v>4</v>
      </c>
      <c r="L532" s="129"/>
      <c r="M532" s="114" t="str">
        <f>IF(Main[[#This Row],[Tech Start Date]]&lt;1/1/1990,"",IF(Main[[#This Row],[Class]]="C",WORKDAY(Main[[#This Row],[Tech Start Date]],9),IF(Main[[#This Row],[Class]]="B", WORKDAY(Main[[#This Row],[Tech Start Date]],6),IF(Main[[#This Row],[Class]]="A",WORKDAY(Main[[#This Row],[Tech Start Date]],2),""))))</f>
        <v/>
      </c>
      <c r="N532" s="114" t="str">
        <f>IF(Main[[#This Row],[Tech Start Date]]&lt;1/1/1990,"",IF(Main[[#This Row],[Class]]="C",WORKDAY(Main[[#This Row],[Tech Start Date]],19),IF(Main[[#This Row],[Class]]="B", WORKDAY(Main[[#This Row],[Tech Start Date]],12),IF(Main[[#This Row],[Class]]="A",WORKDAY(Main[[#This Row],[Tech Start Date]],4),""))))</f>
        <v/>
      </c>
      <c r="O532" s="114" t="str">
        <f>IF(Main[[#This Row],[Tech Start Date]]&lt;1/1/1990,"",IF(Main[[#This Row],[Class]]="C",WORKDAY(Main[[#This Row],[Tech Start Date]],23),IF(Main[[#This Row],[Class]]="B", WORKDAY(Main[[#This Row],[Tech Start Date]],15),IF(Main[[#This Row],[Class]]="A",WORKDAY(Main[[#This Row],[Tech Start Date]],5),""))))</f>
        <v/>
      </c>
      <c r="P532" s="114" t="str">
        <f>IF(Main[[#This Row],[Tech Start Date]]&lt;1/1/1990,"",IF(Main[[#This Row],[Class]]="C",WORKDAY(Main[[#This Row],[Tech Start Date]],28),IF(Main[[#This Row],[Class]]="B", WORKDAY(Main[[#This Row],[Tech Start Date]],19),IF(Main[[#This Row],[Class]]="A",WORKDAY(Main[[#This Row],[Tech Start Date]],9),""))))</f>
        <v/>
      </c>
      <c r="Q532" s="129"/>
      <c r="R532" s="129"/>
      <c r="S532" s="139" t="s">
        <v>11</v>
      </c>
      <c r="T532" s="115" t="s">
        <v>4</v>
      </c>
      <c r="U532" s="139" t="s">
        <v>14</v>
      </c>
      <c r="V532" s="139" t="s">
        <v>1914</v>
      </c>
      <c r="W532" s="139" t="s">
        <v>1922</v>
      </c>
      <c r="X532" s="139" t="s">
        <v>2853</v>
      </c>
      <c r="Y532" s="112" t="s">
        <v>2991</v>
      </c>
      <c r="Z532" s="112" t="s">
        <v>4</v>
      </c>
      <c r="AA532" s="139" t="s">
        <v>2853</v>
      </c>
    </row>
    <row r="533" spans="1:27" ht="17.25" customHeight="1">
      <c r="A533" s="69" t="str">
        <f>IF(priority(Main[[#This Row],[Comments]])&lt;&gt;0, priority(Main[[#This Row],[Comments]]),"")</f>
        <v/>
      </c>
      <c r="B533" s="63" t="s">
        <v>1349</v>
      </c>
      <c r="C533" s="148" t="s">
        <v>31</v>
      </c>
      <c r="D533" s="113" t="s">
        <v>438</v>
      </c>
      <c r="E533" s="129"/>
      <c r="F533" s="129"/>
      <c r="G533" s="69" t="str">
        <f>IF(stdProdLT(Main[[#This Row],[Comments]])=0.1,"N/A",IF(stdProdLT(Main[[#This Row],[Comments]])=0,"",stdProdLT(Main[[#This Row],[Comments]])))</f>
        <v/>
      </c>
      <c r="H533" s="138" t="str">
        <f>IF(Main[[#This Row],[In Stock Date]]="N/A", "N/A",IF(AND(Main[[#This Row],[In Stock Date]]&lt;&gt;"",Main[[#This Row],[Revised Due Date]]&lt;&gt;"",Main[[#This Row],[In Stock Date]]&lt;&gt;""),Main[[#This Row],[In Stock Date]]-Main[[#This Row],[Revised Due Date]],""))</f>
        <v/>
      </c>
      <c r="I533" s="139" t="s">
        <v>4</v>
      </c>
      <c r="J533" s="139" t="s">
        <v>4</v>
      </c>
      <c r="K533" s="139" t="s">
        <v>4</v>
      </c>
      <c r="L533" s="129"/>
      <c r="M533" s="114" t="str">
        <f>IF(Main[[#This Row],[Tech Start Date]]&lt;1/1/1990,"",IF(Main[[#This Row],[Class]]="C",WORKDAY(Main[[#This Row],[Tech Start Date]],9),IF(Main[[#This Row],[Class]]="B", WORKDAY(Main[[#This Row],[Tech Start Date]],6),IF(Main[[#This Row],[Class]]="A",WORKDAY(Main[[#This Row],[Tech Start Date]],2),""))))</f>
        <v/>
      </c>
      <c r="N533" s="114" t="str">
        <f>IF(Main[[#This Row],[Tech Start Date]]&lt;1/1/1990,"",IF(Main[[#This Row],[Class]]="C",WORKDAY(Main[[#This Row],[Tech Start Date]],19),IF(Main[[#This Row],[Class]]="B", WORKDAY(Main[[#This Row],[Tech Start Date]],12),IF(Main[[#This Row],[Class]]="A",WORKDAY(Main[[#This Row],[Tech Start Date]],4),""))))</f>
        <v/>
      </c>
      <c r="O533" s="114" t="str">
        <f>IF(Main[[#This Row],[Tech Start Date]]&lt;1/1/1990,"",IF(Main[[#This Row],[Class]]="C",WORKDAY(Main[[#This Row],[Tech Start Date]],23),IF(Main[[#This Row],[Class]]="B", WORKDAY(Main[[#This Row],[Tech Start Date]],15),IF(Main[[#This Row],[Class]]="A",WORKDAY(Main[[#This Row],[Tech Start Date]],5),""))))</f>
        <v/>
      </c>
      <c r="P533" s="114" t="str">
        <f>IF(Main[[#This Row],[Tech Start Date]]&lt;1/1/1990,"",IF(Main[[#This Row],[Class]]="C",WORKDAY(Main[[#This Row],[Tech Start Date]],28),IF(Main[[#This Row],[Class]]="B", WORKDAY(Main[[#This Row],[Tech Start Date]],19),IF(Main[[#This Row],[Class]]="A",WORKDAY(Main[[#This Row],[Tech Start Date]],9),""))))</f>
        <v/>
      </c>
      <c r="Q533" s="129">
        <v>40318</v>
      </c>
      <c r="R533" s="129"/>
      <c r="S533" s="139" t="s">
        <v>11</v>
      </c>
      <c r="T533" s="115" t="s">
        <v>4</v>
      </c>
      <c r="U533" s="139" t="s">
        <v>14</v>
      </c>
      <c r="V533" s="139" t="s">
        <v>1917</v>
      </c>
      <c r="W533" s="139" t="s">
        <v>1925</v>
      </c>
      <c r="X533" s="139" t="s">
        <v>2830</v>
      </c>
      <c r="Y533" s="112" t="s">
        <v>4</v>
      </c>
      <c r="Z533" s="112" t="s">
        <v>4</v>
      </c>
      <c r="AA533" s="139" t="s">
        <v>2830</v>
      </c>
    </row>
    <row r="534" spans="1:27" ht="17.25" customHeight="1">
      <c r="A534" s="69" t="str">
        <f>IF(priority(Main[[#This Row],[Comments]])&lt;&gt;0, priority(Main[[#This Row],[Comments]]),"")</f>
        <v/>
      </c>
      <c r="B534" s="63" t="s">
        <v>1350</v>
      </c>
      <c r="C534" s="148" t="s">
        <v>31</v>
      </c>
      <c r="D534" s="113" t="s">
        <v>439</v>
      </c>
      <c r="E534" s="129"/>
      <c r="F534" s="129"/>
      <c r="G534" s="69" t="str">
        <f>IF(stdProdLT(Main[[#This Row],[Comments]])=0.1,"N/A",IF(stdProdLT(Main[[#This Row],[Comments]])=0,"",stdProdLT(Main[[#This Row],[Comments]])))</f>
        <v/>
      </c>
      <c r="H534" s="138" t="str">
        <f>IF(Main[[#This Row],[In Stock Date]]="N/A", "N/A",IF(AND(Main[[#This Row],[In Stock Date]]&lt;&gt;"",Main[[#This Row],[Revised Due Date]]&lt;&gt;"",Main[[#This Row],[In Stock Date]]&lt;&gt;""),Main[[#This Row],[In Stock Date]]-Main[[#This Row],[Revised Due Date]],""))</f>
        <v/>
      </c>
      <c r="I534" s="139" t="s">
        <v>4</v>
      </c>
      <c r="J534" s="139" t="s">
        <v>4</v>
      </c>
      <c r="K534" s="139" t="s">
        <v>4</v>
      </c>
      <c r="L534" s="129"/>
      <c r="M534" s="114" t="str">
        <f>IF(Main[[#This Row],[Tech Start Date]]&lt;1/1/1990,"",IF(Main[[#This Row],[Class]]="C",WORKDAY(Main[[#This Row],[Tech Start Date]],9),IF(Main[[#This Row],[Class]]="B", WORKDAY(Main[[#This Row],[Tech Start Date]],6),IF(Main[[#This Row],[Class]]="A",WORKDAY(Main[[#This Row],[Tech Start Date]],2),""))))</f>
        <v/>
      </c>
      <c r="N534" s="114" t="str">
        <f>IF(Main[[#This Row],[Tech Start Date]]&lt;1/1/1990,"",IF(Main[[#This Row],[Class]]="C",WORKDAY(Main[[#This Row],[Tech Start Date]],19),IF(Main[[#This Row],[Class]]="B", WORKDAY(Main[[#This Row],[Tech Start Date]],12),IF(Main[[#This Row],[Class]]="A",WORKDAY(Main[[#This Row],[Tech Start Date]],4),""))))</f>
        <v/>
      </c>
      <c r="O534" s="114" t="str">
        <f>IF(Main[[#This Row],[Tech Start Date]]&lt;1/1/1990,"",IF(Main[[#This Row],[Class]]="C",WORKDAY(Main[[#This Row],[Tech Start Date]],23),IF(Main[[#This Row],[Class]]="B", WORKDAY(Main[[#This Row],[Tech Start Date]],15),IF(Main[[#This Row],[Class]]="A",WORKDAY(Main[[#This Row],[Tech Start Date]],5),""))))</f>
        <v/>
      </c>
      <c r="P534" s="114" t="str">
        <f>IF(Main[[#This Row],[Tech Start Date]]&lt;1/1/1990,"",IF(Main[[#This Row],[Class]]="C",WORKDAY(Main[[#This Row],[Tech Start Date]],28),IF(Main[[#This Row],[Class]]="B", WORKDAY(Main[[#This Row],[Tech Start Date]],19),IF(Main[[#This Row],[Class]]="A",WORKDAY(Main[[#This Row],[Tech Start Date]],9),""))))</f>
        <v/>
      </c>
      <c r="Q534" s="129">
        <v>40318</v>
      </c>
      <c r="R534" s="129"/>
      <c r="S534" s="139" t="s">
        <v>11</v>
      </c>
      <c r="T534" s="115" t="s">
        <v>4</v>
      </c>
      <c r="U534" s="139" t="s">
        <v>14</v>
      </c>
      <c r="V534" s="139" t="s">
        <v>1917</v>
      </c>
      <c r="W534" s="139" t="s">
        <v>1916</v>
      </c>
      <c r="X534" s="139" t="s">
        <v>2830</v>
      </c>
      <c r="Y534" s="112" t="s">
        <v>4</v>
      </c>
      <c r="Z534" s="112" t="s">
        <v>4</v>
      </c>
      <c r="AA534" s="139" t="s">
        <v>2830</v>
      </c>
    </row>
    <row r="535" spans="1:27" ht="17.25" customHeight="1">
      <c r="A535" s="69" t="str">
        <f>IF(priority(Main[[#This Row],[Comments]])&lt;&gt;0, priority(Main[[#This Row],[Comments]]),"")</f>
        <v/>
      </c>
      <c r="B535" s="63" t="s">
        <v>1352</v>
      </c>
      <c r="C535" s="148" t="s">
        <v>4</v>
      </c>
      <c r="D535" s="113" t="s">
        <v>441</v>
      </c>
      <c r="E535" s="129">
        <v>40371.342870370368</v>
      </c>
      <c r="F535" s="129"/>
      <c r="G535" s="69" t="str">
        <f>IF(stdProdLT(Main[[#This Row],[Comments]])=0.1,"N/A",IF(stdProdLT(Main[[#This Row],[Comments]])=0,"",stdProdLT(Main[[#This Row],[Comments]])))</f>
        <v/>
      </c>
      <c r="H535" s="138" t="str">
        <f>IF(Main[[#This Row],[In Stock Date]]="N/A", "N/A",IF(AND(Main[[#This Row],[In Stock Date]]&lt;&gt;"",Main[[#This Row],[Revised Due Date]]&lt;&gt;"",Main[[#This Row],[In Stock Date]]&lt;&gt;""),Main[[#This Row],[In Stock Date]]-Main[[#This Row],[Revised Due Date]],""))</f>
        <v/>
      </c>
      <c r="I535" s="139" t="s">
        <v>4</v>
      </c>
      <c r="J535" s="139" t="s">
        <v>4</v>
      </c>
      <c r="K535" s="139" t="s">
        <v>4</v>
      </c>
      <c r="L535" s="129"/>
      <c r="M535" s="114" t="str">
        <f>IF(Main[[#This Row],[Tech Start Date]]&lt;1/1/1990,"",IF(Main[[#This Row],[Class]]="C",WORKDAY(Main[[#This Row],[Tech Start Date]],9),IF(Main[[#This Row],[Class]]="B", WORKDAY(Main[[#This Row],[Tech Start Date]],6),IF(Main[[#This Row],[Class]]="A",WORKDAY(Main[[#This Row],[Tech Start Date]],2),""))))</f>
        <v/>
      </c>
      <c r="N535" s="114" t="str">
        <f>IF(Main[[#This Row],[Tech Start Date]]&lt;1/1/1990,"",IF(Main[[#This Row],[Class]]="C",WORKDAY(Main[[#This Row],[Tech Start Date]],19),IF(Main[[#This Row],[Class]]="B", WORKDAY(Main[[#This Row],[Tech Start Date]],12),IF(Main[[#This Row],[Class]]="A",WORKDAY(Main[[#This Row],[Tech Start Date]],4),""))))</f>
        <v/>
      </c>
      <c r="O535" s="114" t="str">
        <f>IF(Main[[#This Row],[Tech Start Date]]&lt;1/1/1990,"",IF(Main[[#This Row],[Class]]="C",WORKDAY(Main[[#This Row],[Tech Start Date]],23),IF(Main[[#This Row],[Class]]="B", WORKDAY(Main[[#This Row],[Tech Start Date]],15),IF(Main[[#This Row],[Class]]="A",WORKDAY(Main[[#This Row],[Tech Start Date]],5),""))))</f>
        <v/>
      </c>
      <c r="P535" s="114" t="str">
        <f>IF(Main[[#This Row],[Tech Start Date]]&lt;1/1/1990,"",IF(Main[[#This Row],[Class]]="C",WORKDAY(Main[[#This Row],[Tech Start Date]],28),IF(Main[[#This Row],[Class]]="B", WORKDAY(Main[[#This Row],[Tech Start Date]],19),IF(Main[[#This Row],[Class]]="A",WORKDAY(Main[[#This Row],[Tech Start Date]],9),""))))</f>
        <v/>
      </c>
      <c r="Q535" s="129">
        <v>40385</v>
      </c>
      <c r="R535" s="129"/>
      <c r="S535" s="139" t="s">
        <v>6</v>
      </c>
      <c r="T535" s="115" t="s">
        <v>4</v>
      </c>
      <c r="U535" s="139" t="s">
        <v>7</v>
      </c>
      <c r="V535" s="139" t="s">
        <v>1914</v>
      </c>
      <c r="W535" s="139" t="s">
        <v>1916</v>
      </c>
      <c r="X535" s="139" t="s">
        <v>102</v>
      </c>
      <c r="Y535" s="112" t="s">
        <v>3032</v>
      </c>
      <c r="Z535" s="112" t="s">
        <v>4</v>
      </c>
      <c r="AA535" s="139" t="s">
        <v>3396</v>
      </c>
    </row>
    <row r="536" spans="1:27" ht="17.25" customHeight="1">
      <c r="A536" s="69" t="str">
        <f>IF(priority(Main[[#This Row],[Comments]])&lt;&gt;0, priority(Main[[#This Row],[Comments]]),"")</f>
        <v/>
      </c>
      <c r="B536" s="63" t="s">
        <v>1353</v>
      </c>
      <c r="C536" s="148" t="s">
        <v>4</v>
      </c>
      <c r="D536" s="113" t="s">
        <v>442</v>
      </c>
      <c r="E536" s="129">
        <v>40679.250891203701</v>
      </c>
      <c r="F536" s="129"/>
      <c r="G536" s="69" t="str">
        <f>IF(stdProdLT(Main[[#This Row],[Comments]])=0.1,"N/A",IF(stdProdLT(Main[[#This Row],[Comments]])=0,"",stdProdLT(Main[[#This Row],[Comments]])))</f>
        <v/>
      </c>
      <c r="H536" s="138" t="str">
        <f>IF(Main[[#This Row],[In Stock Date]]="N/A", "N/A",IF(AND(Main[[#This Row],[In Stock Date]]&lt;&gt;"",Main[[#This Row],[Revised Due Date]]&lt;&gt;"",Main[[#This Row],[In Stock Date]]&lt;&gt;""),Main[[#This Row],[In Stock Date]]-Main[[#This Row],[Revised Due Date]],""))</f>
        <v/>
      </c>
      <c r="I536" s="139" t="s">
        <v>4</v>
      </c>
      <c r="J536" s="139" t="s">
        <v>4</v>
      </c>
      <c r="K536" s="139" t="s">
        <v>4</v>
      </c>
      <c r="L536" s="129"/>
      <c r="M536" s="114" t="str">
        <f>IF(Main[[#This Row],[Tech Start Date]]&lt;1/1/1990,"",IF(Main[[#This Row],[Class]]="C",WORKDAY(Main[[#This Row],[Tech Start Date]],9),IF(Main[[#This Row],[Class]]="B", WORKDAY(Main[[#This Row],[Tech Start Date]],6),IF(Main[[#This Row],[Class]]="A",WORKDAY(Main[[#This Row],[Tech Start Date]],2),""))))</f>
        <v/>
      </c>
      <c r="N536" s="114" t="str">
        <f>IF(Main[[#This Row],[Tech Start Date]]&lt;1/1/1990,"",IF(Main[[#This Row],[Class]]="C",WORKDAY(Main[[#This Row],[Tech Start Date]],19),IF(Main[[#This Row],[Class]]="B", WORKDAY(Main[[#This Row],[Tech Start Date]],12),IF(Main[[#This Row],[Class]]="A",WORKDAY(Main[[#This Row],[Tech Start Date]],4),""))))</f>
        <v/>
      </c>
      <c r="O536" s="114" t="str">
        <f>IF(Main[[#This Row],[Tech Start Date]]&lt;1/1/1990,"",IF(Main[[#This Row],[Class]]="C",WORKDAY(Main[[#This Row],[Tech Start Date]],23),IF(Main[[#This Row],[Class]]="B", WORKDAY(Main[[#This Row],[Tech Start Date]],15),IF(Main[[#This Row],[Class]]="A",WORKDAY(Main[[#This Row],[Tech Start Date]],5),""))))</f>
        <v/>
      </c>
      <c r="P536" s="114" t="str">
        <f>IF(Main[[#This Row],[Tech Start Date]]&lt;1/1/1990,"",IF(Main[[#This Row],[Class]]="C",WORKDAY(Main[[#This Row],[Tech Start Date]],28),IF(Main[[#This Row],[Class]]="B", WORKDAY(Main[[#This Row],[Tech Start Date]],19),IF(Main[[#This Row],[Class]]="A",WORKDAY(Main[[#This Row],[Tech Start Date]],9),""))))</f>
        <v/>
      </c>
      <c r="Q536" s="129">
        <v>40724</v>
      </c>
      <c r="R536" s="129"/>
      <c r="S536" s="139" t="s">
        <v>6</v>
      </c>
      <c r="T536" s="115" t="s">
        <v>4</v>
      </c>
      <c r="U536" s="139" t="s">
        <v>7</v>
      </c>
      <c r="V536" s="139" t="s">
        <v>1914</v>
      </c>
      <c r="W536" s="139" t="s">
        <v>4</v>
      </c>
      <c r="X536" s="139" t="s">
        <v>2822</v>
      </c>
      <c r="Y536" s="112" t="s">
        <v>2938</v>
      </c>
      <c r="Z536" s="112" t="s">
        <v>4</v>
      </c>
      <c r="AA536" s="139" t="s">
        <v>2822</v>
      </c>
    </row>
    <row r="537" spans="1:27" ht="17.25" customHeight="1">
      <c r="A537" s="69" t="str">
        <f>IF(priority(Main[[#This Row],[Comments]])&lt;&gt;0, priority(Main[[#This Row],[Comments]]),"")</f>
        <v/>
      </c>
      <c r="B537" s="63" t="s">
        <v>1354</v>
      </c>
      <c r="C537" s="148" t="s">
        <v>4</v>
      </c>
      <c r="D537" s="113" t="s">
        <v>443</v>
      </c>
      <c r="E537" s="129"/>
      <c r="F537" s="129"/>
      <c r="G537" s="69" t="str">
        <f>IF(stdProdLT(Main[[#This Row],[Comments]])=0.1,"N/A",IF(stdProdLT(Main[[#This Row],[Comments]])=0,"",stdProdLT(Main[[#This Row],[Comments]])))</f>
        <v/>
      </c>
      <c r="H537" s="138" t="str">
        <f>IF(Main[[#This Row],[In Stock Date]]="N/A", "N/A",IF(AND(Main[[#This Row],[In Stock Date]]&lt;&gt;"",Main[[#This Row],[Revised Due Date]]&lt;&gt;"",Main[[#This Row],[In Stock Date]]&lt;&gt;""),Main[[#This Row],[In Stock Date]]-Main[[#This Row],[Revised Due Date]],""))</f>
        <v/>
      </c>
      <c r="I537" s="139" t="s">
        <v>4</v>
      </c>
      <c r="J537" s="139" t="s">
        <v>4</v>
      </c>
      <c r="K537" s="139" t="s">
        <v>4</v>
      </c>
      <c r="L537" s="129"/>
      <c r="M537" s="114" t="str">
        <f>IF(Main[[#This Row],[Tech Start Date]]&lt;1/1/1990,"",IF(Main[[#This Row],[Class]]="C",WORKDAY(Main[[#This Row],[Tech Start Date]],9),IF(Main[[#This Row],[Class]]="B", WORKDAY(Main[[#This Row],[Tech Start Date]],6),IF(Main[[#This Row],[Class]]="A",WORKDAY(Main[[#This Row],[Tech Start Date]],2),""))))</f>
        <v/>
      </c>
      <c r="N537" s="114" t="str">
        <f>IF(Main[[#This Row],[Tech Start Date]]&lt;1/1/1990,"",IF(Main[[#This Row],[Class]]="C",WORKDAY(Main[[#This Row],[Tech Start Date]],19),IF(Main[[#This Row],[Class]]="B", WORKDAY(Main[[#This Row],[Tech Start Date]],12),IF(Main[[#This Row],[Class]]="A",WORKDAY(Main[[#This Row],[Tech Start Date]],4),""))))</f>
        <v/>
      </c>
      <c r="O537" s="114" t="str">
        <f>IF(Main[[#This Row],[Tech Start Date]]&lt;1/1/1990,"",IF(Main[[#This Row],[Class]]="C",WORKDAY(Main[[#This Row],[Tech Start Date]],23),IF(Main[[#This Row],[Class]]="B", WORKDAY(Main[[#This Row],[Tech Start Date]],15),IF(Main[[#This Row],[Class]]="A",WORKDAY(Main[[#This Row],[Tech Start Date]],5),""))))</f>
        <v/>
      </c>
      <c r="P537" s="114" t="str">
        <f>IF(Main[[#This Row],[Tech Start Date]]&lt;1/1/1990,"",IF(Main[[#This Row],[Class]]="C",WORKDAY(Main[[#This Row],[Tech Start Date]],28),IF(Main[[#This Row],[Class]]="B", WORKDAY(Main[[#This Row],[Tech Start Date]],19),IF(Main[[#This Row],[Class]]="A",WORKDAY(Main[[#This Row],[Tech Start Date]],9),""))))</f>
        <v/>
      </c>
      <c r="Q537" s="129"/>
      <c r="R537" s="129"/>
      <c r="S537" s="139" t="s">
        <v>11</v>
      </c>
      <c r="T537" s="115" t="s">
        <v>4</v>
      </c>
      <c r="U537" s="139" t="s">
        <v>14</v>
      </c>
      <c r="V537" s="139" t="s">
        <v>1924</v>
      </c>
      <c r="W537" s="139" t="s">
        <v>1920</v>
      </c>
      <c r="X537" s="139" t="s">
        <v>2868</v>
      </c>
      <c r="Y537" s="112" t="s">
        <v>3036</v>
      </c>
      <c r="Z537" s="112" t="s">
        <v>4</v>
      </c>
      <c r="AA537" s="139" t="s">
        <v>2868</v>
      </c>
    </row>
    <row r="538" spans="1:27" ht="17.25" customHeight="1">
      <c r="A538" s="69" t="str">
        <f>IF(priority(Main[[#This Row],[Comments]])&lt;&gt;0, priority(Main[[#This Row],[Comments]]),"")</f>
        <v/>
      </c>
      <c r="B538" s="63" t="s">
        <v>1355</v>
      </c>
      <c r="C538" s="148" t="s">
        <v>436</v>
      </c>
      <c r="D538" s="113" t="s">
        <v>444</v>
      </c>
      <c r="E538" s="129"/>
      <c r="F538" s="129"/>
      <c r="G538" s="69" t="str">
        <f>IF(stdProdLT(Main[[#This Row],[Comments]])=0.1,"N/A",IF(stdProdLT(Main[[#This Row],[Comments]])=0,"",stdProdLT(Main[[#This Row],[Comments]])))</f>
        <v/>
      </c>
      <c r="H538" s="138" t="str">
        <f>IF(Main[[#This Row],[In Stock Date]]="N/A", "N/A",IF(AND(Main[[#This Row],[In Stock Date]]&lt;&gt;"",Main[[#This Row],[Revised Due Date]]&lt;&gt;"",Main[[#This Row],[In Stock Date]]&lt;&gt;""),Main[[#This Row],[In Stock Date]]-Main[[#This Row],[Revised Due Date]],""))</f>
        <v/>
      </c>
      <c r="I538" s="139" t="s">
        <v>4</v>
      </c>
      <c r="J538" s="139" t="s">
        <v>4</v>
      </c>
      <c r="K538" s="139" t="s">
        <v>4</v>
      </c>
      <c r="L538" s="129"/>
      <c r="M538" s="114" t="str">
        <f>IF(Main[[#This Row],[Tech Start Date]]&lt;1/1/1990,"",IF(Main[[#This Row],[Class]]="C",WORKDAY(Main[[#This Row],[Tech Start Date]],9),IF(Main[[#This Row],[Class]]="B", WORKDAY(Main[[#This Row],[Tech Start Date]],6),IF(Main[[#This Row],[Class]]="A",WORKDAY(Main[[#This Row],[Tech Start Date]],2),""))))</f>
        <v/>
      </c>
      <c r="N538" s="114" t="str">
        <f>IF(Main[[#This Row],[Tech Start Date]]&lt;1/1/1990,"",IF(Main[[#This Row],[Class]]="C",WORKDAY(Main[[#This Row],[Tech Start Date]],19),IF(Main[[#This Row],[Class]]="B", WORKDAY(Main[[#This Row],[Tech Start Date]],12),IF(Main[[#This Row],[Class]]="A",WORKDAY(Main[[#This Row],[Tech Start Date]],4),""))))</f>
        <v/>
      </c>
      <c r="O538" s="114" t="str">
        <f>IF(Main[[#This Row],[Tech Start Date]]&lt;1/1/1990,"",IF(Main[[#This Row],[Class]]="C",WORKDAY(Main[[#This Row],[Tech Start Date]],23),IF(Main[[#This Row],[Class]]="B", WORKDAY(Main[[#This Row],[Tech Start Date]],15),IF(Main[[#This Row],[Class]]="A",WORKDAY(Main[[#This Row],[Tech Start Date]],5),""))))</f>
        <v/>
      </c>
      <c r="P538" s="114" t="str">
        <f>IF(Main[[#This Row],[Tech Start Date]]&lt;1/1/1990,"",IF(Main[[#This Row],[Class]]="C",WORKDAY(Main[[#This Row],[Tech Start Date]],28),IF(Main[[#This Row],[Class]]="B", WORKDAY(Main[[#This Row],[Tech Start Date]],19),IF(Main[[#This Row],[Class]]="A",WORKDAY(Main[[#This Row],[Tech Start Date]],9),""))))</f>
        <v/>
      </c>
      <c r="Q538" s="129"/>
      <c r="R538" s="129"/>
      <c r="S538" s="139" t="s">
        <v>11</v>
      </c>
      <c r="T538" s="115" t="s">
        <v>4</v>
      </c>
      <c r="U538" s="139" t="s">
        <v>14</v>
      </c>
      <c r="V538" s="139" t="s">
        <v>1915</v>
      </c>
      <c r="W538" s="139" t="s">
        <v>1922</v>
      </c>
      <c r="X538" s="139" t="s">
        <v>2827</v>
      </c>
      <c r="Y538" s="112" t="s">
        <v>2948</v>
      </c>
      <c r="Z538" s="112" t="s">
        <v>4</v>
      </c>
      <c r="AA538" s="139" t="s">
        <v>2827</v>
      </c>
    </row>
    <row r="539" spans="1:27" ht="17.25" customHeight="1">
      <c r="A539" s="69" t="str">
        <f>IF(priority(Main[[#This Row],[Comments]])&lt;&gt;0, priority(Main[[#This Row],[Comments]]),"")</f>
        <v/>
      </c>
      <c r="B539" s="63" t="s">
        <v>1356</v>
      </c>
      <c r="C539" s="148" t="s">
        <v>47</v>
      </c>
      <c r="D539" s="113" t="s">
        <v>445</v>
      </c>
      <c r="E539" s="129"/>
      <c r="F539" s="129"/>
      <c r="G539" s="69" t="str">
        <f>IF(stdProdLT(Main[[#This Row],[Comments]])=0.1,"N/A",IF(stdProdLT(Main[[#This Row],[Comments]])=0,"",stdProdLT(Main[[#This Row],[Comments]])))</f>
        <v/>
      </c>
      <c r="H539" s="138" t="str">
        <f>IF(Main[[#This Row],[In Stock Date]]="N/A", "N/A",IF(AND(Main[[#This Row],[In Stock Date]]&lt;&gt;"",Main[[#This Row],[Revised Due Date]]&lt;&gt;"",Main[[#This Row],[In Stock Date]]&lt;&gt;""),Main[[#This Row],[In Stock Date]]-Main[[#This Row],[Revised Due Date]],""))</f>
        <v/>
      </c>
      <c r="I539" s="139" t="s">
        <v>4</v>
      </c>
      <c r="J539" s="139" t="s">
        <v>4</v>
      </c>
      <c r="K539" s="139" t="s">
        <v>4</v>
      </c>
      <c r="L539" s="129"/>
      <c r="M539" s="114" t="str">
        <f>IF(Main[[#This Row],[Tech Start Date]]&lt;1/1/1990,"",IF(Main[[#This Row],[Class]]="C",WORKDAY(Main[[#This Row],[Tech Start Date]],9),IF(Main[[#This Row],[Class]]="B", WORKDAY(Main[[#This Row],[Tech Start Date]],6),IF(Main[[#This Row],[Class]]="A",WORKDAY(Main[[#This Row],[Tech Start Date]],2),""))))</f>
        <v/>
      </c>
      <c r="N539" s="114" t="str">
        <f>IF(Main[[#This Row],[Tech Start Date]]&lt;1/1/1990,"",IF(Main[[#This Row],[Class]]="C",WORKDAY(Main[[#This Row],[Tech Start Date]],19),IF(Main[[#This Row],[Class]]="B", WORKDAY(Main[[#This Row],[Tech Start Date]],12),IF(Main[[#This Row],[Class]]="A",WORKDAY(Main[[#This Row],[Tech Start Date]],4),""))))</f>
        <v/>
      </c>
      <c r="O539" s="114" t="str">
        <f>IF(Main[[#This Row],[Tech Start Date]]&lt;1/1/1990,"",IF(Main[[#This Row],[Class]]="C",WORKDAY(Main[[#This Row],[Tech Start Date]],23),IF(Main[[#This Row],[Class]]="B", WORKDAY(Main[[#This Row],[Tech Start Date]],15),IF(Main[[#This Row],[Class]]="A",WORKDAY(Main[[#This Row],[Tech Start Date]],5),""))))</f>
        <v/>
      </c>
      <c r="P539" s="114" t="str">
        <f>IF(Main[[#This Row],[Tech Start Date]]&lt;1/1/1990,"",IF(Main[[#This Row],[Class]]="C",WORKDAY(Main[[#This Row],[Tech Start Date]],28),IF(Main[[#This Row],[Class]]="B", WORKDAY(Main[[#This Row],[Tech Start Date]],19),IF(Main[[#This Row],[Class]]="A",WORKDAY(Main[[#This Row],[Tech Start Date]],9),""))))</f>
        <v/>
      </c>
      <c r="Q539" s="129"/>
      <c r="R539" s="129"/>
      <c r="S539" s="139" t="s">
        <v>49</v>
      </c>
      <c r="T539" s="115" t="s">
        <v>4</v>
      </c>
      <c r="U539" s="139" t="s">
        <v>14</v>
      </c>
      <c r="V539" s="139" t="s">
        <v>1917</v>
      </c>
      <c r="W539" s="139" t="s">
        <v>1918</v>
      </c>
      <c r="X539" s="139" t="s">
        <v>306</v>
      </c>
      <c r="Y539" s="112" t="s">
        <v>2941</v>
      </c>
      <c r="Z539" s="112" t="s">
        <v>4</v>
      </c>
      <c r="AA539" s="139" t="s">
        <v>3376</v>
      </c>
    </row>
    <row r="540" spans="1:27" ht="17.25" customHeight="1">
      <c r="A540" s="69" t="str">
        <f>IF(priority(Main[[#This Row],[Comments]])&lt;&gt;0, priority(Main[[#This Row],[Comments]]),"")</f>
        <v/>
      </c>
      <c r="B540" s="63" t="s">
        <v>1357</v>
      </c>
      <c r="C540" s="148" t="s">
        <v>47</v>
      </c>
      <c r="D540" s="113" t="s">
        <v>446</v>
      </c>
      <c r="E540" s="129">
        <v>40323.347812499997</v>
      </c>
      <c r="F540" s="129"/>
      <c r="G540" s="69" t="str">
        <f>IF(stdProdLT(Main[[#This Row],[Comments]])=0.1,"N/A",IF(stdProdLT(Main[[#This Row],[Comments]])=0,"",stdProdLT(Main[[#This Row],[Comments]])))</f>
        <v/>
      </c>
      <c r="H540" s="138" t="str">
        <f>IF(Main[[#This Row],[In Stock Date]]="N/A", "N/A",IF(AND(Main[[#This Row],[In Stock Date]]&lt;&gt;"",Main[[#This Row],[Revised Due Date]]&lt;&gt;"",Main[[#This Row],[In Stock Date]]&lt;&gt;""),Main[[#This Row],[In Stock Date]]-Main[[#This Row],[Revised Due Date]],""))</f>
        <v/>
      </c>
      <c r="I540" s="139" t="s">
        <v>129</v>
      </c>
      <c r="J540" s="139" t="s">
        <v>4</v>
      </c>
      <c r="K540" s="139" t="s">
        <v>4</v>
      </c>
      <c r="L540" s="129"/>
      <c r="M540" s="114" t="str">
        <f>IF(Main[[#This Row],[Tech Start Date]]&lt;1/1/1990,"",IF(Main[[#This Row],[Class]]="C",WORKDAY(Main[[#This Row],[Tech Start Date]],9),IF(Main[[#This Row],[Class]]="B", WORKDAY(Main[[#This Row],[Tech Start Date]],6),IF(Main[[#This Row],[Class]]="A",WORKDAY(Main[[#This Row],[Tech Start Date]],2),""))))</f>
        <v/>
      </c>
      <c r="N540" s="114" t="str">
        <f>IF(Main[[#This Row],[Tech Start Date]]&lt;1/1/1990,"",IF(Main[[#This Row],[Class]]="C",WORKDAY(Main[[#This Row],[Tech Start Date]],19),IF(Main[[#This Row],[Class]]="B", WORKDAY(Main[[#This Row],[Tech Start Date]],12),IF(Main[[#This Row],[Class]]="A",WORKDAY(Main[[#This Row],[Tech Start Date]],4),""))))</f>
        <v/>
      </c>
      <c r="O540" s="114" t="str">
        <f>IF(Main[[#This Row],[Tech Start Date]]&lt;1/1/1990,"",IF(Main[[#This Row],[Class]]="C",WORKDAY(Main[[#This Row],[Tech Start Date]],23),IF(Main[[#This Row],[Class]]="B", WORKDAY(Main[[#This Row],[Tech Start Date]],15),IF(Main[[#This Row],[Class]]="A",WORKDAY(Main[[#This Row],[Tech Start Date]],5),""))))</f>
        <v/>
      </c>
      <c r="P540" s="114" t="str">
        <f>IF(Main[[#This Row],[Tech Start Date]]&lt;1/1/1990,"",IF(Main[[#This Row],[Class]]="C",WORKDAY(Main[[#This Row],[Tech Start Date]],28),IF(Main[[#This Row],[Class]]="B", WORKDAY(Main[[#This Row],[Tech Start Date]],19),IF(Main[[#This Row],[Class]]="A",WORKDAY(Main[[#This Row],[Tech Start Date]],9),""))))</f>
        <v/>
      </c>
      <c r="Q540" s="129">
        <v>40340</v>
      </c>
      <c r="R540" s="129"/>
      <c r="S540" s="139" t="s">
        <v>6</v>
      </c>
      <c r="T540" s="115" t="s">
        <v>4</v>
      </c>
      <c r="U540" s="139" t="s">
        <v>29</v>
      </c>
      <c r="V540" s="139" t="s">
        <v>1914</v>
      </c>
      <c r="W540" s="139" t="s">
        <v>1918</v>
      </c>
      <c r="X540" s="139" t="s">
        <v>306</v>
      </c>
      <c r="Y540" s="112" t="s">
        <v>4</v>
      </c>
      <c r="Z540" s="112" t="s">
        <v>129</v>
      </c>
      <c r="AA540" s="139" t="s">
        <v>3410</v>
      </c>
    </row>
    <row r="541" spans="1:27" ht="17.25" customHeight="1">
      <c r="A541" s="69" t="str">
        <f>IF(priority(Main[[#This Row],[Comments]])&lt;&gt;0, priority(Main[[#This Row],[Comments]]),"")</f>
        <v/>
      </c>
      <c r="B541" s="63" t="s">
        <v>1358</v>
      </c>
      <c r="C541" s="148" t="s">
        <v>31</v>
      </c>
      <c r="D541" s="113" t="s">
        <v>447</v>
      </c>
      <c r="E541" s="129"/>
      <c r="F541" s="129"/>
      <c r="G541" s="69" t="str">
        <f>IF(stdProdLT(Main[[#This Row],[Comments]])=0.1,"N/A",IF(stdProdLT(Main[[#This Row],[Comments]])=0,"",stdProdLT(Main[[#This Row],[Comments]])))</f>
        <v/>
      </c>
      <c r="H541" s="138" t="str">
        <f>IF(Main[[#This Row],[In Stock Date]]="N/A", "N/A",IF(AND(Main[[#This Row],[In Stock Date]]&lt;&gt;"",Main[[#This Row],[Revised Due Date]]&lt;&gt;"",Main[[#This Row],[In Stock Date]]&lt;&gt;""),Main[[#This Row],[In Stock Date]]-Main[[#This Row],[Revised Due Date]],""))</f>
        <v/>
      </c>
      <c r="I541" s="139" t="s">
        <v>4</v>
      </c>
      <c r="J541" s="139" t="s">
        <v>4</v>
      </c>
      <c r="K541" s="139" t="s">
        <v>4</v>
      </c>
      <c r="L541" s="129"/>
      <c r="M541" s="114" t="str">
        <f>IF(Main[[#This Row],[Tech Start Date]]&lt;1/1/1990,"",IF(Main[[#This Row],[Class]]="C",WORKDAY(Main[[#This Row],[Tech Start Date]],9),IF(Main[[#This Row],[Class]]="B", WORKDAY(Main[[#This Row],[Tech Start Date]],6),IF(Main[[#This Row],[Class]]="A",WORKDAY(Main[[#This Row],[Tech Start Date]],2),""))))</f>
        <v/>
      </c>
      <c r="N541" s="114" t="str">
        <f>IF(Main[[#This Row],[Tech Start Date]]&lt;1/1/1990,"",IF(Main[[#This Row],[Class]]="C",WORKDAY(Main[[#This Row],[Tech Start Date]],19),IF(Main[[#This Row],[Class]]="B", WORKDAY(Main[[#This Row],[Tech Start Date]],12),IF(Main[[#This Row],[Class]]="A",WORKDAY(Main[[#This Row],[Tech Start Date]],4),""))))</f>
        <v/>
      </c>
      <c r="O541" s="114" t="str">
        <f>IF(Main[[#This Row],[Tech Start Date]]&lt;1/1/1990,"",IF(Main[[#This Row],[Class]]="C",WORKDAY(Main[[#This Row],[Tech Start Date]],23),IF(Main[[#This Row],[Class]]="B", WORKDAY(Main[[#This Row],[Tech Start Date]],15),IF(Main[[#This Row],[Class]]="A",WORKDAY(Main[[#This Row],[Tech Start Date]],5),""))))</f>
        <v/>
      </c>
      <c r="P541" s="114" t="str">
        <f>IF(Main[[#This Row],[Tech Start Date]]&lt;1/1/1990,"",IF(Main[[#This Row],[Class]]="C",WORKDAY(Main[[#This Row],[Tech Start Date]],28),IF(Main[[#This Row],[Class]]="B", WORKDAY(Main[[#This Row],[Tech Start Date]],19),IF(Main[[#This Row],[Class]]="A",WORKDAY(Main[[#This Row],[Tech Start Date]],9),""))))</f>
        <v/>
      </c>
      <c r="Q541" s="129">
        <v>40318</v>
      </c>
      <c r="R541" s="129"/>
      <c r="S541" s="139" t="s">
        <v>11</v>
      </c>
      <c r="T541" s="115" t="s">
        <v>4</v>
      </c>
      <c r="U541" s="139" t="s">
        <v>14</v>
      </c>
      <c r="V541" s="139" t="s">
        <v>1917</v>
      </c>
      <c r="W541" s="139" t="s">
        <v>1925</v>
      </c>
      <c r="X541" s="139" t="s">
        <v>2830</v>
      </c>
      <c r="Y541" s="112" t="s">
        <v>4</v>
      </c>
      <c r="Z541" s="112" t="s">
        <v>4</v>
      </c>
      <c r="AA541" s="139" t="s">
        <v>2830</v>
      </c>
    </row>
    <row r="542" spans="1:27" ht="17.25" customHeight="1">
      <c r="A542" s="69" t="str">
        <f>IF(priority(Main[[#This Row],[Comments]])&lt;&gt;0, priority(Main[[#This Row],[Comments]]),"")</f>
        <v/>
      </c>
      <c r="B542" s="63" t="s">
        <v>1359</v>
      </c>
      <c r="C542" s="148" t="s">
        <v>31</v>
      </c>
      <c r="D542" s="113" t="s">
        <v>448</v>
      </c>
      <c r="E542" s="129"/>
      <c r="F542" s="129"/>
      <c r="G542" s="69" t="str">
        <f>IF(stdProdLT(Main[[#This Row],[Comments]])=0.1,"N/A",IF(stdProdLT(Main[[#This Row],[Comments]])=0,"",stdProdLT(Main[[#This Row],[Comments]])))</f>
        <v/>
      </c>
      <c r="H542" s="138" t="str">
        <f>IF(Main[[#This Row],[In Stock Date]]="N/A", "N/A",IF(AND(Main[[#This Row],[In Stock Date]]&lt;&gt;"",Main[[#This Row],[Revised Due Date]]&lt;&gt;"",Main[[#This Row],[In Stock Date]]&lt;&gt;""),Main[[#This Row],[In Stock Date]]-Main[[#This Row],[Revised Due Date]],""))</f>
        <v/>
      </c>
      <c r="I542" s="139" t="s">
        <v>4</v>
      </c>
      <c r="J542" s="139" t="s">
        <v>4</v>
      </c>
      <c r="K542" s="139" t="s">
        <v>4</v>
      </c>
      <c r="L542" s="129"/>
      <c r="M542" s="114" t="str">
        <f>IF(Main[[#This Row],[Tech Start Date]]&lt;1/1/1990,"",IF(Main[[#This Row],[Class]]="C",WORKDAY(Main[[#This Row],[Tech Start Date]],9),IF(Main[[#This Row],[Class]]="B", WORKDAY(Main[[#This Row],[Tech Start Date]],6),IF(Main[[#This Row],[Class]]="A",WORKDAY(Main[[#This Row],[Tech Start Date]],2),""))))</f>
        <v/>
      </c>
      <c r="N542" s="114" t="str">
        <f>IF(Main[[#This Row],[Tech Start Date]]&lt;1/1/1990,"",IF(Main[[#This Row],[Class]]="C",WORKDAY(Main[[#This Row],[Tech Start Date]],19),IF(Main[[#This Row],[Class]]="B", WORKDAY(Main[[#This Row],[Tech Start Date]],12),IF(Main[[#This Row],[Class]]="A",WORKDAY(Main[[#This Row],[Tech Start Date]],4),""))))</f>
        <v/>
      </c>
      <c r="O542" s="114" t="str">
        <f>IF(Main[[#This Row],[Tech Start Date]]&lt;1/1/1990,"",IF(Main[[#This Row],[Class]]="C",WORKDAY(Main[[#This Row],[Tech Start Date]],23),IF(Main[[#This Row],[Class]]="B", WORKDAY(Main[[#This Row],[Tech Start Date]],15),IF(Main[[#This Row],[Class]]="A",WORKDAY(Main[[#This Row],[Tech Start Date]],5),""))))</f>
        <v/>
      </c>
      <c r="P542" s="114" t="str">
        <f>IF(Main[[#This Row],[Tech Start Date]]&lt;1/1/1990,"",IF(Main[[#This Row],[Class]]="C",WORKDAY(Main[[#This Row],[Tech Start Date]],28),IF(Main[[#This Row],[Class]]="B", WORKDAY(Main[[#This Row],[Tech Start Date]],19),IF(Main[[#This Row],[Class]]="A",WORKDAY(Main[[#This Row],[Tech Start Date]],9),""))))</f>
        <v/>
      </c>
      <c r="Q542" s="129">
        <v>40318</v>
      </c>
      <c r="R542" s="129"/>
      <c r="S542" s="139" t="s">
        <v>11</v>
      </c>
      <c r="T542" s="115" t="s">
        <v>4</v>
      </c>
      <c r="U542" s="139" t="s">
        <v>14</v>
      </c>
      <c r="V542" s="139" t="s">
        <v>1917</v>
      </c>
      <c r="W542" s="139" t="s">
        <v>1925</v>
      </c>
      <c r="X542" s="139" t="s">
        <v>2830</v>
      </c>
      <c r="Y542" s="112" t="s">
        <v>4</v>
      </c>
      <c r="Z542" s="112" t="s">
        <v>4</v>
      </c>
      <c r="AA542" s="139" t="s">
        <v>2830</v>
      </c>
    </row>
    <row r="543" spans="1:27" ht="17.25" customHeight="1">
      <c r="A543" s="69" t="str">
        <f>IF(priority(Main[[#This Row],[Comments]])&lt;&gt;0, priority(Main[[#This Row],[Comments]]),"")</f>
        <v/>
      </c>
      <c r="B543" s="63" t="s">
        <v>1360</v>
      </c>
      <c r="C543" s="148" t="s">
        <v>275</v>
      </c>
      <c r="D543" s="113" t="s">
        <v>449</v>
      </c>
      <c r="E543" s="129"/>
      <c r="F543" s="129">
        <v>40444</v>
      </c>
      <c r="G543" s="69" t="str">
        <f>IF(stdProdLT(Main[[#This Row],[Comments]])=0.1,"N/A",IF(stdProdLT(Main[[#This Row],[Comments]])=0,"",stdProdLT(Main[[#This Row],[Comments]])))</f>
        <v/>
      </c>
      <c r="H543" s="138" t="str">
        <f>IF(Main[[#This Row],[In Stock Date]]="N/A", "N/A",IF(AND(Main[[#This Row],[In Stock Date]]&lt;&gt;"",Main[[#This Row],[Revised Due Date]]&lt;&gt;"",Main[[#This Row],[In Stock Date]]&lt;&gt;""),Main[[#This Row],[In Stock Date]]-Main[[#This Row],[Revised Due Date]],""))</f>
        <v/>
      </c>
      <c r="I543" s="139" t="s">
        <v>4</v>
      </c>
      <c r="J543" s="139" t="s">
        <v>4</v>
      </c>
      <c r="K543" s="140" t="s">
        <v>4</v>
      </c>
      <c r="L543" s="129"/>
      <c r="M543" s="114" t="str">
        <f>IF(Main[[#This Row],[Tech Start Date]]&lt;1/1/1990,"",IF(Main[[#This Row],[Class]]="C",WORKDAY(Main[[#This Row],[Tech Start Date]],9),IF(Main[[#This Row],[Class]]="B", WORKDAY(Main[[#This Row],[Tech Start Date]],6),IF(Main[[#This Row],[Class]]="A",WORKDAY(Main[[#This Row],[Tech Start Date]],2),""))))</f>
        <v/>
      </c>
      <c r="N543" s="114" t="str">
        <f>IF(Main[[#This Row],[Tech Start Date]]&lt;1/1/1990,"",IF(Main[[#This Row],[Class]]="C",WORKDAY(Main[[#This Row],[Tech Start Date]],19),IF(Main[[#This Row],[Class]]="B", WORKDAY(Main[[#This Row],[Tech Start Date]],12),IF(Main[[#This Row],[Class]]="A",WORKDAY(Main[[#This Row],[Tech Start Date]],4),""))))</f>
        <v/>
      </c>
      <c r="O543" s="114" t="str">
        <f>IF(Main[[#This Row],[Tech Start Date]]&lt;1/1/1990,"",IF(Main[[#This Row],[Class]]="C",WORKDAY(Main[[#This Row],[Tech Start Date]],23),IF(Main[[#This Row],[Class]]="B", WORKDAY(Main[[#This Row],[Tech Start Date]],15),IF(Main[[#This Row],[Class]]="A",WORKDAY(Main[[#This Row],[Tech Start Date]],5),""))))</f>
        <v/>
      </c>
      <c r="P543" s="114" t="str">
        <f>IF(Main[[#This Row],[Tech Start Date]]&lt;1/1/1990,"",IF(Main[[#This Row],[Class]]="C",WORKDAY(Main[[#This Row],[Tech Start Date]],28),IF(Main[[#This Row],[Class]]="B", WORKDAY(Main[[#This Row],[Tech Start Date]],19),IF(Main[[#This Row],[Class]]="A",WORKDAY(Main[[#This Row],[Tech Start Date]],9),""))))</f>
        <v/>
      </c>
      <c r="Q543" s="129">
        <v>40262</v>
      </c>
      <c r="R543" s="129"/>
      <c r="S543" s="139" t="s">
        <v>17</v>
      </c>
      <c r="T543" s="115" t="s">
        <v>4</v>
      </c>
      <c r="U543" s="139" t="s">
        <v>14</v>
      </c>
      <c r="V543" s="139" t="s">
        <v>1917</v>
      </c>
      <c r="W543" s="139" t="s">
        <v>1919</v>
      </c>
      <c r="X543" s="139" t="s">
        <v>306</v>
      </c>
      <c r="Y543" s="112" t="s">
        <v>4</v>
      </c>
      <c r="Z543" s="112" t="s">
        <v>4</v>
      </c>
      <c r="AA543" s="139" t="s">
        <v>65</v>
      </c>
    </row>
    <row r="544" spans="1:27" ht="17.25" customHeight="1">
      <c r="A544" s="69" t="str">
        <f>IF(priority(Main[[#This Row],[Comments]])&lt;&gt;0, priority(Main[[#This Row],[Comments]]),"")</f>
        <v/>
      </c>
      <c r="B544" s="63" t="s">
        <v>1361</v>
      </c>
      <c r="C544" s="148" t="s">
        <v>67</v>
      </c>
      <c r="D544" s="113" t="s">
        <v>450</v>
      </c>
      <c r="E544" s="129"/>
      <c r="F544" s="129"/>
      <c r="G544" s="69" t="str">
        <f>IF(stdProdLT(Main[[#This Row],[Comments]])=0.1,"N/A",IF(stdProdLT(Main[[#This Row],[Comments]])=0,"",stdProdLT(Main[[#This Row],[Comments]])))</f>
        <v/>
      </c>
      <c r="H544" s="138" t="str">
        <f>IF(Main[[#This Row],[In Stock Date]]="N/A", "N/A",IF(AND(Main[[#This Row],[In Stock Date]]&lt;&gt;"",Main[[#This Row],[Revised Due Date]]&lt;&gt;"",Main[[#This Row],[In Stock Date]]&lt;&gt;""),Main[[#This Row],[In Stock Date]]-Main[[#This Row],[Revised Due Date]],""))</f>
        <v/>
      </c>
      <c r="I544" s="139" t="s">
        <v>4</v>
      </c>
      <c r="J544" s="139" t="s">
        <v>4</v>
      </c>
      <c r="K544" s="139" t="s">
        <v>4</v>
      </c>
      <c r="L544" s="129"/>
      <c r="M544" s="114" t="str">
        <f>IF(Main[[#This Row],[Tech Start Date]]&lt;1/1/1990,"",IF(Main[[#This Row],[Class]]="C",WORKDAY(Main[[#This Row],[Tech Start Date]],9),IF(Main[[#This Row],[Class]]="B", WORKDAY(Main[[#This Row],[Tech Start Date]],6),IF(Main[[#This Row],[Class]]="A",WORKDAY(Main[[#This Row],[Tech Start Date]],2),""))))</f>
        <v/>
      </c>
      <c r="N544" s="114" t="str">
        <f>IF(Main[[#This Row],[Tech Start Date]]&lt;1/1/1990,"",IF(Main[[#This Row],[Class]]="C",WORKDAY(Main[[#This Row],[Tech Start Date]],19),IF(Main[[#This Row],[Class]]="B", WORKDAY(Main[[#This Row],[Tech Start Date]],12),IF(Main[[#This Row],[Class]]="A",WORKDAY(Main[[#This Row],[Tech Start Date]],4),""))))</f>
        <v/>
      </c>
      <c r="O544" s="114" t="str">
        <f>IF(Main[[#This Row],[Tech Start Date]]&lt;1/1/1990,"",IF(Main[[#This Row],[Class]]="C",WORKDAY(Main[[#This Row],[Tech Start Date]],23),IF(Main[[#This Row],[Class]]="B", WORKDAY(Main[[#This Row],[Tech Start Date]],15),IF(Main[[#This Row],[Class]]="A",WORKDAY(Main[[#This Row],[Tech Start Date]],5),""))))</f>
        <v/>
      </c>
      <c r="P544" s="114" t="str">
        <f>IF(Main[[#This Row],[Tech Start Date]]&lt;1/1/1990,"",IF(Main[[#This Row],[Class]]="C",WORKDAY(Main[[#This Row],[Tech Start Date]],28),IF(Main[[#This Row],[Class]]="B", WORKDAY(Main[[#This Row],[Tech Start Date]],19),IF(Main[[#This Row],[Class]]="A",WORKDAY(Main[[#This Row],[Tech Start Date]],9),""))))</f>
        <v/>
      </c>
      <c r="Q544" s="129"/>
      <c r="R544" s="129"/>
      <c r="S544" s="139" t="s">
        <v>11</v>
      </c>
      <c r="T544" s="115" t="s">
        <v>4</v>
      </c>
      <c r="U544" s="139" t="s">
        <v>12</v>
      </c>
      <c r="V544" s="139" t="s">
        <v>1915</v>
      </c>
      <c r="W544" s="139" t="s">
        <v>1922</v>
      </c>
      <c r="X544" s="139" t="s">
        <v>2862</v>
      </c>
      <c r="Y544" s="112" t="s">
        <v>3006</v>
      </c>
      <c r="Z544" s="112" t="s">
        <v>4</v>
      </c>
      <c r="AA544" s="139" t="s">
        <v>2862</v>
      </c>
    </row>
    <row r="545" spans="1:27" ht="17.25" customHeight="1">
      <c r="A545" s="69" t="str">
        <f>IF(priority(Main[[#This Row],[Comments]])&lt;&gt;0, priority(Main[[#This Row],[Comments]]),"")</f>
        <v/>
      </c>
      <c r="B545" s="63" t="s">
        <v>1362</v>
      </c>
      <c r="C545" s="148" t="s">
        <v>83</v>
      </c>
      <c r="D545" s="113" t="s">
        <v>451</v>
      </c>
      <c r="E545" s="129"/>
      <c r="F545" s="129"/>
      <c r="G545" s="69" t="str">
        <f>IF(stdProdLT(Main[[#This Row],[Comments]])=0.1,"N/A",IF(stdProdLT(Main[[#This Row],[Comments]])=0,"",stdProdLT(Main[[#This Row],[Comments]])))</f>
        <v/>
      </c>
      <c r="H545" s="138" t="str">
        <f>IF(Main[[#This Row],[In Stock Date]]="N/A", "N/A",IF(AND(Main[[#This Row],[In Stock Date]]&lt;&gt;"",Main[[#This Row],[Revised Due Date]]&lt;&gt;"",Main[[#This Row],[In Stock Date]]&lt;&gt;""),Main[[#This Row],[In Stock Date]]-Main[[#This Row],[Revised Due Date]],""))</f>
        <v/>
      </c>
      <c r="I545" s="139" t="s">
        <v>4</v>
      </c>
      <c r="J545" s="139" t="s">
        <v>4</v>
      </c>
      <c r="K545" s="139" t="s">
        <v>4</v>
      </c>
      <c r="L545" s="129"/>
      <c r="M545" s="114" t="str">
        <f>IF(Main[[#This Row],[Tech Start Date]]&lt;1/1/1990,"",IF(Main[[#This Row],[Class]]="C",WORKDAY(Main[[#This Row],[Tech Start Date]],9),IF(Main[[#This Row],[Class]]="B", WORKDAY(Main[[#This Row],[Tech Start Date]],6),IF(Main[[#This Row],[Class]]="A",WORKDAY(Main[[#This Row],[Tech Start Date]],2),""))))</f>
        <v/>
      </c>
      <c r="N545" s="114" t="str">
        <f>IF(Main[[#This Row],[Tech Start Date]]&lt;1/1/1990,"",IF(Main[[#This Row],[Class]]="C",WORKDAY(Main[[#This Row],[Tech Start Date]],19),IF(Main[[#This Row],[Class]]="B", WORKDAY(Main[[#This Row],[Tech Start Date]],12),IF(Main[[#This Row],[Class]]="A",WORKDAY(Main[[#This Row],[Tech Start Date]],4),""))))</f>
        <v/>
      </c>
      <c r="O545" s="114" t="str">
        <f>IF(Main[[#This Row],[Tech Start Date]]&lt;1/1/1990,"",IF(Main[[#This Row],[Class]]="C",WORKDAY(Main[[#This Row],[Tech Start Date]],23),IF(Main[[#This Row],[Class]]="B", WORKDAY(Main[[#This Row],[Tech Start Date]],15),IF(Main[[#This Row],[Class]]="A",WORKDAY(Main[[#This Row],[Tech Start Date]],5),""))))</f>
        <v/>
      </c>
      <c r="P545" s="114" t="str">
        <f>IF(Main[[#This Row],[Tech Start Date]]&lt;1/1/1990,"",IF(Main[[#This Row],[Class]]="C",WORKDAY(Main[[#This Row],[Tech Start Date]],28),IF(Main[[#This Row],[Class]]="B", WORKDAY(Main[[#This Row],[Tech Start Date]],19),IF(Main[[#This Row],[Class]]="A",WORKDAY(Main[[#This Row],[Tech Start Date]],9),""))))</f>
        <v/>
      </c>
      <c r="Q545" s="129">
        <v>40252</v>
      </c>
      <c r="R545" s="129"/>
      <c r="S545" s="139" t="s">
        <v>11</v>
      </c>
      <c r="T545" s="115" t="s">
        <v>4</v>
      </c>
      <c r="U545" s="139" t="s">
        <v>14</v>
      </c>
      <c r="V545" s="139" t="s">
        <v>1914</v>
      </c>
      <c r="W545" s="139" t="s">
        <v>1925</v>
      </c>
      <c r="X545" s="139" t="s">
        <v>2817</v>
      </c>
      <c r="Y545" s="112" t="s">
        <v>4</v>
      </c>
      <c r="Z545" s="112" t="s">
        <v>4</v>
      </c>
      <c r="AA545" s="139" t="s">
        <v>2817</v>
      </c>
    </row>
    <row r="546" spans="1:27" ht="17.25" customHeight="1">
      <c r="A546" s="69" t="str">
        <f>IF(priority(Main[[#This Row],[Comments]])&lt;&gt;0, priority(Main[[#This Row],[Comments]]),"")</f>
        <v/>
      </c>
      <c r="B546" s="63" t="s">
        <v>1363</v>
      </c>
      <c r="C546" s="148" t="s">
        <v>42</v>
      </c>
      <c r="D546" s="113" t="s">
        <v>452</v>
      </c>
      <c r="E546" s="129">
        <v>39932.393530092595</v>
      </c>
      <c r="F546" s="129"/>
      <c r="G546" s="69" t="str">
        <f>IF(stdProdLT(Main[[#This Row],[Comments]])=0.1,"N/A",IF(stdProdLT(Main[[#This Row],[Comments]])=0,"",stdProdLT(Main[[#This Row],[Comments]])))</f>
        <v/>
      </c>
      <c r="H546" s="138" t="str">
        <f>IF(Main[[#This Row],[In Stock Date]]="N/A", "N/A",IF(AND(Main[[#This Row],[In Stock Date]]&lt;&gt;"",Main[[#This Row],[Revised Due Date]]&lt;&gt;"",Main[[#This Row],[In Stock Date]]&lt;&gt;""),Main[[#This Row],[In Stock Date]]-Main[[#This Row],[Revised Due Date]],""))</f>
        <v/>
      </c>
      <c r="I546" s="139" t="s">
        <v>4</v>
      </c>
      <c r="J546" s="139" t="s">
        <v>4</v>
      </c>
      <c r="K546" s="140" t="s">
        <v>4</v>
      </c>
      <c r="L546" s="129"/>
      <c r="M546" s="114" t="str">
        <f>IF(Main[[#This Row],[Tech Start Date]]&lt;1/1/1990,"",IF(Main[[#This Row],[Class]]="C",WORKDAY(Main[[#This Row],[Tech Start Date]],9),IF(Main[[#This Row],[Class]]="B", WORKDAY(Main[[#This Row],[Tech Start Date]],6),IF(Main[[#This Row],[Class]]="A",WORKDAY(Main[[#This Row],[Tech Start Date]],2),""))))</f>
        <v/>
      </c>
      <c r="N546" s="114" t="str">
        <f>IF(Main[[#This Row],[Tech Start Date]]&lt;1/1/1990,"",IF(Main[[#This Row],[Class]]="C",WORKDAY(Main[[#This Row],[Tech Start Date]],19),IF(Main[[#This Row],[Class]]="B", WORKDAY(Main[[#This Row],[Tech Start Date]],12),IF(Main[[#This Row],[Class]]="A",WORKDAY(Main[[#This Row],[Tech Start Date]],4),""))))</f>
        <v/>
      </c>
      <c r="O546" s="114" t="str">
        <f>IF(Main[[#This Row],[Tech Start Date]]&lt;1/1/1990,"",IF(Main[[#This Row],[Class]]="C",WORKDAY(Main[[#This Row],[Tech Start Date]],23),IF(Main[[#This Row],[Class]]="B", WORKDAY(Main[[#This Row],[Tech Start Date]],15),IF(Main[[#This Row],[Class]]="A",WORKDAY(Main[[#This Row],[Tech Start Date]],5),""))))</f>
        <v/>
      </c>
      <c r="P546" s="114" t="str">
        <f>IF(Main[[#This Row],[Tech Start Date]]&lt;1/1/1990,"",IF(Main[[#This Row],[Class]]="C",WORKDAY(Main[[#This Row],[Tech Start Date]],28),IF(Main[[#This Row],[Class]]="B", WORKDAY(Main[[#This Row],[Tech Start Date]],19),IF(Main[[#This Row],[Class]]="A",WORKDAY(Main[[#This Row],[Tech Start Date]],9),""))))</f>
        <v/>
      </c>
      <c r="Q546" s="129"/>
      <c r="R546" s="129"/>
      <c r="S546" s="139" t="s">
        <v>17</v>
      </c>
      <c r="T546" s="115" t="s">
        <v>4</v>
      </c>
      <c r="U546" s="139" t="s">
        <v>7</v>
      </c>
      <c r="V546" s="139" t="s">
        <v>1917</v>
      </c>
      <c r="W546" s="139" t="s">
        <v>4</v>
      </c>
      <c r="X546" s="139" t="s">
        <v>399</v>
      </c>
      <c r="Y546" s="112" t="s">
        <v>4</v>
      </c>
      <c r="Z546" s="112" t="s">
        <v>4</v>
      </c>
      <c r="AA546" s="139" t="s">
        <v>4</v>
      </c>
    </row>
    <row r="547" spans="1:27" ht="17.25" customHeight="1">
      <c r="A547" s="69" t="str">
        <f>IF(priority(Main[[#This Row],[Comments]])&lt;&gt;0, priority(Main[[#This Row],[Comments]]),"")</f>
        <v/>
      </c>
      <c r="B547" s="63" t="s">
        <v>1364</v>
      </c>
      <c r="C547" s="148" t="s">
        <v>453</v>
      </c>
      <c r="D547" s="113" t="s">
        <v>454</v>
      </c>
      <c r="E547" s="129"/>
      <c r="F547" s="129"/>
      <c r="G547" s="69" t="str">
        <f>IF(stdProdLT(Main[[#This Row],[Comments]])=0.1,"N/A",IF(stdProdLT(Main[[#This Row],[Comments]])=0,"",stdProdLT(Main[[#This Row],[Comments]])))</f>
        <v/>
      </c>
      <c r="H547" s="138" t="str">
        <f>IF(Main[[#This Row],[In Stock Date]]="N/A", "N/A",IF(AND(Main[[#This Row],[In Stock Date]]&lt;&gt;"",Main[[#This Row],[Revised Due Date]]&lt;&gt;"",Main[[#This Row],[In Stock Date]]&lt;&gt;""),Main[[#This Row],[In Stock Date]]-Main[[#This Row],[Revised Due Date]],""))</f>
        <v/>
      </c>
      <c r="I547" s="139" t="s">
        <v>4</v>
      </c>
      <c r="J547" s="139" t="s">
        <v>4</v>
      </c>
      <c r="K547" s="139" t="s">
        <v>4</v>
      </c>
      <c r="L547" s="129"/>
      <c r="M547" s="114" t="str">
        <f>IF(Main[[#This Row],[Tech Start Date]]&lt;1/1/1990,"",IF(Main[[#This Row],[Class]]="C",WORKDAY(Main[[#This Row],[Tech Start Date]],9),IF(Main[[#This Row],[Class]]="B", WORKDAY(Main[[#This Row],[Tech Start Date]],6),IF(Main[[#This Row],[Class]]="A",WORKDAY(Main[[#This Row],[Tech Start Date]],2),""))))</f>
        <v/>
      </c>
      <c r="N547" s="114" t="str">
        <f>IF(Main[[#This Row],[Tech Start Date]]&lt;1/1/1990,"",IF(Main[[#This Row],[Class]]="C",WORKDAY(Main[[#This Row],[Tech Start Date]],19),IF(Main[[#This Row],[Class]]="B", WORKDAY(Main[[#This Row],[Tech Start Date]],12),IF(Main[[#This Row],[Class]]="A",WORKDAY(Main[[#This Row],[Tech Start Date]],4),""))))</f>
        <v/>
      </c>
      <c r="O547" s="114" t="str">
        <f>IF(Main[[#This Row],[Tech Start Date]]&lt;1/1/1990,"",IF(Main[[#This Row],[Class]]="C",WORKDAY(Main[[#This Row],[Tech Start Date]],23),IF(Main[[#This Row],[Class]]="B", WORKDAY(Main[[#This Row],[Tech Start Date]],15),IF(Main[[#This Row],[Class]]="A",WORKDAY(Main[[#This Row],[Tech Start Date]],5),""))))</f>
        <v/>
      </c>
      <c r="P547" s="114" t="str">
        <f>IF(Main[[#This Row],[Tech Start Date]]&lt;1/1/1990,"",IF(Main[[#This Row],[Class]]="C",WORKDAY(Main[[#This Row],[Tech Start Date]],28),IF(Main[[#This Row],[Class]]="B", WORKDAY(Main[[#This Row],[Tech Start Date]],19),IF(Main[[#This Row],[Class]]="A",WORKDAY(Main[[#This Row],[Tech Start Date]],9),""))))</f>
        <v/>
      </c>
      <c r="Q547" s="129"/>
      <c r="R547" s="129"/>
      <c r="S547" s="139" t="s">
        <v>11</v>
      </c>
      <c r="T547" s="115" t="s">
        <v>4</v>
      </c>
      <c r="U547" s="139" t="s">
        <v>14</v>
      </c>
      <c r="V547" s="139" t="s">
        <v>1915</v>
      </c>
      <c r="W547" s="139" t="s">
        <v>1922</v>
      </c>
      <c r="X547" s="139" t="s">
        <v>399</v>
      </c>
      <c r="Y547" s="112" t="s">
        <v>4</v>
      </c>
      <c r="Z547" s="112" t="s">
        <v>4</v>
      </c>
      <c r="AA547" s="139" t="s">
        <v>4</v>
      </c>
    </row>
    <row r="548" spans="1:27" ht="17.25" customHeight="1">
      <c r="A548" s="69" t="str">
        <f>IF(priority(Main[[#This Row],[Comments]])&lt;&gt;0, priority(Main[[#This Row],[Comments]]),"")</f>
        <v/>
      </c>
      <c r="B548" s="63" t="s">
        <v>1365</v>
      </c>
      <c r="C548" s="148" t="s">
        <v>455</v>
      </c>
      <c r="D548" s="113" t="s">
        <v>456</v>
      </c>
      <c r="E548" s="129"/>
      <c r="F548" s="129"/>
      <c r="G548" s="69" t="str">
        <f>IF(stdProdLT(Main[[#This Row],[Comments]])=0.1,"N/A",IF(stdProdLT(Main[[#This Row],[Comments]])=0,"",stdProdLT(Main[[#This Row],[Comments]])))</f>
        <v/>
      </c>
      <c r="H548" s="138" t="str">
        <f>IF(Main[[#This Row],[In Stock Date]]="N/A", "N/A",IF(AND(Main[[#This Row],[In Stock Date]]&lt;&gt;"",Main[[#This Row],[Revised Due Date]]&lt;&gt;"",Main[[#This Row],[In Stock Date]]&lt;&gt;""),Main[[#This Row],[In Stock Date]]-Main[[#This Row],[Revised Due Date]],""))</f>
        <v/>
      </c>
      <c r="I548" s="139" t="s">
        <v>4</v>
      </c>
      <c r="J548" s="139" t="s">
        <v>4</v>
      </c>
      <c r="K548" s="139" t="s">
        <v>4</v>
      </c>
      <c r="L548" s="129"/>
      <c r="M548" s="114" t="str">
        <f>IF(Main[[#This Row],[Tech Start Date]]&lt;1/1/1990,"",IF(Main[[#This Row],[Class]]="C",WORKDAY(Main[[#This Row],[Tech Start Date]],9),IF(Main[[#This Row],[Class]]="B", WORKDAY(Main[[#This Row],[Tech Start Date]],6),IF(Main[[#This Row],[Class]]="A",WORKDAY(Main[[#This Row],[Tech Start Date]],2),""))))</f>
        <v/>
      </c>
      <c r="N548" s="114" t="str">
        <f>IF(Main[[#This Row],[Tech Start Date]]&lt;1/1/1990,"",IF(Main[[#This Row],[Class]]="C",WORKDAY(Main[[#This Row],[Tech Start Date]],19),IF(Main[[#This Row],[Class]]="B", WORKDAY(Main[[#This Row],[Tech Start Date]],12),IF(Main[[#This Row],[Class]]="A",WORKDAY(Main[[#This Row],[Tech Start Date]],4),""))))</f>
        <v/>
      </c>
      <c r="O548" s="114" t="str">
        <f>IF(Main[[#This Row],[Tech Start Date]]&lt;1/1/1990,"",IF(Main[[#This Row],[Class]]="C",WORKDAY(Main[[#This Row],[Tech Start Date]],23),IF(Main[[#This Row],[Class]]="B", WORKDAY(Main[[#This Row],[Tech Start Date]],15),IF(Main[[#This Row],[Class]]="A",WORKDAY(Main[[#This Row],[Tech Start Date]],5),""))))</f>
        <v/>
      </c>
      <c r="P548" s="114" t="str">
        <f>IF(Main[[#This Row],[Tech Start Date]]&lt;1/1/1990,"",IF(Main[[#This Row],[Class]]="C",WORKDAY(Main[[#This Row],[Tech Start Date]],28),IF(Main[[#This Row],[Class]]="B", WORKDAY(Main[[#This Row],[Tech Start Date]],19),IF(Main[[#This Row],[Class]]="A",WORKDAY(Main[[#This Row],[Tech Start Date]],9),""))))</f>
        <v/>
      </c>
      <c r="Q548" s="129"/>
      <c r="R548" s="129"/>
      <c r="S548" s="139" t="s">
        <v>11</v>
      </c>
      <c r="T548" s="115" t="s">
        <v>4</v>
      </c>
      <c r="U548" s="139" t="s">
        <v>14</v>
      </c>
      <c r="V548" s="139" t="s">
        <v>1915</v>
      </c>
      <c r="W548" s="139" t="s">
        <v>1922</v>
      </c>
      <c r="X548" s="139" t="s">
        <v>399</v>
      </c>
      <c r="Y548" s="112" t="s">
        <v>4</v>
      </c>
      <c r="Z548" s="112" t="s">
        <v>4</v>
      </c>
      <c r="AA548" s="139" t="s">
        <v>3411</v>
      </c>
    </row>
    <row r="549" spans="1:27" ht="17.25" customHeight="1">
      <c r="A549" s="69" t="str">
        <f>IF(priority(Main[[#This Row],[Comments]])&lt;&gt;0, priority(Main[[#This Row],[Comments]]),"")</f>
        <v/>
      </c>
      <c r="B549" s="63" t="s">
        <v>1366</v>
      </c>
      <c r="C549" s="148" t="s">
        <v>457</v>
      </c>
      <c r="D549" s="113" t="s">
        <v>458</v>
      </c>
      <c r="E549" s="129"/>
      <c r="F549" s="129">
        <v>40214</v>
      </c>
      <c r="G549" s="69" t="str">
        <f>IF(stdProdLT(Main[[#This Row],[Comments]])=0.1,"N/A",IF(stdProdLT(Main[[#This Row],[Comments]])=0,"",stdProdLT(Main[[#This Row],[Comments]])))</f>
        <v/>
      </c>
      <c r="H549" s="138" t="str">
        <f>IF(Main[[#This Row],[In Stock Date]]="N/A", "N/A",IF(AND(Main[[#This Row],[In Stock Date]]&lt;&gt;"",Main[[#This Row],[Revised Due Date]]&lt;&gt;"",Main[[#This Row],[In Stock Date]]&lt;&gt;""),Main[[#This Row],[In Stock Date]]-Main[[#This Row],[Revised Due Date]],""))</f>
        <v/>
      </c>
      <c r="I549" s="139" t="s">
        <v>4</v>
      </c>
      <c r="J549" s="139" t="s">
        <v>4</v>
      </c>
      <c r="K549" s="139" t="s">
        <v>4</v>
      </c>
      <c r="L549" s="129"/>
      <c r="M549" s="114" t="str">
        <f>IF(Main[[#This Row],[Tech Start Date]]&lt;1/1/1990,"",IF(Main[[#This Row],[Class]]="C",WORKDAY(Main[[#This Row],[Tech Start Date]],9),IF(Main[[#This Row],[Class]]="B", WORKDAY(Main[[#This Row],[Tech Start Date]],6),IF(Main[[#This Row],[Class]]="A",WORKDAY(Main[[#This Row],[Tech Start Date]],2),""))))</f>
        <v/>
      </c>
      <c r="N549" s="114" t="str">
        <f>IF(Main[[#This Row],[Tech Start Date]]&lt;1/1/1990,"",IF(Main[[#This Row],[Class]]="C",WORKDAY(Main[[#This Row],[Tech Start Date]],19),IF(Main[[#This Row],[Class]]="B", WORKDAY(Main[[#This Row],[Tech Start Date]],12),IF(Main[[#This Row],[Class]]="A",WORKDAY(Main[[#This Row],[Tech Start Date]],4),""))))</f>
        <v/>
      </c>
      <c r="O549" s="114" t="str">
        <f>IF(Main[[#This Row],[Tech Start Date]]&lt;1/1/1990,"",IF(Main[[#This Row],[Class]]="C",WORKDAY(Main[[#This Row],[Tech Start Date]],23),IF(Main[[#This Row],[Class]]="B", WORKDAY(Main[[#This Row],[Tech Start Date]],15),IF(Main[[#This Row],[Class]]="A",WORKDAY(Main[[#This Row],[Tech Start Date]],5),""))))</f>
        <v/>
      </c>
      <c r="P549" s="114" t="str">
        <f>IF(Main[[#This Row],[Tech Start Date]]&lt;1/1/1990,"",IF(Main[[#This Row],[Class]]="C",WORKDAY(Main[[#This Row],[Tech Start Date]],28),IF(Main[[#This Row],[Class]]="B", WORKDAY(Main[[#This Row],[Tech Start Date]],19),IF(Main[[#This Row],[Class]]="A",WORKDAY(Main[[#This Row],[Tech Start Date]],9),""))))</f>
        <v/>
      </c>
      <c r="Q549" s="129">
        <v>40149</v>
      </c>
      <c r="R549" s="129"/>
      <c r="S549" s="139" t="s">
        <v>11</v>
      </c>
      <c r="T549" s="115" t="s">
        <v>4</v>
      </c>
      <c r="U549" s="139" t="s">
        <v>14</v>
      </c>
      <c r="V549" s="139" t="s">
        <v>1917</v>
      </c>
      <c r="W549" s="139" t="s">
        <v>1920</v>
      </c>
      <c r="X549" s="139" t="s">
        <v>2863</v>
      </c>
      <c r="Y549" s="112" t="s">
        <v>4</v>
      </c>
      <c r="Z549" s="112" t="s">
        <v>4</v>
      </c>
      <c r="AA549" s="139" t="s">
        <v>2863</v>
      </c>
    </row>
    <row r="550" spans="1:27" ht="17.25" customHeight="1">
      <c r="A550" s="69" t="str">
        <f>IF(priority(Main[[#This Row],[Comments]])&lt;&gt;0, priority(Main[[#This Row],[Comments]]),"")</f>
        <v/>
      </c>
      <c r="B550" s="63" t="s">
        <v>1367</v>
      </c>
      <c r="C550" s="148" t="s">
        <v>93</v>
      </c>
      <c r="D550" s="113" t="s">
        <v>459</v>
      </c>
      <c r="E550" s="129"/>
      <c r="F550" s="129">
        <v>40210</v>
      </c>
      <c r="G550" s="69" t="str">
        <f>IF(stdProdLT(Main[[#This Row],[Comments]])=0.1,"N/A",IF(stdProdLT(Main[[#This Row],[Comments]])=0,"",stdProdLT(Main[[#This Row],[Comments]])))</f>
        <v/>
      </c>
      <c r="H550" s="138" t="str">
        <f>IF(Main[[#This Row],[In Stock Date]]="N/A", "N/A",IF(AND(Main[[#This Row],[In Stock Date]]&lt;&gt;"",Main[[#This Row],[Revised Due Date]]&lt;&gt;"",Main[[#This Row],[In Stock Date]]&lt;&gt;""),Main[[#This Row],[In Stock Date]]-Main[[#This Row],[Revised Due Date]],""))</f>
        <v/>
      </c>
      <c r="I550" s="139" t="s">
        <v>4</v>
      </c>
      <c r="J550" s="139" t="s">
        <v>4</v>
      </c>
      <c r="K550" s="139" t="s">
        <v>4</v>
      </c>
      <c r="L550" s="129"/>
      <c r="M550" s="114" t="str">
        <f>IF(Main[[#This Row],[Tech Start Date]]&lt;1/1/1990,"",IF(Main[[#This Row],[Class]]="C",WORKDAY(Main[[#This Row],[Tech Start Date]],9),IF(Main[[#This Row],[Class]]="B", WORKDAY(Main[[#This Row],[Tech Start Date]],6),IF(Main[[#This Row],[Class]]="A",WORKDAY(Main[[#This Row],[Tech Start Date]],2),""))))</f>
        <v/>
      </c>
      <c r="N550" s="114" t="str">
        <f>IF(Main[[#This Row],[Tech Start Date]]&lt;1/1/1990,"",IF(Main[[#This Row],[Class]]="C",WORKDAY(Main[[#This Row],[Tech Start Date]],19),IF(Main[[#This Row],[Class]]="B", WORKDAY(Main[[#This Row],[Tech Start Date]],12),IF(Main[[#This Row],[Class]]="A",WORKDAY(Main[[#This Row],[Tech Start Date]],4),""))))</f>
        <v/>
      </c>
      <c r="O550" s="114" t="str">
        <f>IF(Main[[#This Row],[Tech Start Date]]&lt;1/1/1990,"",IF(Main[[#This Row],[Class]]="C",WORKDAY(Main[[#This Row],[Tech Start Date]],23),IF(Main[[#This Row],[Class]]="B", WORKDAY(Main[[#This Row],[Tech Start Date]],15),IF(Main[[#This Row],[Class]]="A",WORKDAY(Main[[#This Row],[Tech Start Date]],5),""))))</f>
        <v/>
      </c>
      <c r="P550" s="114" t="str">
        <f>IF(Main[[#This Row],[Tech Start Date]]&lt;1/1/1990,"",IF(Main[[#This Row],[Class]]="C",WORKDAY(Main[[#This Row],[Tech Start Date]],28),IF(Main[[#This Row],[Class]]="B", WORKDAY(Main[[#This Row],[Tech Start Date]],19),IF(Main[[#This Row],[Class]]="A",WORKDAY(Main[[#This Row],[Tech Start Date]],9),""))))</f>
        <v/>
      </c>
      <c r="Q550" s="129">
        <v>40195</v>
      </c>
      <c r="R550" s="129"/>
      <c r="S550" s="139" t="s">
        <v>11</v>
      </c>
      <c r="T550" s="115" t="s">
        <v>4</v>
      </c>
      <c r="U550" s="139" t="s">
        <v>12</v>
      </c>
      <c r="V550" s="139" t="s">
        <v>1924</v>
      </c>
      <c r="W550" s="139" t="s">
        <v>1925</v>
      </c>
      <c r="X550" s="139" t="s">
        <v>2845</v>
      </c>
      <c r="Y550" s="112" t="s">
        <v>4</v>
      </c>
      <c r="Z550" s="112" t="s">
        <v>4</v>
      </c>
      <c r="AA550" s="139" t="s">
        <v>2845</v>
      </c>
    </row>
    <row r="551" spans="1:27" ht="17.25" customHeight="1">
      <c r="A551" s="69" t="str">
        <f>IF(priority(Main[[#This Row],[Comments]])&lt;&gt;0, priority(Main[[#This Row],[Comments]]),"")</f>
        <v/>
      </c>
      <c r="B551" s="63" t="s">
        <v>1368</v>
      </c>
      <c r="C551" s="148" t="s">
        <v>457</v>
      </c>
      <c r="D551" s="113" t="s">
        <v>460</v>
      </c>
      <c r="E551" s="129"/>
      <c r="F551" s="129">
        <v>40214</v>
      </c>
      <c r="G551" s="69" t="str">
        <f>IF(stdProdLT(Main[[#This Row],[Comments]])=0.1,"N/A",IF(stdProdLT(Main[[#This Row],[Comments]])=0,"",stdProdLT(Main[[#This Row],[Comments]])))</f>
        <v/>
      </c>
      <c r="H551" s="138" t="str">
        <f>IF(Main[[#This Row],[In Stock Date]]="N/A", "N/A",IF(AND(Main[[#This Row],[In Stock Date]]&lt;&gt;"",Main[[#This Row],[Revised Due Date]]&lt;&gt;"",Main[[#This Row],[In Stock Date]]&lt;&gt;""),Main[[#This Row],[In Stock Date]]-Main[[#This Row],[Revised Due Date]],""))</f>
        <v/>
      </c>
      <c r="I551" s="139" t="s">
        <v>4</v>
      </c>
      <c r="J551" s="139" t="s">
        <v>4</v>
      </c>
      <c r="K551" s="139" t="s">
        <v>4</v>
      </c>
      <c r="L551" s="129"/>
      <c r="M551" s="114" t="str">
        <f>IF(Main[[#This Row],[Tech Start Date]]&lt;1/1/1990,"",IF(Main[[#This Row],[Class]]="C",WORKDAY(Main[[#This Row],[Tech Start Date]],9),IF(Main[[#This Row],[Class]]="B", WORKDAY(Main[[#This Row],[Tech Start Date]],6),IF(Main[[#This Row],[Class]]="A",WORKDAY(Main[[#This Row],[Tech Start Date]],2),""))))</f>
        <v/>
      </c>
      <c r="N551" s="114" t="str">
        <f>IF(Main[[#This Row],[Tech Start Date]]&lt;1/1/1990,"",IF(Main[[#This Row],[Class]]="C",WORKDAY(Main[[#This Row],[Tech Start Date]],19),IF(Main[[#This Row],[Class]]="B", WORKDAY(Main[[#This Row],[Tech Start Date]],12),IF(Main[[#This Row],[Class]]="A",WORKDAY(Main[[#This Row],[Tech Start Date]],4),""))))</f>
        <v/>
      </c>
      <c r="O551" s="114" t="str">
        <f>IF(Main[[#This Row],[Tech Start Date]]&lt;1/1/1990,"",IF(Main[[#This Row],[Class]]="C",WORKDAY(Main[[#This Row],[Tech Start Date]],23),IF(Main[[#This Row],[Class]]="B", WORKDAY(Main[[#This Row],[Tech Start Date]],15),IF(Main[[#This Row],[Class]]="A",WORKDAY(Main[[#This Row],[Tech Start Date]],5),""))))</f>
        <v/>
      </c>
      <c r="P551" s="114" t="str">
        <f>IF(Main[[#This Row],[Tech Start Date]]&lt;1/1/1990,"",IF(Main[[#This Row],[Class]]="C",WORKDAY(Main[[#This Row],[Tech Start Date]],28),IF(Main[[#This Row],[Class]]="B", WORKDAY(Main[[#This Row],[Tech Start Date]],19),IF(Main[[#This Row],[Class]]="A",WORKDAY(Main[[#This Row],[Tech Start Date]],9),""))))</f>
        <v/>
      </c>
      <c r="Q551" s="129">
        <v>40149</v>
      </c>
      <c r="R551" s="129"/>
      <c r="S551" s="139" t="s">
        <v>11</v>
      </c>
      <c r="T551" s="115" t="s">
        <v>4</v>
      </c>
      <c r="U551" s="139" t="s">
        <v>14</v>
      </c>
      <c r="V551" s="139" t="s">
        <v>1917</v>
      </c>
      <c r="W551" s="139" t="s">
        <v>1920</v>
      </c>
      <c r="X551" s="139" t="s">
        <v>2863</v>
      </c>
      <c r="Y551" s="112" t="s">
        <v>4</v>
      </c>
      <c r="Z551" s="112" t="s">
        <v>4</v>
      </c>
      <c r="AA551" s="139" t="s">
        <v>2863</v>
      </c>
    </row>
    <row r="552" spans="1:27" ht="17.25" customHeight="1">
      <c r="A552" s="69" t="str">
        <f>IF(priority(Main[[#This Row],[Comments]])&lt;&gt;0, priority(Main[[#This Row],[Comments]]),"")</f>
        <v/>
      </c>
      <c r="B552" s="63" t="s">
        <v>1369</v>
      </c>
      <c r="C552" s="148" t="s">
        <v>31</v>
      </c>
      <c r="D552" s="113" t="s">
        <v>461</v>
      </c>
      <c r="E552" s="129"/>
      <c r="F552" s="129"/>
      <c r="G552" s="69" t="str">
        <f>IF(stdProdLT(Main[[#This Row],[Comments]])=0.1,"N/A",IF(stdProdLT(Main[[#This Row],[Comments]])=0,"",stdProdLT(Main[[#This Row],[Comments]])))</f>
        <v/>
      </c>
      <c r="H552" s="138" t="str">
        <f>IF(Main[[#This Row],[In Stock Date]]="N/A", "N/A",IF(AND(Main[[#This Row],[In Stock Date]]&lt;&gt;"",Main[[#This Row],[Revised Due Date]]&lt;&gt;"",Main[[#This Row],[In Stock Date]]&lt;&gt;""),Main[[#This Row],[In Stock Date]]-Main[[#This Row],[Revised Due Date]],""))</f>
        <v/>
      </c>
      <c r="I552" s="139" t="s">
        <v>4</v>
      </c>
      <c r="J552" s="139" t="s">
        <v>4</v>
      </c>
      <c r="K552" s="139" t="s">
        <v>4</v>
      </c>
      <c r="L552" s="129"/>
      <c r="M552" s="114" t="str">
        <f>IF(Main[[#This Row],[Tech Start Date]]&lt;1/1/1990,"",IF(Main[[#This Row],[Class]]="C",WORKDAY(Main[[#This Row],[Tech Start Date]],9),IF(Main[[#This Row],[Class]]="B", WORKDAY(Main[[#This Row],[Tech Start Date]],6),IF(Main[[#This Row],[Class]]="A",WORKDAY(Main[[#This Row],[Tech Start Date]],2),""))))</f>
        <v/>
      </c>
      <c r="N552" s="114" t="str">
        <f>IF(Main[[#This Row],[Tech Start Date]]&lt;1/1/1990,"",IF(Main[[#This Row],[Class]]="C",WORKDAY(Main[[#This Row],[Tech Start Date]],19),IF(Main[[#This Row],[Class]]="B", WORKDAY(Main[[#This Row],[Tech Start Date]],12),IF(Main[[#This Row],[Class]]="A",WORKDAY(Main[[#This Row],[Tech Start Date]],4),""))))</f>
        <v/>
      </c>
      <c r="O552" s="114" t="str">
        <f>IF(Main[[#This Row],[Tech Start Date]]&lt;1/1/1990,"",IF(Main[[#This Row],[Class]]="C",WORKDAY(Main[[#This Row],[Tech Start Date]],23),IF(Main[[#This Row],[Class]]="B", WORKDAY(Main[[#This Row],[Tech Start Date]],15),IF(Main[[#This Row],[Class]]="A",WORKDAY(Main[[#This Row],[Tech Start Date]],5),""))))</f>
        <v/>
      </c>
      <c r="P552" s="114" t="str">
        <f>IF(Main[[#This Row],[Tech Start Date]]&lt;1/1/1990,"",IF(Main[[#This Row],[Class]]="C",WORKDAY(Main[[#This Row],[Tech Start Date]],28),IF(Main[[#This Row],[Class]]="B", WORKDAY(Main[[#This Row],[Tech Start Date]],19),IF(Main[[#This Row],[Class]]="A",WORKDAY(Main[[#This Row],[Tech Start Date]],9),""))))</f>
        <v/>
      </c>
      <c r="Q552" s="129">
        <v>40318</v>
      </c>
      <c r="R552" s="129"/>
      <c r="S552" s="139" t="s">
        <v>11</v>
      </c>
      <c r="T552" s="115" t="s">
        <v>4</v>
      </c>
      <c r="U552" s="139" t="s">
        <v>14</v>
      </c>
      <c r="V552" s="139" t="s">
        <v>1917</v>
      </c>
      <c r="W552" s="139" t="s">
        <v>1916</v>
      </c>
      <c r="X552" s="139" t="s">
        <v>2830</v>
      </c>
      <c r="Y552" s="112" t="s">
        <v>4</v>
      </c>
      <c r="Z552" s="112" t="s">
        <v>4</v>
      </c>
      <c r="AA552" s="139" t="s">
        <v>2830</v>
      </c>
    </row>
    <row r="553" spans="1:27" ht="17.25" customHeight="1">
      <c r="A553" s="69" t="str">
        <f>IF(priority(Main[[#This Row],[Comments]])&lt;&gt;0, priority(Main[[#This Row],[Comments]]),"")</f>
        <v/>
      </c>
      <c r="B553" s="63" t="s">
        <v>1370</v>
      </c>
      <c r="C553" s="148" t="s">
        <v>31</v>
      </c>
      <c r="D553" s="113" t="s">
        <v>462</v>
      </c>
      <c r="E553" s="129">
        <v>40494.184537037036</v>
      </c>
      <c r="F553" s="129">
        <v>40546</v>
      </c>
      <c r="G553" s="69" t="str">
        <f>IF(stdProdLT(Main[[#This Row],[Comments]])=0.1,"N/A",IF(stdProdLT(Main[[#This Row],[Comments]])=0,"",stdProdLT(Main[[#This Row],[Comments]])))</f>
        <v/>
      </c>
      <c r="H553" s="138" t="str">
        <f>IF(Main[[#This Row],[In Stock Date]]="N/A", "N/A",IF(AND(Main[[#This Row],[In Stock Date]]&lt;&gt;"",Main[[#This Row],[Revised Due Date]]&lt;&gt;"",Main[[#This Row],[In Stock Date]]&lt;&gt;""),Main[[#This Row],[In Stock Date]]-Main[[#This Row],[Revised Due Date]],""))</f>
        <v/>
      </c>
      <c r="I553" s="139" t="s">
        <v>4</v>
      </c>
      <c r="J553" s="139" t="s">
        <v>4</v>
      </c>
      <c r="K553" s="140" t="s">
        <v>4</v>
      </c>
      <c r="L553" s="129"/>
      <c r="M553" s="114" t="str">
        <f>IF(Main[[#This Row],[Tech Start Date]]&lt;1/1/1990,"",IF(Main[[#This Row],[Class]]="C",WORKDAY(Main[[#This Row],[Tech Start Date]],9),IF(Main[[#This Row],[Class]]="B", WORKDAY(Main[[#This Row],[Tech Start Date]],6),IF(Main[[#This Row],[Class]]="A",WORKDAY(Main[[#This Row],[Tech Start Date]],2),""))))</f>
        <v/>
      </c>
      <c r="N553" s="114" t="str">
        <f>IF(Main[[#This Row],[Tech Start Date]]&lt;1/1/1990,"",IF(Main[[#This Row],[Class]]="C",WORKDAY(Main[[#This Row],[Tech Start Date]],19),IF(Main[[#This Row],[Class]]="B", WORKDAY(Main[[#This Row],[Tech Start Date]],12),IF(Main[[#This Row],[Class]]="A",WORKDAY(Main[[#This Row],[Tech Start Date]],4),""))))</f>
        <v/>
      </c>
      <c r="O553" s="114" t="str">
        <f>IF(Main[[#This Row],[Tech Start Date]]&lt;1/1/1990,"",IF(Main[[#This Row],[Class]]="C",WORKDAY(Main[[#This Row],[Tech Start Date]],23),IF(Main[[#This Row],[Class]]="B", WORKDAY(Main[[#This Row],[Tech Start Date]],15),IF(Main[[#This Row],[Class]]="A",WORKDAY(Main[[#This Row],[Tech Start Date]],5),""))))</f>
        <v/>
      </c>
      <c r="P553" s="114" t="str">
        <f>IF(Main[[#This Row],[Tech Start Date]]&lt;1/1/1990,"",IF(Main[[#This Row],[Class]]="C",WORKDAY(Main[[#This Row],[Tech Start Date]],28),IF(Main[[#This Row],[Class]]="B", WORKDAY(Main[[#This Row],[Tech Start Date]],19),IF(Main[[#This Row],[Class]]="A",WORKDAY(Main[[#This Row],[Tech Start Date]],9),""))))</f>
        <v/>
      </c>
      <c r="Q553" s="129">
        <v>40527</v>
      </c>
      <c r="R553" s="129"/>
      <c r="S553" s="139" t="s">
        <v>17</v>
      </c>
      <c r="T553" s="115" t="s">
        <v>4</v>
      </c>
      <c r="U553" s="139" t="s">
        <v>7</v>
      </c>
      <c r="V553" s="139" t="s">
        <v>1917</v>
      </c>
      <c r="W553" s="139" t="s">
        <v>4</v>
      </c>
      <c r="X553" s="139" t="s">
        <v>2856</v>
      </c>
      <c r="Y553" s="112" t="s">
        <v>2997</v>
      </c>
      <c r="Z553" s="112" t="s">
        <v>4</v>
      </c>
      <c r="AA553" s="139" t="s">
        <v>2856</v>
      </c>
    </row>
    <row r="554" spans="1:27" ht="17.25" customHeight="1">
      <c r="A554" s="69" t="str">
        <f>IF(priority(Main[[#This Row],[Comments]])&lt;&gt;0, priority(Main[[#This Row],[Comments]]),"")</f>
        <v/>
      </c>
      <c r="B554" s="63" t="s">
        <v>1371</v>
      </c>
      <c r="C554" s="148" t="s">
        <v>4</v>
      </c>
      <c r="D554" s="113" t="s">
        <v>463</v>
      </c>
      <c r="E554" s="129"/>
      <c r="F554" s="129">
        <v>40374</v>
      </c>
      <c r="G554" s="69" t="str">
        <f>IF(stdProdLT(Main[[#This Row],[Comments]])=0.1,"N/A",IF(stdProdLT(Main[[#This Row],[Comments]])=0,"",stdProdLT(Main[[#This Row],[Comments]])))</f>
        <v/>
      </c>
      <c r="H554" s="138" t="str">
        <f>IF(Main[[#This Row],[In Stock Date]]="N/A", "N/A",IF(AND(Main[[#This Row],[In Stock Date]]&lt;&gt;"",Main[[#This Row],[Revised Due Date]]&lt;&gt;"",Main[[#This Row],[In Stock Date]]&lt;&gt;""),Main[[#This Row],[In Stock Date]]-Main[[#This Row],[Revised Due Date]],""))</f>
        <v/>
      </c>
      <c r="I554" s="139" t="s">
        <v>4</v>
      </c>
      <c r="J554" s="139" t="s">
        <v>4</v>
      </c>
      <c r="K554" s="139" t="s">
        <v>4</v>
      </c>
      <c r="L554" s="129"/>
      <c r="M554" s="114" t="str">
        <f>IF(Main[[#This Row],[Tech Start Date]]&lt;1/1/1990,"",IF(Main[[#This Row],[Class]]="C",WORKDAY(Main[[#This Row],[Tech Start Date]],9),IF(Main[[#This Row],[Class]]="B", WORKDAY(Main[[#This Row],[Tech Start Date]],6),IF(Main[[#This Row],[Class]]="A",WORKDAY(Main[[#This Row],[Tech Start Date]],2),""))))</f>
        <v/>
      </c>
      <c r="N554" s="114" t="str">
        <f>IF(Main[[#This Row],[Tech Start Date]]&lt;1/1/1990,"",IF(Main[[#This Row],[Class]]="C",WORKDAY(Main[[#This Row],[Tech Start Date]],19),IF(Main[[#This Row],[Class]]="B", WORKDAY(Main[[#This Row],[Tech Start Date]],12),IF(Main[[#This Row],[Class]]="A",WORKDAY(Main[[#This Row],[Tech Start Date]],4),""))))</f>
        <v/>
      </c>
      <c r="O554" s="114" t="str">
        <f>IF(Main[[#This Row],[Tech Start Date]]&lt;1/1/1990,"",IF(Main[[#This Row],[Class]]="C",WORKDAY(Main[[#This Row],[Tech Start Date]],23),IF(Main[[#This Row],[Class]]="B", WORKDAY(Main[[#This Row],[Tech Start Date]],15),IF(Main[[#This Row],[Class]]="A",WORKDAY(Main[[#This Row],[Tech Start Date]],5),""))))</f>
        <v/>
      </c>
      <c r="P554" s="114" t="str">
        <f>IF(Main[[#This Row],[Tech Start Date]]&lt;1/1/1990,"",IF(Main[[#This Row],[Class]]="C",WORKDAY(Main[[#This Row],[Tech Start Date]],28),IF(Main[[#This Row],[Class]]="B", WORKDAY(Main[[#This Row],[Tech Start Date]],19),IF(Main[[#This Row],[Class]]="A",WORKDAY(Main[[#This Row],[Tech Start Date]],9),""))))</f>
        <v/>
      </c>
      <c r="Q554" s="129">
        <v>40297</v>
      </c>
      <c r="R554" s="129"/>
      <c r="S554" s="139" t="s">
        <v>11</v>
      </c>
      <c r="T554" s="115" t="s">
        <v>4</v>
      </c>
      <c r="U554" s="139" t="s">
        <v>12</v>
      </c>
      <c r="V554" s="139" t="s">
        <v>1914</v>
      </c>
      <c r="W554" s="139" t="s">
        <v>1922</v>
      </c>
      <c r="X554" s="139" t="s">
        <v>2824</v>
      </c>
      <c r="Y554" s="112" t="s">
        <v>2943</v>
      </c>
      <c r="Z554" s="112" t="s">
        <v>4</v>
      </c>
      <c r="AA554" s="139" t="s">
        <v>2824</v>
      </c>
    </row>
    <row r="555" spans="1:27" ht="17.25" customHeight="1">
      <c r="A555" s="69" t="str">
        <f>IF(priority(Main[[#This Row],[Comments]])&lt;&gt;0, priority(Main[[#This Row],[Comments]]),"")</f>
        <v/>
      </c>
      <c r="B555" s="63" t="s">
        <v>1372</v>
      </c>
      <c r="C555" s="148" t="s">
        <v>31</v>
      </c>
      <c r="D555" s="113" t="s">
        <v>464</v>
      </c>
      <c r="E555" s="129"/>
      <c r="F555" s="129">
        <v>40568</v>
      </c>
      <c r="G555" s="69" t="str">
        <f>IF(stdProdLT(Main[[#This Row],[Comments]])=0.1,"N/A",IF(stdProdLT(Main[[#This Row],[Comments]])=0,"",stdProdLT(Main[[#This Row],[Comments]])))</f>
        <v/>
      </c>
      <c r="H555" s="138" t="str">
        <f>IF(Main[[#This Row],[In Stock Date]]="N/A", "N/A",IF(AND(Main[[#This Row],[In Stock Date]]&lt;&gt;"",Main[[#This Row],[Revised Due Date]]&lt;&gt;"",Main[[#This Row],[In Stock Date]]&lt;&gt;""),Main[[#This Row],[In Stock Date]]-Main[[#This Row],[Revised Due Date]],""))</f>
        <v/>
      </c>
      <c r="I555" s="139" t="s">
        <v>4</v>
      </c>
      <c r="J555" s="139" t="s">
        <v>51</v>
      </c>
      <c r="K555" s="139" t="s">
        <v>4</v>
      </c>
      <c r="L555" s="129"/>
      <c r="M555" s="114" t="str">
        <f>IF(Main[[#This Row],[Tech Start Date]]&lt;1/1/1990,"",IF(Main[[#This Row],[Class]]="C",WORKDAY(Main[[#This Row],[Tech Start Date]],9),IF(Main[[#This Row],[Class]]="B", WORKDAY(Main[[#This Row],[Tech Start Date]],6),IF(Main[[#This Row],[Class]]="A",WORKDAY(Main[[#This Row],[Tech Start Date]],2),""))))</f>
        <v/>
      </c>
      <c r="N555" s="114" t="str">
        <f>IF(Main[[#This Row],[Tech Start Date]]&lt;1/1/1990,"",IF(Main[[#This Row],[Class]]="C",WORKDAY(Main[[#This Row],[Tech Start Date]],19),IF(Main[[#This Row],[Class]]="B", WORKDAY(Main[[#This Row],[Tech Start Date]],12),IF(Main[[#This Row],[Class]]="A",WORKDAY(Main[[#This Row],[Tech Start Date]],4),""))))</f>
        <v/>
      </c>
      <c r="O555" s="114" t="str">
        <f>IF(Main[[#This Row],[Tech Start Date]]&lt;1/1/1990,"",IF(Main[[#This Row],[Class]]="C",WORKDAY(Main[[#This Row],[Tech Start Date]],23),IF(Main[[#This Row],[Class]]="B", WORKDAY(Main[[#This Row],[Tech Start Date]],15),IF(Main[[#This Row],[Class]]="A",WORKDAY(Main[[#This Row],[Tech Start Date]],5),""))))</f>
        <v/>
      </c>
      <c r="P555" s="114" t="str">
        <f>IF(Main[[#This Row],[Tech Start Date]]&lt;1/1/1990,"",IF(Main[[#This Row],[Class]]="C",WORKDAY(Main[[#This Row],[Tech Start Date]],28),IF(Main[[#This Row],[Class]]="B", WORKDAY(Main[[#This Row],[Tech Start Date]],19),IF(Main[[#This Row],[Class]]="A",WORKDAY(Main[[#This Row],[Tech Start Date]],9),""))))</f>
        <v/>
      </c>
      <c r="Q555" s="129">
        <v>40396</v>
      </c>
      <c r="R555" s="129"/>
      <c r="S555" s="139" t="s">
        <v>11</v>
      </c>
      <c r="T555" s="115" t="s">
        <v>4</v>
      </c>
      <c r="U555" s="139" t="s">
        <v>14</v>
      </c>
      <c r="V555" s="139" t="s">
        <v>1924</v>
      </c>
      <c r="W555" s="139" t="s">
        <v>1920</v>
      </c>
      <c r="X555" s="139" t="s">
        <v>2884</v>
      </c>
      <c r="Y555" s="112" t="s">
        <v>3037</v>
      </c>
      <c r="Z555" s="112" t="s">
        <v>883</v>
      </c>
      <c r="AA555" s="139" t="s">
        <v>2884</v>
      </c>
    </row>
    <row r="556" spans="1:27" ht="17.25" customHeight="1">
      <c r="A556" s="69" t="str">
        <f>IF(priority(Main[[#This Row],[Comments]])&lt;&gt;0, priority(Main[[#This Row],[Comments]]),"")</f>
        <v/>
      </c>
      <c r="B556" s="63" t="s">
        <v>1373</v>
      </c>
      <c r="C556" s="148" t="s">
        <v>465</v>
      </c>
      <c r="D556" s="113" t="s">
        <v>466</v>
      </c>
      <c r="E556" s="129"/>
      <c r="F556" s="129">
        <v>40179</v>
      </c>
      <c r="G556" s="69" t="str">
        <f>IF(stdProdLT(Main[[#This Row],[Comments]])=0.1,"N/A",IF(stdProdLT(Main[[#This Row],[Comments]])=0,"",stdProdLT(Main[[#This Row],[Comments]])))</f>
        <v/>
      </c>
      <c r="H556" s="138" t="str">
        <f>IF(Main[[#This Row],[In Stock Date]]="N/A", "N/A",IF(AND(Main[[#This Row],[In Stock Date]]&lt;&gt;"",Main[[#This Row],[Revised Due Date]]&lt;&gt;"",Main[[#This Row],[In Stock Date]]&lt;&gt;""),Main[[#This Row],[In Stock Date]]-Main[[#This Row],[Revised Due Date]],""))</f>
        <v/>
      </c>
      <c r="I556" s="139" t="s">
        <v>4</v>
      </c>
      <c r="J556" s="139" t="s">
        <v>4</v>
      </c>
      <c r="K556" s="139" t="s">
        <v>4</v>
      </c>
      <c r="L556" s="129"/>
      <c r="M556" s="114" t="str">
        <f>IF(Main[[#This Row],[Tech Start Date]]&lt;1/1/1990,"",IF(Main[[#This Row],[Class]]="C",WORKDAY(Main[[#This Row],[Tech Start Date]],9),IF(Main[[#This Row],[Class]]="B", WORKDAY(Main[[#This Row],[Tech Start Date]],6),IF(Main[[#This Row],[Class]]="A",WORKDAY(Main[[#This Row],[Tech Start Date]],2),""))))</f>
        <v/>
      </c>
      <c r="N556" s="114" t="str">
        <f>IF(Main[[#This Row],[Tech Start Date]]&lt;1/1/1990,"",IF(Main[[#This Row],[Class]]="C",WORKDAY(Main[[#This Row],[Tech Start Date]],19),IF(Main[[#This Row],[Class]]="B", WORKDAY(Main[[#This Row],[Tech Start Date]],12),IF(Main[[#This Row],[Class]]="A",WORKDAY(Main[[#This Row],[Tech Start Date]],4),""))))</f>
        <v/>
      </c>
      <c r="O556" s="114" t="str">
        <f>IF(Main[[#This Row],[Tech Start Date]]&lt;1/1/1990,"",IF(Main[[#This Row],[Class]]="C",WORKDAY(Main[[#This Row],[Tech Start Date]],23),IF(Main[[#This Row],[Class]]="B", WORKDAY(Main[[#This Row],[Tech Start Date]],15),IF(Main[[#This Row],[Class]]="A",WORKDAY(Main[[#This Row],[Tech Start Date]],5),""))))</f>
        <v/>
      </c>
      <c r="P556" s="114" t="str">
        <f>IF(Main[[#This Row],[Tech Start Date]]&lt;1/1/1990,"",IF(Main[[#This Row],[Class]]="C",WORKDAY(Main[[#This Row],[Tech Start Date]],28),IF(Main[[#This Row],[Class]]="B", WORKDAY(Main[[#This Row],[Tech Start Date]],19),IF(Main[[#This Row],[Class]]="A",WORKDAY(Main[[#This Row],[Tech Start Date]],9),""))))</f>
        <v/>
      </c>
      <c r="Q556" s="129">
        <v>40154</v>
      </c>
      <c r="R556" s="129"/>
      <c r="S556" s="139" t="s">
        <v>11</v>
      </c>
      <c r="T556" s="115" t="s">
        <v>4</v>
      </c>
      <c r="U556" s="139" t="s">
        <v>14</v>
      </c>
      <c r="V556" s="139" t="s">
        <v>1917</v>
      </c>
      <c r="W556" s="139" t="s">
        <v>1920</v>
      </c>
      <c r="X556" s="139" t="s">
        <v>2863</v>
      </c>
      <c r="Y556" s="112" t="s">
        <v>4</v>
      </c>
      <c r="Z556" s="112" t="s">
        <v>4</v>
      </c>
      <c r="AA556" s="139" t="s">
        <v>2863</v>
      </c>
    </row>
    <row r="557" spans="1:27" ht="17.25" customHeight="1">
      <c r="A557" s="69" t="str">
        <f>IF(priority(Main[[#This Row],[Comments]])&lt;&gt;0, priority(Main[[#This Row],[Comments]]),"")</f>
        <v/>
      </c>
      <c r="B557" s="63" t="s">
        <v>1374</v>
      </c>
      <c r="C557" s="148" t="s">
        <v>4</v>
      </c>
      <c r="D557" s="113" t="s">
        <v>467</v>
      </c>
      <c r="E557" s="129">
        <v>40701.70579861111</v>
      </c>
      <c r="F557" s="129"/>
      <c r="G557" s="69" t="str">
        <f>IF(stdProdLT(Main[[#This Row],[Comments]])=0.1,"N/A",IF(stdProdLT(Main[[#This Row],[Comments]])=0,"",stdProdLT(Main[[#This Row],[Comments]])))</f>
        <v/>
      </c>
      <c r="H557" s="138" t="str">
        <f>IF(Main[[#This Row],[In Stock Date]]="N/A", "N/A",IF(AND(Main[[#This Row],[In Stock Date]]&lt;&gt;"",Main[[#This Row],[Revised Due Date]]&lt;&gt;"",Main[[#This Row],[In Stock Date]]&lt;&gt;""),Main[[#This Row],[In Stock Date]]-Main[[#This Row],[Revised Due Date]],""))</f>
        <v/>
      </c>
      <c r="I557" s="139" t="s">
        <v>4</v>
      </c>
      <c r="J557" s="139" t="s">
        <v>4</v>
      </c>
      <c r="K557" s="140" t="s">
        <v>4</v>
      </c>
      <c r="L557" s="129"/>
      <c r="M557" s="114" t="str">
        <f>IF(Main[[#This Row],[Tech Start Date]]&lt;1/1/1990,"",IF(Main[[#This Row],[Class]]="C",WORKDAY(Main[[#This Row],[Tech Start Date]],9),IF(Main[[#This Row],[Class]]="B", WORKDAY(Main[[#This Row],[Tech Start Date]],6),IF(Main[[#This Row],[Class]]="A",WORKDAY(Main[[#This Row],[Tech Start Date]],2),""))))</f>
        <v/>
      </c>
      <c r="N557" s="114" t="str">
        <f>IF(Main[[#This Row],[Tech Start Date]]&lt;1/1/1990,"",IF(Main[[#This Row],[Class]]="C",WORKDAY(Main[[#This Row],[Tech Start Date]],19),IF(Main[[#This Row],[Class]]="B", WORKDAY(Main[[#This Row],[Tech Start Date]],12),IF(Main[[#This Row],[Class]]="A",WORKDAY(Main[[#This Row],[Tech Start Date]],4),""))))</f>
        <v/>
      </c>
      <c r="O557" s="114" t="str">
        <f>IF(Main[[#This Row],[Tech Start Date]]&lt;1/1/1990,"",IF(Main[[#This Row],[Class]]="C",WORKDAY(Main[[#This Row],[Tech Start Date]],23),IF(Main[[#This Row],[Class]]="B", WORKDAY(Main[[#This Row],[Tech Start Date]],15),IF(Main[[#This Row],[Class]]="A",WORKDAY(Main[[#This Row],[Tech Start Date]],5),""))))</f>
        <v/>
      </c>
      <c r="P557" s="114" t="str">
        <f>IF(Main[[#This Row],[Tech Start Date]]&lt;1/1/1990,"",IF(Main[[#This Row],[Class]]="C",WORKDAY(Main[[#This Row],[Tech Start Date]],28),IF(Main[[#This Row],[Class]]="B", WORKDAY(Main[[#This Row],[Tech Start Date]],19),IF(Main[[#This Row],[Class]]="A",WORKDAY(Main[[#This Row],[Tech Start Date]],9),""))))</f>
        <v/>
      </c>
      <c r="Q557" s="129">
        <v>40732</v>
      </c>
      <c r="R557" s="129"/>
      <c r="S557" s="139" t="s">
        <v>6</v>
      </c>
      <c r="T557" s="115" t="s">
        <v>4</v>
      </c>
      <c r="U557" s="139" t="s">
        <v>7</v>
      </c>
      <c r="V557" s="139" t="s">
        <v>1914</v>
      </c>
      <c r="W557" s="139" t="s">
        <v>4</v>
      </c>
      <c r="X557" s="139" t="s">
        <v>2819</v>
      </c>
      <c r="Y557" s="112" t="s">
        <v>2932</v>
      </c>
      <c r="Z557" s="112" t="s">
        <v>4</v>
      </c>
      <c r="AA557" s="139" t="s">
        <v>2819</v>
      </c>
    </row>
    <row r="558" spans="1:27" ht="17.25" customHeight="1">
      <c r="A558" s="69" t="str">
        <f>IF(priority(Main[[#This Row],[Comments]])&lt;&gt;0, priority(Main[[#This Row],[Comments]]),"")</f>
        <v/>
      </c>
      <c r="B558" s="63" t="s">
        <v>1780</v>
      </c>
      <c r="C558" s="148" t="s">
        <v>4</v>
      </c>
      <c r="D558" s="113" t="s">
        <v>848</v>
      </c>
      <c r="E558" s="129">
        <v>40611.493495370371</v>
      </c>
      <c r="F558" s="129"/>
      <c r="G558" s="69" t="str">
        <f>IF(stdProdLT(Main[[#This Row],[Comments]])=0.1,"N/A",IF(stdProdLT(Main[[#This Row],[Comments]])=0,"",stdProdLT(Main[[#This Row],[Comments]])))</f>
        <v/>
      </c>
      <c r="H558" s="138" t="str">
        <f>IF(Main[[#This Row],[In Stock Date]]="N/A", "N/A",IF(AND(Main[[#This Row],[In Stock Date]]&lt;&gt;"",Main[[#This Row],[Revised Due Date]]&lt;&gt;"",Main[[#This Row],[In Stock Date]]&lt;&gt;""),Main[[#This Row],[In Stock Date]]-Main[[#This Row],[Revised Due Date]],""))</f>
        <v/>
      </c>
      <c r="I558" s="139" t="s">
        <v>4</v>
      </c>
      <c r="J558" s="139" t="s">
        <v>4</v>
      </c>
      <c r="K558" s="140" t="s">
        <v>4</v>
      </c>
      <c r="L558" s="129"/>
      <c r="M558" s="114" t="str">
        <f>IF(Main[[#This Row],[Tech Start Date]]&lt;1/1/1990,"",IF(Main[[#This Row],[Class]]="C",WORKDAY(Main[[#This Row],[Tech Start Date]],9),IF(Main[[#This Row],[Class]]="B", WORKDAY(Main[[#This Row],[Tech Start Date]],6),IF(Main[[#This Row],[Class]]="A",WORKDAY(Main[[#This Row],[Tech Start Date]],2),""))))</f>
        <v/>
      </c>
      <c r="N558" s="114" t="str">
        <f>IF(Main[[#This Row],[Tech Start Date]]&lt;1/1/1990,"",IF(Main[[#This Row],[Class]]="C",WORKDAY(Main[[#This Row],[Tech Start Date]],19),IF(Main[[#This Row],[Class]]="B", WORKDAY(Main[[#This Row],[Tech Start Date]],12),IF(Main[[#This Row],[Class]]="A",WORKDAY(Main[[#This Row],[Tech Start Date]],4),""))))</f>
        <v/>
      </c>
      <c r="O558" s="114" t="str">
        <f>IF(Main[[#This Row],[Tech Start Date]]&lt;1/1/1990,"",IF(Main[[#This Row],[Class]]="C",WORKDAY(Main[[#This Row],[Tech Start Date]],23),IF(Main[[#This Row],[Class]]="B", WORKDAY(Main[[#This Row],[Tech Start Date]],15),IF(Main[[#This Row],[Class]]="A",WORKDAY(Main[[#This Row],[Tech Start Date]],5),""))))</f>
        <v/>
      </c>
      <c r="P558" s="114" t="str">
        <f>IF(Main[[#This Row],[Tech Start Date]]&lt;1/1/1990,"",IF(Main[[#This Row],[Class]]="C",WORKDAY(Main[[#This Row],[Tech Start Date]],28),IF(Main[[#This Row],[Class]]="B", WORKDAY(Main[[#This Row],[Tech Start Date]],19),IF(Main[[#This Row],[Class]]="A",WORKDAY(Main[[#This Row],[Tech Start Date]],9),""))))</f>
        <v/>
      </c>
      <c r="Q558" s="129">
        <v>40725</v>
      </c>
      <c r="R558" s="129"/>
      <c r="S558" s="139" t="s">
        <v>17</v>
      </c>
      <c r="T558" s="115" t="s">
        <v>4</v>
      </c>
      <c r="U558" s="139" t="s">
        <v>7</v>
      </c>
      <c r="V558" s="139" t="s">
        <v>1917</v>
      </c>
      <c r="W558" s="139" t="s">
        <v>1919</v>
      </c>
      <c r="X558" s="139" t="s">
        <v>553</v>
      </c>
      <c r="Y558" s="112" t="s">
        <v>2952</v>
      </c>
      <c r="Z558" s="112" t="s">
        <v>4</v>
      </c>
      <c r="AA558" s="139" t="s">
        <v>553</v>
      </c>
    </row>
    <row r="559" spans="1:27" ht="17.25" customHeight="1">
      <c r="A559" s="69" t="str">
        <f>IF(priority(Main[[#This Row],[Comments]])&lt;&gt;0, priority(Main[[#This Row],[Comments]]),"")</f>
        <v/>
      </c>
      <c r="B559" s="63" t="s">
        <v>1777</v>
      </c>
      <c r="C559" s="148" t="s">
        <v>4</v>
      </c>
      <c r="D559" s="113" t="s">
        <v>845</v>
      </c>
      <c r="E559" s="129"/>
      <c r="F559" s="129"/>
      <c r="G559" s="69" t="str">
        <f>IF(stdProdLT(Main[[#This Row],[Comments]])=0.1,"N/A",IF(stdProdLT(Main[[#This Row],[Comments]])=0,"",stdProdLT(Main[[#This Row],[Comments]])))</f>
        <v/>
      </c>
      <c r="H559" s="138" t="str">
        <f>IF(Main[[#This Row],[In Stock Date]]="N/A", "N/A",IF(AND(Main[[#This Row],[In Stock Date]]&lt;&gt;"",Main[[#This Row],[Revised Due Date]]&lt;&gt;"",Main[[#This Row],[In Stock Date]]&lt;&gt;""),Main[[#This Row],[In Stock Date]]-Main[[#This Row],[Revised Due Date]],""))</f>
        <v/>
      </c>
      <c r="I559" s="139" t="s">
        <v>2044</v>
      </c>
      <c r="J559" s="139" t="s">
        <v>28</v>
      </c>
      <c r="K559" s="139" t="s">
        <v>1923</v>
      </c>
      <c r="L559" s="129"/>
      <c r="M559" s="114" t="str">
        <f>IF(Main[[#This Row],[Tech Start Date]]&lt;1/1/1990,"",IF(Main[[#This Row],[Class]]="C",WORKDAY(Main[[#This Row],[Tech Start Date]],9),IF(Main[[#This Row],[Class]]="B", WORKDAY(Main[[#This Row],[Tech Start Date]],6),IF(Main[[#This Row],[Class]]="A",WORKDAY(Main[[#This Row],[Tech Start Date]],2),""))))</f>
        <v/>
      </c>
      <c r="N559" s="114" t="str">
        <f>IF(Main[[#This Row],[Tech Start Date]]&lt;1/1/1990,"",IF(Main[[#This Row],[Class]]="C",WORKDAY(Main[[#This Row],[Tech Start Date]],19),IF(Main[[#This Row],[Class]]="B", WORKDAY(Main[[#This Row],[Tech Start Date]],12),IF(Main[[#This Row],[Class]]="A",WORKDAY(Main[[#This Row],[Tech Start Date]],4),""))))</f>
        <v/>
      </c>
      <c r="O559" s="114" t="str">
        <f>IF(Main[[#This Row],[Tech Start Date]]&lt;1/1/1990,"",IF(Main[[#This Row],[Class]]="C",WORKDAY(Main[[#This Row],[Tech Start Date]],23),IF(Main[[#This Row],[Class]]="B", WORKDAY(Main[[#This Row],[Tech Start Date]],15),IF(Main[[#This Row],[Class]]="A",WORKDAY(Main[[#This Row],[Tech Start Date]],5),""))))</f>
        <v/>
      </c>
      <c r="P559" s="114" t="str">
        <f>IF(Main[[#This Row],[Tech Start Date]]&lt;1/1/1990,"",IF(Main[[#This Row],[Class]]="C",WORKDAY(Main[[#This Row],[Tech Start Date]],28),IF(Main[[#This Row],[Class]]="B", WORKDAY(Main[[#This Row],[Tech Start Date]],19),IF(Main[[#This Row],[Class]]="A",WORKDAY(Main[[#This Row],[Tech Start Date]],9),""))))</f>
        <v/>
      </c>
      <c r="Q559" s="129">
        <v>40694</v>
      </c>
      <c r="R559" s="129"/>
      <c r="S559" s="139" t="s">
        <v>6</v>
      </c>
      <c r="T559" s="115" t="s">
        <v>4</v>
      </c>
      <c r="U559" s="139" t="s">
        <v>14</v>
      </c>
      <c r="V559" s="139" t="s">
        <v>1917</v>
      </c>
      <c r="W559" s="139" t="s">
        <v>1918</v>
      </c>
      <c r="X559" s="139" t="s">
        <v>2819</v>
      </c>
      <c r="Y559" s="112" t="s">
        <v>2932</v>
      </c>
      <c r="Z559" s="112" t="s">
        <v>30</v>
      </c>
      <c r="AA559" s="139" t="s">
        <v>2819</v>
      </c>
    </row>
    <row r="560" spans="1:27" ht="17.25" customHeight="1">
      <c r="A560" s="69" t="str">
        <f>IF(priority(Main[[#This Row],[Comments]])&lt;&gt;0, priority(Main[[#This Row],[Comments]]),"")</f>
        <v/>
      </c>
      <c r="B560" s="63" t="s">
        <v>1375</v>
      </c>
      <c r="C560" s="148" t="s">
        <v>99</v>
      </c>
      <c r="D560" s="113" t="s">
        <v>100</v>
      </c>
      <c r="E560" s="129"/>
      <c r="F560" s="129"/>
      <c r="G560" s="69" t="str">
        <f>IF(stdProdLT(Main[[#This Row],[Comments]])=0.1,"N/A",IF(stdProdLT(Main[[#This Row],[Comments]])=0,"",stdProdLT(Main[[#This Row],[Comments]])))</f>
        <v/>
      </c>
      <c r="H560" s="138" t="str">
        <f>IF(Main[[#This Row],[In Stock Date]]="N/A", "N/A",IF(AND(Main[[#This Row],[In Stock Date]]&lt;&gt;"",Main[[#This Row],[Revised Due Date]]&lt;&gt;"",Main[[#This Row],[In Stock Date]]&lt;&gt;""),Main[[#This Row],[In Stock Date]]-Main[[#This Row],[Revised Due Date]],""))</f>
        <v/>
      </c>
      <c r="I560" s="139" t="s">
        <v>4</v>
      </c>
      <c r="J560" s="139" t="s">
        <v>4</v>
      </c>
      <c r="K560" s="139" t="s">
        <v>4</v>
      </c>
      <c r="L560" s="129"/>
      <c r="M560" s="114" t="str">
        <f>IF(Main[[#This Row],[Tech Start Date]]&lt;1/1/1990,"",IF(Main[[#This Row],[Class]]="C",WORKDAY(Main[[#This Row],[Tech Start Date]],9),IF(Main[[#This Row],[Class]]="B", WORKDAY(Main[[#This Row],[Tech Start Date]],6),IF(Main[[#This Row],[Class]]="A",WORKDAY(Main[[#This Row],[Tech Start Date]],2),""))))</f>
        <v/>
      </c>
      <c r="N560" s="114" t="str">
        <f>IF(Main[[#This Row],[Tech Start Date]]&lt;1/1/1990,"",IF(Main[[#This Row],[Class]]="C",WORKDAY(Main[[#This Row],[Tech Start Date]],19),IF(Main[[#This Row],[Class]]="B", WORKDAY(Main[[#This Row],[Tech Start Date]],12),IF(Main[[#This Row],[Class]]="A",WORKDAY(Main[[#This Row],[Tech Start Date]],4),""))))</f>
        <v/>
      </c>
      <c r="O560" s="114" t="str">
        <f>IF(Main[[#This Row],[Tech Start Date]]&lt;1/1/1990,"",IF(Main[[#This Row],[Class]]="C",WORKDAY(Main[[#This Row],[Tech Start Date]],23),IF(Main[[#This Row],[Class]]="B", WORKDAY(Main[[#This Row],[Tech Start Date]],15),IF(Main[[#This Row],[Class]]="A",WORKDAY(Main[[#This Row],[Tech Start Date]],5),""))))</f>
        <v/>
      </c>
      <c r="P560" s="114" t="str">
        <f>IF(Main[[#This Row],[Tech Start Date]]&lt;1/1/1990,"",IF(Main[[#This Row],[Class]]="C",WORKDAY(Main[[#This Row],[Tech Start Date]],28),IF(Main[[#This Row],[Class]]="B", WORKDAY(Main[[#This Row],[Tech Start Date]],19),IF(Main[[#This Row],[Class]]="A",WORKDAY(Main[[#This Row],[Tech Start Date]],9),""))))</f>
        <v/>
      </c>
      <c r="Q560" s="129"/>
      <c r="R560" s="129"/>
      <c r="S560" s="139" t="s">
        <v>11</v>
      </c>
      <c r="T560" s="115" t="s">
        <v>4</v>
      </c>
      <c r="U560" s="139" t="s">
        <v>14</v>
      </c>
      <c r="V560" s="139" t="s">
        <v>1915</v>
      </c>
      <c r="W560" s="139" t="s">
        <v>1916</v>
      </c>
      <c r="X560" s="139" t="s">
        <v>2834</v>
      </c>
      <c r="Y560" s="112" t="s">
        <v>2960</v>
      </c>
      <c r="Z560" s="112" t="s">
        <v>4</v>
      </c>
      <c r="AA560" s="139" t="s">
        <v>3384</v>
      </c>
    </row>
    <row r="561" spans="1:27" ht="17.25" customHeight="1">
      <c r="A561" s="69" t="str">
        <f>IF(priority(Main[[#This Row],[Comments]])&lt;&gt;0, priority(Main[[#This Row],[Comments]]),"")</f>
        <v/>
      </c>
      <c r="B561" s="63" t="s">
        <v>1376</v>
      </c>
      <c r="C561" s="148" t="s">
        <v>4</v>
      </c>
      <c r="D561" s="113" t="s">
        <v>295</v>
      </c>
      <c r="E561" s="129"/>
      <c r="F561" s="129"/>
      <c r="G561" s="69" t="str">
        <f>IF(stdProdLT(Main[[#This Row],[Comments]])=0.1,"N/A",IF(stdProdLT(Main[[#This Row],[Comments]])=0,"",stdProdLT(Main[[#This Row],[Comments]])))</f>
        <v/>
      </c>
      <c r="H561" s="138" t="str">
        <f>IF(Main[[#This Row],[In Stock Date]]="N/A", "N/A",IF(AND(Main[[#This Row],[In Stock Date]]&lt;&gt;"",Main[[#This Row],[Revised Due Date]]&lt;&gt;"",Main[[#This Row],[In Stock Date]]&lt;&gt;""),Main[[#This Row],[In Stock Date]]-Main[[#This Row],[Revised Due Date]],""))</f>
        <v/>
      </c>
      <c r="I561" s="139" t="s">
        <v>4</v>
      </c>
      <c r="J561" s="139" t="s">
        <v>4</v>
      </c>
      <c r="K561" s="139" t="s">
        <v>4</v>
      </c>
      <c r="L561" s="129"/>
      <c r="M561" s="114" t="str">
        <f>IF(Main[[#This Row],[Tech Start Date]]&lt;1/1/1990,"",IF(Main[[#This Row],[Class]]="C",WORKDAY(Main[[#This Row],[Tech Start Date]],9),IF(Main[[#This Row],[Class]]="B", WORKDAY(Main[[#This Row],[Tech Start Date]],6),IF(Main[[#This Row],[Class]]="A",WORKDAY(Main[[#This Row],[Tech Start Date]],2),""))))</f>
        <v/>
      </c>
      <c r="N561" s="114" t="str">
        <f>IF(Main[[#This Row],[Tech Start Date]]&lt;1/1/1990,"",IF(Main[[#This Row],[Class]]="C",WORKDAY(Main[[#This Row],[Tech Start Date]],19),IF(Main[[#This Row],[Class]]="B", WORKDAY(Main[[#This Row],[Tech Start Date]],12),IF(Main[[#This Row],[Class]]="A",WORKDAY(Main[[#This Row],[Tech Start Date]],4),""))))</f>
        <v/>
      </c>
      <c r="O561" s="114" t="str">
        <f>IF(Main[[#This Row],[Tech Start Date]]&lt;1/1/1990,"",IF(Main[[#This Row],[Class]]="C",WORKDAY(Main[[#This Row],[Tech Start Date]],23),IF(Main[[#This Row],[Class]]="B", WORKDAY(Main[[#This Row],[Tech Start Date]],15),IF(Main[[#This Row],[Class]]="A",WORKDAY(Main[[#This Row],[Tech Start Date]],5),""))))</f>
        <v/>
      </c>
      <c r="P561" s="114" t="str">
        <f>IF(Main[[#This Row],[Tech Start Date]]&lt;1/1/1990,"",IF(Main[[#This Row],[Class]]="C",WORKDAY(Main[[#This Row],[Tech Start Date]],28),IF(Main[[#This Row],[Class]]="B", WORKDAY(Main[[#This Row],[Tech Start Date]],19),IF(Main[[#This Row],[Class]]="A",WORKDAY(Main[[#This Row],[Tech Start Date]],9),""))))</f>
        <v/>
      </c>
      <c r="Q561" s="129">
        <v>40471</v>
      </c>
      <c r="R561" s="129"/>
      <c r="S561" s="139" t="s">
        <v>296</v>
      </c>
      <c r="T561" s="115" t="s">
        <v>4</v>
      </c>
      <c r="U561" s="139" t="s">
        <v>14</v>
      </c>
      <c r="V561" s="139" t="s">
        <v>1924</v>
      </c>
      <c r="W561" s="139" t="s">
        <v>1916</v>
      </c>
      <c r="X561" s="139" t="s">
        <v>2847</v>
      </c>
      <c r="Y561" s="112" t="s">
        <v>2978</v>
      </c>
      <c r="Z561" s="112" t="s">
        <v>4</v>
      </c>
      <c r="AA561" s="139" t="s">
        <v>2847</v>
      </c>
    </row>
    <row r="562" spans="1:27" ht="17.25" customHeight="1">
      <c r="A562" s="69" t="str">
        <f>IF(priority(Main[[#This Row],[Comments]])&lt;&gt;0, priority(Main[[#This Row],[Comments]]),"")</f>
        <v/>
      </c>
      <c r="B562" s="63" t="s">
        <v>1377</v>
      </c>
      <c r="C562" s="148" t="s">
        <v>4</v>
      </c>
      <c r="D562" s="113" t="s">
        <v>468</v>
      </c>
      <c r="E562" s="129">
        <v>40422.514918981484</v>
      </c>
      <c r="F562" s="129"/>
      <c r="G562" s="69" t="str">
        <f>IF(stdProdLT(Main[[#This Row],[Comments]])=0.1,"N/A",IF(stdProdLT(Main[[#This Row],[Comments]])=0,"",stdProdLT(Main[[#This Row],[Comments]])))</f>
        <v/>
      </c>
      <c r="H562" s="138" t="str">
        <f>IF(Main[[#This Row],[In Stock Date]]="N/A", "N/A",IF(AND(Main[[#This Row],[In Stock Date]]&lt;&gt;"",Main[[#This Row],[Revised Due Date]]&lt;&gt;"",Main[[#This Row],[In Stock Date]]&lt;&gt;""),Main[[#This Row],[In Stock Date]]-Main[[#This Row],[Revised Due Date]],""))</f>
        <v/>
      </c>
      <c r="I562" s="139" t="s">
        <v>4</v>
      </c>
      <c r="J562" s="139" t="s">
        <v>28</v>
      </c>
      <c r="K562" s="139" t="s">
        <v>4</v>
      </c>
      <c r="L562" s="129"/>
      <c r="M562" s="114" t="str">
        <f>IF(Main[[#This Row],[Tech Start Date]]&lt;1/1/1990,"",IF(Main[[#This Row],[Class]]="C",WORKDAY(Main[[#This Row],[Tech Start Date]],9),IF(Main[[#This Row],[Class]]="B", WORKDAY(Main[[#This Row],[Tech Start Date]],6),IF(Main[[#This Row],[Class]]="A",WORKDAY(Main[[#This Row],[Tech Start Date]],2),""))))</f>
        <v/>
      </c>
      <c r="N562" s="114" t="str">
        <f>IF(Main[[#This Row],[Tech Start Date]]&lt;1/1/1990,"",IF(Main[[#This Row],[Class]]="C",WORKDAY(Main[[#This Row],[Tech Start Date]],19),IF(Main[[#This Row],[Class]]="B", WORKDAY(Main[[#This Row],[Tech Start Date]],12),IF(Main[[#This Row],[Class]]="A",WORKDAY(Main[[#This Row],[Tech Start Date]],4),""))))</f>
        <v/>
      </c>
      <c r="O562" s="114" t="str">
        <f>IF(Main[[#This Row],[Tech Start Date]]&lt;1/1/1990,"",IF(Main[[#This Row],[Class]]="C",WORKDAY(Main[[#This Row],[Tech Start Date]],23),IF(Main[[#This Row],[Class]]="B", WORKDAY(Main[[#This Row],[Tech Start Date]],15),IF(Main[[#This Row],[Class]]="A",WORKDAY(Main[[#This Row],[Tech Start Date]],5),""))))</f>
        <v/>
      </c>
      <c r="P562" s="114" t="str">
        <f>IF(Main[[#This Row],[Tech Start Date]]&lt;1/1/1990,"",IF(Main[[#This Row],[Class]]="C",WORKDAY(Main[[#This Row],[Tech Start Date]],28),IF(Main[[#This Row],[Class]]="B", WORKDAY(Main[[#This Row],[Tech Start Date]],19),IF(Main[[#This Row],[Class]]="A",WORKDAY(Main[[#This Row],[Tech Start Date]],9),""))))</f>
        <v/>
      </c>
      <c r="Q562" s="129">
        <v>40455</v>
      </c>
      <c r="R562" s="129"/>
      <c r="S562" s="139" t="s">
        <v>6</v>
      </c>
      <c r="T562" s="115" t="s">
        <v>4</v>
      </c>
      <c r="U562" s="139" t="s">
        <v>7</v>
      </c>
      <c r="V562" s="139" t="s">
        <v>1914</v>
      </c>
      <c r="W562" s="139" t="s">
        <v>1918</v>
      </c>
      <c r="X562" s="139" t="s">
        <v>2818</v>
      </c>
      <c r="Y562" s="112" t="s">
        <v>2929</v>
      </c>
      <c r="Z562" s="112" t="s">
        <v>129</v>
      </c>
      <c r="AA562" s="139" t="s">
        <v>2818</v>
      </c>
    </row>
    <row r="563" spans="1:27" ht="17.25" customHeight="1">
      <c r="A563" s="69" t="str">
        <f>IF(priority(Main[[#This Row],[Comments]])&lt;&gt;0, priority(Main[[#This Row],[Comments]]),"")</f>
        <v/>
      </c>
      <c r="B563" s="63" t="s">
        <v>1378</v>
      </c>
      <c r="C563" s="148" t="s">
        <v>137</v>
      </c>
      <c r="D563" s="113" t="s">
        <v>136</v>
      </c>
      <c r="E563" s="129"/>
      <c r="F563" s="129">
        <v>40787</v>
      </c>
      <c r="G563" s="69" t="str">
        <f>IF(stdProdLT(Main[[#This Row],[Comments]])=0.1,"N/A",IF(stdProdLT(Main[[#This Row],[Comments]])=0,"",stdProdLT(Main[[#This Row],[Comments]])))</f>
        <v/>
      </c>
      <c r="H563" s="138" t="str">
        <f>IF(Main[[#This Row],[In Stock Date]]="N/A", "N/A",IF(AND(Main[[#This Row],[In Stock Date]]&lt;&gt;"",Main[[#This Row],[Revised Due Date]]&lt;&gt;"",Main[[#This Row],[In Stock Date]]&lt;&gt;""),Main[[#This Row],[In Stock Date]]-Main[[#This Row],[Revised Due Date]],""))</f>
        <v/>
      </c>
      <c r="I563" s="139" t="s">
        <v>4</v>
      </c>
      <c r="J563" s="139" t="s">
        <v>4</v>
      </c>
      <c r="K563" s="139" t="s">
        <v>4</v>
      </c>
      <c r="L563" s="129"/>
      <c r="M563" s="114" t="str">
        <f>IF(Main[[#This Row],[Tech Start Date]]&lt;1/1/1990,"",IF(Main[[#This Row],[Class]]="C",WORKDAY(Main[[#This Row],[Tech Start Date]],9),IF(Main[[#This Row],[Class]]="B", WORKDAY(Main[[#This Row],[Tech Start Date]],6),IF(Main[[#This Row],[Class]]="A",WORKDAY(Main[[#This Row],[Tech Start Date]],2),""))))</f>
        <v/>
      </c>
      <c r="N563" s="114" t="str">
        <f>IF(Main[[#This Row],[Tech Start Date]]&lt;1/1/1990,"",IF(Main[[#This Row],[Class]]="C",WORKDAY(Main[[#This Row],[Tech Start Date]],19),IF(Main[[#This Row],[Class]]="B", WORKDAY(Main[[#This Row],[Tech Start Date]],12),IF(Main[[#This Row],[Class]]="A",WORKDAY(Main[[#This Row],[Tech Start Date]],4),""))))</f>
        <v/>
      </c>
      <c r="O563" s="114" t="str">
        <f>IF(Main[[#This Row],[Tech Start Date]]&lt;1/1/1990,"",IF(Main[[#This Row],[Class]]="C",WORKDAY(Main[[#This Row],[Tech Start Date]],23),IF(Main[[#This Row],[Class]]="B", WORKDAY(Main[[#This Row],[Tech Start Date]],15),IF(Main[[#This Row],[Class]]="A",WORKDAY(Main[[#This Row],[Tech Start Date]],5),""))))</f>
        <v/>
      </c>
      <c r="P563" s="114" t="str">
        <f>IF(Main[[#This Row],[Tech Start Date]]&lt;1/1/1990,"",IF(Main[[#This Row],[Class]]="C",WORKDAY(Main[[#This Row],[Tech Start Date]],28),IF(Main[[#This Row],[Class]]="B", WORKDAY(Main[[#This Row],[Tech Start Date]],19),IF(Main[[#This Row],[Class]]="A",WORKDAY(Main[[#This Row],[Tech Start Date]],9),""))))</f>
        <v/>
      </c>
      <c r="Q563" s="129"/>
      <c r="R563" s="129"/>
      <c r="S563" s="139" t="s">
        <v>11</v>
      </c>
      <c r="T563" s="115" t="s">
        <v>4</v>
      </c>
      <c r="U563" s="139" t="s">
        <v>14</v>
      </c>
      <c r="V563" s="139" t="s">
        <v>1914</v>
      </c>
      <c r="W563" s="139" t="s">
        <v>1920</v>
      </c>
      <c r="X563" s="139" t="s">
        <v>50</v>
      </c>
      <c r="Y563" s="112" t="s">
        <v>3038</v>
      </c>
      <c r="Z563" s="112" t="s">
        <v>4</v>
      </c>
      <c r="AA563" s="139" t="s">
        <v>2839</v>
      </c>
    </row>
    <row r="564" spans="1:27" ht="17.25" customHeight="1">
      <c r="A564" s="69" t="str">
        <f>IF(priority(Main[[#This Row],[Comments]])&lt;&gt;0, priority(Main[[#This Row],[Comments]]),"")</f>
        <v/>
      </c>
      <c r="B564" s="63" t="s">
        <v>1379</v>
      </c>
      <c r="C564" s="148" t="s">
        <v>4</v>
      </c>
      <c r="D564" s="113" t="s">
        <v>469</v>
      </c>
      <c r="E564" s="129">
        <v>40704.209918981483</v>
      </c>
      <c r="F564" s="129"/>
      <c r="G564" s="69" t="str">
        <f>IF(stdProdLT(Main[[#This Row],[Comments]])=0.1,"N/A",IF(stdProdLT(Main[[#This Row],[Comments]])=0,"",stdProdLT(Main[[#This Row],[Comments]])))</f>
        <v/>
      </c>
      <c r="H564" s="138" t="str">
        <f>IF(Main[[#This Row],[In Stock Date]]="N/A", "N/A",IF(AND(Main[[#This Row],[In Stock Date]]&lt;&gt;"",Main[[#This Row],[Revised Due Date]]&lt;&gt;"",Main[[#This Row],[In Stock Date]]&lt;&gt;""),Main[[#This Row],[In Stock Date]]-Main[[#This Row],[Revised Due Date]],""))</f>
        <v/>
      </c>
      <c r="I564" s="139" t="s">
        <v>4</v>
      </c>
      <c r="J564" s="139" t="s">
        <v>4</v>
      </c>
      <c r="K564" s="139" t="s">
        <v>4</v>
      </c>
      <c r="L564" s="129"/>
      <c r="M564" s="114" t="str">
        <f>IF(Main[[#This Row],[Tech Start Date]]&lt;1/1/1990,"",IF(Main[[#This Row],[Class]]="C",WORKDAY(Main[[#This Row],[Tech Start Date]],9),IF(Main[[#This Row],[Class]]="B", WORKDAY(Main[[#This Row],[Tech Start Date]],6),IF(Main[[#This Row],[Class]]="A",WORKDAY(Main[[#This Row],[Tech Start Date]],2),""))))</f>
        <v/>
      </c>
      <c r="N564" s="114" t="str">
        <f>IF(Main[[#This Row],[Tech Start Date]]&lt;1/1/1990,"",IF(Main[[#This Row],[Class]]="C",WORKDAY(Main[[#This Row],[Tech Start Date]],19),IF(Main[[#This Row],[Class]]="B", WORKDAY(Main[[#This Row],[Tech Start Date]],12),IF(Main[[#This Row],[Class]]="A",WORKDAY(Main[[#This Row],[Tech Start Date]],4),""))))</f>
        <v/>
      </c>
      <c r="O564" s="114" t="str">
        <f>IF(Main[[#This Row],[Tech Start Date]]&lt;1/1/1990,"",IF(Main[[#This Row],[Class]]="C",WORKDAY(Main[[#This Row],[Tech Start Date]],23),IF(Main[[#This Row],[Class]]="B", WORKDAY(Main[[#This Row],[Tech Start Date]],15),IF(Main[[#This Row],[Class]]="A",WORKDAY(Main[[#This Row],[Tech Start Date]],5),""))))</f>
        <v/>
      </c>
      <c r="P564" s="114" t="str">
        <f>IF(Main[[#This Row],[Tech Start Date]]&lt;1/1/1990,"",IF(Main[[#This Row],[Class]]="C",WORKDAY(Main[[#This Row],[Tech Start Date]],28),IF(Main[[#This Row],[Class]]="B", WORKDAY(Main[[#This Row],[Tech Start Date]],19),IF(Main[[#This Row],[Class]]="A",WORKDAY(Main[[#This Row],[Tech Start Date]],9),""))))</f>
        <v/>
      </c>
      <c r="Q564" s="129">
        <v>40725</v>
      </c>
      <c r="R564" s="129"/>
      <c r="S564" s="139" t="s">
        <v>6</v>
      </c>
      <c r="T564" s="115" t="s">
        <v>4</v>
      </c>
      <c r="U564" s="139" t="s">
        <v>7</v>
      </c>
      <c r="V564" s="139" t="s">
        <v>1914</v>
      </c>
      <c r="W564" s="139" t="s">
        <v>4</v>
      </c>
      <c r="X564" s="139" t="s">
        <v>2851</v>
      </c>
      <c r="Y564" s="112" t="s">
        <v>2986</v>
      </c>
      <c r="Z564" s="112" t="s">
        <v>4</v>
      </c>
      <c r="AA564" s="139" t="s">
        <v>2851</v>
      </c>
    </row>
    <row r="565" spans="1:27" ht="17.25" customHeight="1">
      <c r="A565" s="69" t="str">
        <f>IF(priority(Main[[#This Row],[Comments]])&lt;&gt;0, priority(Main[[#This Row],[Comments]]),"")</f>
        <v/>
      </c>
      <c r="B565" s="63" t="s">
        <v>1380</v>
      </c>
      <c r="C565" s="148" t="s">
        <v>31</v>
      </c>
      <c r="D565" s="113" t="s">
        <v>470</v>
      </c>
      <c r="E565" s="129"/>
      <c r="F565" s="129">
        <v>40230</v>
      </c>
      <c r="G565" s="69" t="str">
        <f>IF(stdProdLT(Main[[#This Row],[Comments]])=0.1,"N/A",IF(stdProdLT(Main[[#This Row],[Comments]])=0,"",stdProdLT(Main[[#This Row],[Comments]])))</f>
        <v/>
      </c>
      <c r="H565" s="138" t="str">
        <f>IF(Main[[#This Row],[In Stock Date]]="N/A", "N/A",IF(AND(Main[[#This Row],[In Stock Date]]&lt;&gt;"",Main[[#This Row],[Revised Due Date]]&lt;&gt;"",Main[[#This Row],[In Stock Date]]&lt;&gt;""),Main[[#This Row],[In Stock Date]]-Main[[#This Row],[Revised Due Date]],""))</f>
        <v/>
      </c>
      <c r="I565" s="139" t="s">
        <v>4</v>
      </c>
      <c r="J565" s="139" t="s">
        <v>4</v>
      </c>
      <c r="K565" s="139" t="s">
        <v>4</v>
      </c>
      <c r="L565" s="129"/>
      <c r="M565" s="114" t="str">
        <f>IF(Main[[#This Row],[Tech Start Date]]&lt;1/1/1990,"",IF(Main[[#This Row],[Class]]="C",WORKDAY(Main[[#This Row],[Tech Start Date]],9),IF(Main[[#This Row],[Class]]="B", WORKDAY(Main[[#This Row],[Tech Start Date]],6),IF(Main[[#This Row],[Class]]="A",WORKDAY(Main[[#This Row],[Tech Start Date]],2),""))))</f>
        <v/>
      </c>
      <c r="N565" s="114" t="str">
        <f>IF(Main[[#This Row],[Tech Start Date]]&lt;1/1/1990,"",IF(Main[[#This Row],[Class]]="C",WORKDAY(Main[[#This Row],[Tech Start Date]],19),IF(Main[[#This Row],[Class]]="B", WORKDAY(Main[[#This Row],[Tech Start Date]],12),IF(Main[[#This Row],[Class]]="A",WORKDAY(Main[[#This Row],[Tech Start Date]],4),""))))</f>
        <v/>
      </c>
      <c r="O565" s="114" t="str">
        <f>IF(Main[[#This Row],[Tech Start Date]]&lt;1/1/1990,"",IF(Main[[#This Row],[Class]]="C",WORKDAY(Main[[#This Row],[Tech Start Date]],23),IF(Main[[#This Row],[Class]]="B", WORKDAY(Main[[#This Row],[Tech Start Date]],15),IF(Main[[#This Row],[Class]]="A",WORKDAY(Main[[#This Row],[Tech Start Date]],5),""))))</f>
        <v/>
      </c>
      <c r="P565" s="114" t="str">
        <f>IF(Main[[#This Row],[Tech Start Date]]&lt;1/1/1990,"",IF(Main[[#This Row],[Class]]="C",WORKDAY(Main[[#This Row],[Tech Start Date]],28),IF(Main[[#This Row],[Class]]="B", WORKDAY(Main[[#This Row],[Tech Start Date]],19),IF(Main[[#This Row],[Class]]="A",WORKDAY(Main[[#This Row],[Tech Start Date]],9),""))))</f>
        <v/>
      </c>
      <c r="Q565" s="129">
        <v>40235</v>
      </c>
      <c r="R565" s="129"/>
      <c r="S565" s="139" t="s">
        <v>11</v>
      </c>
      <c r="T565" s="115" t="s">
        <v>4</v>
      </c>
      <c r="U565" s="139" t="s">
        <v>14</v>
      </c>
      <c r="V565" s="139" t="s">
        <v>1915</v>
      </c>
      <c r="W565" s="139" t="s">
        <v>1922</v>
      </c>
      <c r="X565" s="139" t="s">
        <v>2835</v>
      </c>
      <c r="Y565" s="112" t="s">
        <v>4</v>
      </c>
      <c r="Z565" s="112" t="s">
        <v>4</v>
      </c>
      <c r="AA565" s="139" t="s">
        <v>2835</v>
      </c>
    </row>
    <row r="566" spans="1:27" ht="17.25" customHeight="1">
      <c r="A566" s="69" t="str">
        <f>IF(priority(Main[[#This Row],[Comments]])&lt;&gt;0, priority(Main[[#This Row],[Comments]]),"")</f>
        <v/>
      </c>
      <c r="B566" s="63" t="s">
        <v>1382</v>
      </c>
      <c r="C566" s="148" t="s">
        <v>471</v>
      </c>
      <c r="D566" s="113" t="s">
        <v>472</v>
      </c>
      <c r="E566" s="129"/>
      <c r="F566" s="129">
        <v>40450</v>
      </c>
      <c r="G566" s="69" t="str">
        <f>IF(stdProdLT(Main[[#This Row],[Comments]])=0.1,"N/A",IF(stdProdLT(Main[[#This Row],[Comments]])=0,"",stdProdLT(Main[[#This Row],[Comments]])))</f>
        <v/>
      </c>
      <c r="H566" s="138" t="str">
        <f>IF(Main[[#This Row],[In Stock Date]]="N/A", "N/A",IF(AND(Main[[#This Row],[In Stock Date]]&lt;&gt;"",Main[[#This Row],[Revised Due Date]]&lt;&gt;"",Main[[#This Row],[In Stock Date]]&lt;&gt;""),Main[[#This Row],[In Stock Date]]-Main[[#This Row],[Revised Due Date]],""))</f>
        <v/>
      </c>
      <c r="I566" s="139" t="s">
        <v>4</v>
      </c>
      <c r="J566" s="139" t="s">
        <v>4</v>
      </c>
      <c r="K566" s="140" t="s">
        <v>4</v>
      </c>
      <c r="L566" s="129"/>
      <c r="M566" s="114" t="str">
        <f>IF(Main[[#This Row],[Tech Start Date]]&lt;1/1/1990,"",IF(Main[[#This Row],[Class]]="C",WORKDAY(Main[[#This Row],[Tech Start Date]],9),IF(Main[[#This Row],[Class]]="B", WORKDAY(Main[[#This Row],[Tech Start Date]],6),IF(Main[[#This Row],[Class]]="A",WORKDAY(Main[[#This Row],[Tech Start Date]],2),""))))</f>
        <v/>
      </c>
      <c r="N566" s="114" t="str">
        <f>IF(Main[[#This Row],[Tech Start Date]]&lt;1/1/1990,"",IF(Main[[#This Row],[Class]]="C",WORKDAY(Main[[#This Row],[Tech Start Date]],19),IF(Main[[#This Row],[Class]]="B", WORKDAY(Main[[#This Row],[Tech Start Date]],12),IF(Main[[#This Row],[Class]]="A",WORKDAY(Main[[#This Row],[Tech Start Date]],4),""))))</f>
        <v/>
      </c>
      <c r="O566" s="114" t="str">
        <f>IF(Main[[#This Row],[Tech Start Date]]&lt;1/1/1990,"",IF(Main[[#This Row],[Class]]="C",WORKDAY(Main[[#This Row],[Tech Start Date]],23),IF(Main[[#This Row],[Class]]="B", WORKDAY(Main[[#This Row],[Tech Start Date]],15),IF(Main[[#This Row],[Class]]="A",WORKDAY(Main[[#This Row],[Tech Start Date]],5),""))))</f>
        <v/>
      </c>
      <c r="P566" s="114" t="str">
        <f>IF(Main[[#This Row],[Tech Start Date]]&lt;1/1/1990,"",IF(Main[[#This Row],[Class]]="C",WORKDAY(Main[[#This Row],[Tech Start Date]],28),IF(Main[[#This Row],[Class]]="B", WORKDAY(Main[[#This Row],[Tech Start Date]],19),IF(Main[[#This Row],[Class]]="A",WORKDAY(Main[[#This Row],[Tech Start Date]],9),""))))</f>
        <v/>
      </c>
      <c r="Q566" s="129">
        <v>40421</v>
      </c>
      <c r="R566" s="129"/>
      <c r="S566" s="139" t="s">
        <v>11</v>
      </c>
      <c r="T566" s="115" t="s">
        <v>4</v>
      </c>
      <c r="U566" s="139" t="s">
        <v>14</v>
      </c>
      <c r="V566" s="139" t="s">
        <v>1917</v>
      </c>
      <c r="W566" s="139" t="s">
        <v>1919</v>
      </c>
      <c r="X566" s="139" t="s">
        <v>2856</v>
      </c>
      <c r="Y566" s="112" t="s">
        <v>2997</v>
      </c>
      <c r="Z566" s="112" t="s">
        <v>4</v>
      </c>
      <c r="AA566" s="139" t="s">
        <v>2856</v>
      </c>
    </row>
    <row r="567" spans="1:27" ht="17.25" customHeight="1">
      <c r="A567" s="69" t="str">
        <f>IF(priority(Main[[#This Row],[Comments]])&lt;&gt;0, priority(Main[[#This Row],[Comments]]),"")</f>
        <v/>
      </c>
      <c r="B567" s="63" t="s">
        <v>3323</v>
      </c>
      <c r="C567" s="148" t="s">
        <v>4</v>
      </c>
      <c r="D567" s="113" t="s">
        <v>3324</v>
      </c>
      <c r="E567" s="129">
        <v>40939.633171296293</v>
      </c>
      <c r="F567" s="129"/>
      <c r="G567" s="69" t="str">
        <f>IF(stdProdLT(Main[[#This Row],[Comments]])=0.1,"N/A",IF(stdProdLT(Main[[#This Row],[Comments]])=0,"",stdProdLT(Main[[#This Row],[Comments]])))</f>
        <v/>
      </c>
      <c r="H567" s="138" t="str">
        <f>IF(Main[[#This Row],[In Stock Date]]="N/A", "N/A",IF(AND(Main[[#This Row],[In Stock Date]]&lt;&gt;"",Main[[#This Row],[Revised Due Date]]&lt;&gt;"",Main[[#This Row],[In Stock Date]]&lt;&gt;""),Main[[#This Row],[In Stock Date]]-Main[[#This Row],[Revised Due Date]],""))</f>
        <v/>
      </c>
      <c r="I567" s="139" t="s">
        <v>4</v>
      </c>
      <c r="J567" s="139" t="s">
        <v>4</v>
      </c>
      <c r="K567" s="139" t="s">
        <v>4</v>
      </c>
      <c r="L567" s="129"/>
      <c r="M567" s="114" t="str">
        <f>IF(Main[[#This Row],[Tech Start Date]]&lt;1/1/1990,"",IF(Main[[#This Row],[Class]]="C",WORKDAY(Main[[#This Row],[Tech Start Date]],9),IF(Main[[#This Row],[Class]]="B", WORKDAY(Main[[#This Row],[Tech Start Date]],6),IF(Main[[#This Row],[Class]]="A",WORKDAY(Main[[#This Row],[Tech Start Date]],2),""))))</f>
        <v/>
      </c>
      <c r="N567" s="114" t="str">
        <f>IF(Main[[#This Row],[Tech Start Date]]&lt;1/1/1990,"",IF(Main[[#This Row],[Class]]="C",WORKDAY(Main[[#This Row],[Tech Start Date]],19),IF(Main[[#This Row],[Class]]="B", WORKDAY(Main[[#This Row],[Tech Start Date]],12),IF(Main[[#This Row],[Class]]="A",WORKDAY(Main[[#This Row],[Tech Start Date]],4),""))))</f>
        <v/>
      </c>
      <c r="O567" s="114" t="str">
        <f>IF(Main[[#This Row],[Tech Start Date]]&lt;1/1/1990,"",IF(Main[[#This Row],[Class]]="C",WORKDAY(Main[[#This Row],[Tech Start Date]],23),IF(Main[[#This Row],[Class]]="B", WORKDAY(Main[[#This Row],[Tech Start Date]],15),IF(Main[[#This Row],[Class]]="A",WORKDAY(Main[[#This Row],[Tech Start Date]],5),""))))</f>
        <v/>
      </c>
      <c r="P567" s="114" t="str">
        <f>IF(Main[[#This Row],[Tech Start Date]]&lt;1/1/1990,"",IF(Main[[#This Row],[Class]]="C",WORKDAY(Main[[#This Row],[Tech Start Date]],28),IF(Main[[#This Row],[Class]]="B", WORKDAY(Main[[#This Row],[Tech Start Date]],19),IF(Main[[#This Row],[Class]]="A",WORKDAY(Main[[#This Row],[Tech Start Date]],9),""))))</f>
        <v/>
      </c>
      <c r="Q567" s="129"/>
      <c r="R567" s="129"/>
      <c r="S567" s="139" t="s">
        <v>6</v>
      </c>
      <c r="T567" s="115" t="s">
        <v>4</v>
      </c>
      <c r="U567" s="139" t="s">
        <v>7</v>
      </c>
      <c r="V567" s="139" t="s">
        <v>1914</v>
      </c>
      <c r="W567" s="139" t="s">
        <v>1918</v>
      </c>
      <c r="X567" s="139" t="s">
        <v>306</v>
      </c>
      <c r="Y567" s="112" t="s">
        <v>4</v>
      </c>
      <c r="Z567" s="112" t="s">
        <v>4</v>
      </c>
      <c r="AA567" s="139" t="s">
        <v>4</v>
      </c>
    </row>
    <row r="568" spans="1:27" ht="17.25" customHeight="1">
      <c r="A568" s="69" t="str">
        <f>IF(priority(Main[[#This Row],[Comments]])&lt;&gt;0, priority(Main[[#This Row],[Comments]]),"")</f>
        <v/>
      </c>
      <c r="B568" s="63" t="s">
        <v>3325</v>
      </c>
      <c r="C568" s="148" t="s">
        <v>4</v>
      </c>
      <c r="D568" s="113" t="s">
        <v>3326</v>
      </c>
      <c r="E568" s="129">
        <v>40939.634004629632</v>
      </c>
      <c r="F568" s="129"/>
      <c r="G568" s="69" t="str">
        <f>IF(stdProdLT(Main[[#This Row],[Comments]])=0.1,"N/A",IF(stdProdLT(Main[[#This Row],[Comments]])=0,"",stdProdLT(Main[[#This Row],[Comments]])))</f>
        <v/>
      </c>
      <c r="H568" s="138" t="str">
        <f>IF(Main[[#This Row],[In Stock Date]]="N/A", "N/A",IF(AND(Main[[#This Row],[In Stock Date]]&lt;&gt;"",Main[[#This Row],[Revised Due Date]]&lt;&gt;"",Main[[#This Row],[In Stock Date]]&lt;&gt;""),Main[[#This Row],[In Stock Date]]-Main[[#This Row],[Revised Due Date]],""))</f>
        <v/>
      </c>
      <c r="I568" s="139" t="s">
        <v>4</v>
      </c>
      <c r="J568" s="139" t="s">
        <v>4</v>
      </c>
      <c r="K568" s="139" t="s">
        <v>4</v>
      </c>
      <c r="L568" s="129"/>
      <c r="M568" s="114" t="str">
        <f>IF(Main[[#This Row],[Tech Start Date]]&lt;1/1/1990,"",IF(Main[[#This Row],[Class]]="C",WORKDAY(Main[[#This Row],[Tech Start Date]],9),IF(Main[[#This Row],[Class]]="B", WORKDAY(Main[[#This Row],[Tech Start Date]],6),IF(Main[[#This Row],[Class]]="A",WORKDAY(Main[[#This Row],[Tech Start Date]],2),""))))</f>
        <v/>
      </c>
      <c r="N568" s="114" t="str">
        <f>IF(Main[[#This Row],[Tech Start Date]]&lt;1/1/1990,"",IF(Main[[#This Row],[Class]]="C",WORKDAY(Main[[#This Row],[Tech Start Date]],19),IF(Main[[#This Row],[Class]]="B", WORKDAY(Main[[#This Row],[Tech Start Date]],12),IF(Main[[#This Row],[Class]]="A",WORKDAY(Main[[#This Row],[Tech Start Date]],4),""))))</f>
        <v/>
      </c>
      <c r="O568" s="114" t="str">
        <f>IF(Main[[#This Row],[Tech Start Date]]&lt;1/1/1990,"",IF(Main[[#This Row],[Class]]="C",WORKDAY(Main[[#This Row],[Tech Start Date]],23),IF(Main[[#This Row],[Class]]="B", WORKDAY(Main[[#This Row],[Tech Start Date]],15),IF(Main[[#This Row],[Class]]="A",WORKDAY(Main[[#This Row],[Tech Start Date]],5),""))))</f>
        <v/>
      </c>
      <c r="P568" s="114" t="str">
        <f>IF(Main[[#This Row],[Tech Start Date]]&lt;1/1/1990,"",IF(Main[[#This Row],[Class]]="C",WORKDAY(Main[[#This Row],[Tech Start Date]],28),IF(Main[[#This Row],[Class]]="B", WORKDAY(Main[[#This Row],[Tech Start Date]],19),IF(Main[[#This Row],[Class]]="A",WORKDAY(Main[[#This Row],[Tech Start Date]],9),""))))</f>
        <v/>
      </c>
      <c r="Q568" s="129"/>
      <c r="R568" s="129"/>
      <c r="S568" s="139" t="s">
        <v>6</v>
      </c>
      <c r="T568" s="115" t="s">
        <v>4</v>
      </c>
      <c r="U568" s="139" t="s">
        <v>7</v>
      </c>
      <c r="V568" s="139" t="s">
        <v>1914</v>
      </c>
      <c r="W568" s="139" t="s">
        <v>1916</v>
      </c>
      <c r="X568" s="139" t="s">
        <v>306</v>
      </c>
      <c r="Y568" s="112" t="s">
        <v>4</v>
      </c>
      <c r="Z568" s="112" t="s">
        <v>877</v>
      </c>
      <c r="AA568" s="139" t="s">
        <v>4</v>
      </c>
    </row>
    <row r="569" spans="1:27" ht="17.25" customHeight="1">
      <c r="A569" s="69" t="str">
        <f>IF(priority(Main[[#This Row],[Comments]])&lt;&gt;0, priority(Main[[#This Row],[Comments]]),"")</f>
        <v/>
      </c>
      <c r="B569" s="63" t="s">
        <v>1384</v>
      </c>
      <c r="C569" s="148" t="s">
        <v>31</v>
      </c>
      <c r="D569" s="113" t="s">
        <v>473</v>
      </c>
      <c r="E569" s="129"/>
      <c r="F569" s="129"/>
      <c r="G569" s="69" t="str">
        <f>IF(stdProdLT(Main[[#This Row],[Comments]])=0.1,"N/A",IF(stdProdLT(Main[[#This Row],[Comments]])=0,"",stdProdLT(Main[[#This Row],[Comments]])))</f>
        <v/>
      </c>
      <c r="H569" s="138" t="str">
        <f>IF(Main[[#This Row],[In Stock Date]]="N/A", "N/A",IF(AND(Main[[#This Row],[In Stock Date]]&lt;&gt;"",Main[[#This Row],[Revised Due Date]]&lt;&gt;"",Main[[#This Row],[In Stock Date]]&lt;&gt;""),Main[[#This Row],[In Stock Date]]-Main[[#This Row],[Revised Due Date]],""))</f>
        <v/>
      </c>
      <c r="I569" s="139" t="s">
        <v>4</v>
      </c>
      <c r="J569" s="139" t="s">
        <v>4</v>
      </c>
      <c r="K569" s="139" t="s">
        <v>4</v>
      </c>
      <c r="L569" s="129"/>
      <c r="M569" s="114" t="str">
        <f>IF(Main[[#This Row],[Tech Start Date]]&lt;1/1/1990,"",IF(Main[[#This Row],[Class]]="C",WORKDAY(Main[[#This Row],[Tech Start Date]],9),IF(Main[[#This Row],[Class]]="B", WORKDAY(Main[[#This Row],[Tech Start Date]],6),IF(Main[[#This Row],[Class]]="A",WORKDAY(Main[[#This Row],[Tech Start Date]],2),""))))</f>
        <v/>
      </c>
      <c r="N569" s="114" t="str">
        <f>IF(Main[[#This Row],[Tech Start Date]]&lt;1/1/1990,"",IF(Main[[#This Row],[Class]]="C",WORKDAY(Main[[#This Row],[Tech Start Date]],19),IF(Main[[#This Row],[Class]]="B", WORKDAY(Main[[#This Row],[Tech Start Date]],12),IF(Main[[#This Row],[Class]]="A",WORKDAY(Main[[#This Row],[Tech Start Date]],4),""))))</f>
        <v/>
      </c>
      <c r="O569" s="114" t="str">
        <f>IF(Main[[#This Row],[Tech Start Date]]&lt;1/1/1990,"",IF(Main[[#This Row],[Class]]="C",WORKDAY(Main[[#This Row],[Tech Start Date]],23),IF(Main[[#This Row],[Class]]="B", WORKDAY(Main[[#This Row],[Tech Start Date]],15),IF(Main[[#This Row],[Class]]="A",WORKDAY(Main[[#This Row],[Tech Start Date]],5),""))))</f>
        <v/>
      </c>
      <c r="P569" s="114" t="str">
        <f>IF(Main[[#This Row],[Tech Start Date]]&lt;1/1/1990,"",IF(Main[[#This Row],[Class]]="C",WORKDAY(Main[[#This Row],[Tech Start Date]],28),IF(Main[[#This Row],[Class]]="B", WORKDAY(Main[[#This Row],[Tech Start Date]],19),IF(Main[[#This Row],[Class]]="A",WORKDAY(Main[[#This Row],[Tech Start Date]],9),""))))</f>
        <v/>
      </c>
      <c r="Q569" s="129">
        <v>40318</v>
      </c>
      <c r="R569" s="129"/>
      <c r="S569" s="139" t="s">
        <v>11</v>
      </c>
      <c r="T569" s="115" t="s">
        <v>4</v>
      </c>
      <c r="U569" s="139" t="s">
        <v>14</v>
      </c>
      <c r="V569" s="139" t="s">
        <v>1917</v>
      </c>
      <c r="W569" s="139" t="s">
        <v>1916</v>
      </c>
      <c r="X569" s="139" t="s">
        <v>2830</v>
      </c>
      <c r="Y569" s="112" t="s">
        <v>4</v>
      </c>
      <c r="Z569" s="112" t="s">
        <v>4</v>
      </c>
      <c r="AA569" s="139" t="s">
        <v>2830</v>
      </c>
    </row>
    <row r="570" spans="1:27" ht="17.25" customHeight="1">
      <c r="A570" s="69" t="str">
        <f>IF(priority(Main[[#This Row],[Comments]])&lt;&gt;0, priority(Main[[#This Row],[Comments]]),"")</f>
        <v/>
      </c>
      <c r="B570" s="63" t="s">
        <v>1386</v>
      </c>
      <c r="C570" s="148" t="s">
        <v>4</v>
      </c>
      <c r="D570" s="113" t="s">
        <v>474</v>
      </c>
      <c r="E570" s="129">
        <v>40679.254976851851</v>
      </c>
      <c r="F570" s="129"/>
      <c r="G570" s="69" t="str">
        <f>IF(stdProdLT(Main[[#This Row],[Comments]])=0.1,"N/A",IF(stdProdLT(Main[[#This Row],[Comments]])=0,"",stdProdLT(Main[[#This Row],[Comments]])))</f>
        <v/>
      </c>
      <c r="H570" s="138" t="str">
        <f>IF(Main[[#This Row],[In Stock Date]]="N/A", "N/A",IF(AND(Main[[#This Row],[In Stock Date]]&lt;&gt;"",Main[[#This Row],[Revised Due Date]]&lt;&gt;"",Main[[#This Row],[In Stock Date]]&lt;&gt;""),Main[[#This Row],[In Stock Date]]-Main[[#This Row],[Revised Due Date]],""))</f>
        <v/>
      </c>
      <c r="I570" s="139" t="s">
        <v>4</v>
      </c>
      <c r="J570" s="139" t="s">
        <v>4</v>
      </c>
      <c r="K570" s="139" t="s">
        <v>4</v>
      </c>
      <c r="L570" s="129"/>
      <c r="M570" s="114" t="str">
        <f>IF(Main[[#This Row],[Tech Start Date]]&lt;1/1/1990,"",IF(Main[[#This Row],[Class]]="C",WORKDAY(Main[[#This Row],[Tech Start Date]],9),IF(Main[[#This Row],[Class]]="B", WORKDAY(Main[[#This Row],[Tech Start Date]],6),IF(Main[[#This Row],[Class]]="A",WORKDAY(Main[[#This Row],[Tech Start Date]],2),""))))</f>
        <v/>
      </c>
      <c r="N570" s="114" t="str">
        <f>IF(Main[[#This Row],[Tech Start Date]]&lt;1/1/1990,"",IF(Main[[#This Row],[Class]]="C",WORKDAY(Main[[#This Row],[Tech Start Date]],19),IF(Main[[#This Row],[Class]]="B", WORKDAY(Main[[#This Row],[Tech Start Date]],12),IF(Main[[#This Row],[Class]]="A",WORKDAY(Main[[#This Row],[Tech Start Date]],4),""))))</f>
        <v/>
      </c>
      <c r="O570" s="114" t="str">
        <f>IF(Main[[#This Row],[Tech Start Date]]&lt;1/1/1990,"",IF(Main[[#This Row],[Class]]="C",WORKDAY(Main[[#This Row],[Tech Start Date]],23),IF(Main[[#This Row],[Class]]="B", WORKDAY(Main[[#This Row],[Tech Start Date]],15),IF(Main[[#This Row],[Class]]="A",WORKDAY(Main[[#This Row],[Tech Start Date]],5),""))))</f>
        <v/>
      </c>
      <c r="P570" s="114" t="str">
        <f>IF(Main[[#This Row],[Tech Start Date]]&lt;1/1/1990,"",IF(Main[[#This Row],[Class]]="C",WORKDAY(Main[[#This Row],[Tech Start Date]],28),IF(Main[[#This Row],[Class]]="B", WORKDAY(Main[[#This Row],[Tech Start Date]],19),IF(Main[[#This Row],[Class]]="A",WORKDAY(Main[[#This Row],[Tech Start Date]],9),""))))</f>
        <v/>
      </c>
      <c r="Q570" s="129">
        <v>40724</v>
      </c>
      <c r="R570" s="129"/>
      <c r="S570" s="139" t="s">
        <v>6</v>
      </c>
      <c r="T570" s="115" t="s">
        <v>4</v>
      </c>
      <c r="U570" s="139" t="s">
        <v>7</v>
      </c>
      <c r="V570" s="139" t="s">
        <v>1914</v>
      </c>
      <c r="W570" s="139" t="s">
        <v>4</v>
      </c>
      <c r="X570" s="139" t="s">
        <v>2822</v>
      </c>
      <c r="Y570" s="112" t="s">
        <v>2938</v>
      </c>
      <c r="Z570" s="112" t="s">
        <v>4</v>
      </c>
      <c r="AA570" s="139" t="s">
        <v>2822</v>
      </c>
    </row>
    <row r="571" spans="1:27" ht="17.25" customHeight="1">
      <c r="A571" s="69" t="str">
        <f>IF(priority(Main[[#This Row],[Comments]])&lt;&gt;0, priority(Main[[#This Row],[Comments]]),"")</f>
        <v/>
      </c>
      <c r="B571" s="63" t="s">
        <v>1387</v>
      </c>
      <c r="C571" s="148" t="s">
        <v>4</v>
      </c>
      <c r="D571" s="113" t="s">
        <v>475</v>
      </c>
      <c r="E571" s="129"/>
      <c r="F571" s="129"/>
      <c r="G571" s="69" t="str">
        <f>IF(stdProdLT(Main[[#This Row],[Comments]])=0.1,"N/A",IF(stdProdLT(Main[[#This Row],[Comments]])=0,"",stdProdLT(Main[[#This Row],[Comments]])))</f>
        <v/>
      </c>
      <c r="H571" s="138" t="str">
        <f>IF(Main[[#This Row],[In Stock Date]]="N/A", "N/A",IF(AND(Main[[#This Row],[In Stock Date]]&lt;&gt;"",Main[[#This Row],[Revised Due Date]]&lt;&gt;"",Main[[#This Row],[In Stock Date]]&lt;&gt;""),Main[[#This Row],[In Stock Date]]-Main[[#This Row],[Revised Due Date]],""))</f>
        <v/>
      </c>
      <c r="I571" s="139" t="s">
        <v>129</v>
      </c>
      <c r="J571" s="139" t="s">
        <v>4</v>
      </c>
      <c r="K571" s="139" t="s">
        <v>4</v>
      </c>
      <c r="L571" s="129"/>
      <c r="M571" s="114" t="str">
        <f>IF(Main[[#This Row],[Tech Start Date]]&lt;1/1/1990,"",IF(Main[[#This Row],[Class]]="C",WORKDAY(Main[[#This Row],[Tech Start Date]],9),IF(Main[[#This Row],[Class]]="B", WORKDAY(Main[[#This Row],[Tech Start Date]],6),IF(Main[[#This Row],[Class]]="A",WORKDAY(Main[[#This Row],[Tech Start Date]],2),""))))</f>
        <v/>
      </c>
      <c r="N571" s="114" t="str">
        <f>IF(Main[[#This Row],[Tech Start Date]]&lt;1/1/1990,"",IF(Main[[#This Row],[Class]]="C",WORKDAY(Main[[#This Row],[Tech Start Date]],19),IF(Main[[#This Row],[Class]]="B", WORKDAY(Main[[#This Row],[Tech Start Date]],12),IF(Main[[#This Row],[Class]]="A",WORKDAY(Main[[#This Row],[Tech Start Date]],4),""))))</f>
        <v/>
      </c>
      <c r="O571" s="114" t="str">
        <f>IF(Main[[#This Row],[Tech Start Date]]&lt;1/1/1990,"",IF(Main[[#This Row],[Class]]="C",WORKDAY(Main[[#This Row],[Tech Start Date]],23),IF(Main[[#This Row],[Class]]="B", WORKDAY(Main[[#This Row],[Tech Start Date]],15),IF(Main[[#This Row],[Class]]="A",WORKDAY(Main[[#This Row],[Tech Start Date]],5),""))))</f>
        <v/>
      </c>
      <c r="P571" s="114" t="str">
        <f>IF(Main[[#This Row],[Tech Start Date]]&lt;1/1/1990,"",IF(Main[[#This Row],[Class]]="C",WORKDAY(Main[[#This Row],[Tech Start Date]],28),IF(Main[[#This Row],[Class]]="B", WORKDAY(Main[[#This Row],[Tech Start Date]],19),IF(Main[[#This Row],[Class]]="A",WORKDAY(Main[[#This Row],[Tech Start Date]],9),""))))</f>
        <v/>
      </c>
      <c r="Q571" s="129">
        <v>40359</v>
      </c>
      <c r="R571" s="129"/>
      <c r="S571" s="139" t="s">
        <v>6</v>
      </c>
      <c r="T571" s="115" t="s">
        <v>4</v>
      </c>
      <c r="U571" s="139" t="s">
        <v>14</v>
      </c>
      <c r="V571" s="139" t="s">
        <v>1914</v>
      </c>
      <c r="W571" s="139" t="s">
        <v>1919</v>
      </c>
      <c r="X571" s="139" t="s">
        <v>102</v>
      </c>
      <c r="Y571" s="112" t="s">
        <v>3039</v>
      </c>
      <c r="Z571" s="112" t="s">
        <v>4</v>
      </c>
      <c r="AA571" s="139" t="s">
        <v>2873</v>
      </c>
    </row>
    <row r="572" spans="1:27" ht="17.25" customHeight="1">
      <c r="A572" s="69" t="str">
        <f>IF(priority(Main[[#This Row],[Comments]])&lt;&gt;0, priority(Main[[#This Row],[Comments]]),"")</f>
        <v/>
      </c>
      <c r="B572" s="63" t="s">
        <v>1388</v>
      </c>
      <c r="C572" s="148" t="s">
        <v>4</v>
      </c>
      <c r="D572" s="113" t="s">
        <v>476</v>
      </c>
      <c r="E572" s="129"/>
      <c r="F572" s="129"/>
      <c r="G572" s="69" t="str">
        <f>IF(stdProdLT(Main[[#This Row],[Comments]])=0.1,"N/A",IF(stdProdLT(Main[[#This Row],[Comments]])=0,"",stdProdLT(Main[[#This Row],[Comments]])))</f>
        <v/>
      </c>
      <c r="H572" s="138" t="str">
        <f>IF(Main[[#This Row],[In Stock Date]]="N/A", "N/A",IF(AND(Main[[#This Row],[In Stock Date]]&lt;&gt;"",Main[[#This Row],[Revised Due Date]]&lt;&gt;"",Main[[#This Row],[In Stock Date]]&lt;&gt;""),Main[[#This Row],[In Stock Date]]-Main[[#This Row],[Revised Due Date]],""))</f>
        <v/>
      </c>
      <c r="I572" s="139" t="s">
        <v>4</v>
      </c>
      <c r="J572" s="139" t="s">
        <v>4</v>
      </c>
      <c r="K572" s="139" t="s">
        <v>4</v>
      </c>
      <c r="L572" s="129"/>
      <c r="M572" s="114" t="str">
        <f>IF(Main[[#This Row],[Tech Start Date]]&lt;1/1/1990,"",IF(Main[[#This Row],[Class]]="C",WORKDAY(Main[[#This Row],[Tech Start Date]],9),IF(Main[[#This Row],[Class]]="B", WORKDAY(Main[[#This Row],[Tech Start Date]],6),IF(Main[[#This Row],[Class]]="A",WORKDAY(Main[[#This Row],[Tech Start Date]],2),""))))</f>
        <v/>
      </c>
      <c r="N572" s="114" t="str">
        <f>IF(Main[[#This Row],[Tech Start Date]]&lt;1/1/1990,"",IF(Main[[#This Row],[Class]]="C",WORKDAY(Main[[#This Row],[Tech Start Date]],19),IF(Main[[#This Row],[Class]]="B", WORKDAY(Main[[#This Row],[Tech Start Date]],12),IF(Main[[#This Row],[Class]]="A",WORKDAY(Main[[#This Row],[Tech Start Date]],4),""))))</f>
        <v/>
      </c>
      <c r="O572" s="114" t="str">
        <f>IF(Main[[#This Row],[Tech Start Date]]&lt;1/1/1990,"",IF(Main[[#This Row],[Class]]="C",WORKDAY(Main[[#This Row],[Tech Start Date]],23),IF(Main[[#This Row],[Class]]="B", WORKDAY(Main[[#This Row],[Tech Start Date]],15),IF(Main[[#This Row],[Class]]="A",WORKDAY(Main[[#This Row],[Tech Start Date]],5),""))))</f>
        <v/>
      </c>
      <c r="P572" s="114" t="str">
        <f>IF(Main[[#This Row],[Tech Start Date]]&lt;1/1/1990,"",IF(Main[[#This Row],[Class]]="C",WORKDAY(Main[[#This Row],[Tech Start Date]],28),IF(Main[[#This Row],[Class]]="B", WORKDAY(Main[[#This Row],[Tech Start Date]],19),IF(Main[[#This Row],[Class]]="A",WORKDAY(Main[[#This Row],[Tech Start Date]],9),""))))</f>
        <v/>
      </c>
      <c r="Q572" s="129">
        <v>40151</v>
      </c>
      <c r="R572" s="129"/>
      <c r="S572" s="139" t="s">
        <v>6</v>
      </c>
      <c r="T572" s="115" t="s">
        <v>4</v>
      </c>
      <c r="U572" s="139" t="s">
        <v>12</v>
      </c>
      <c r="V572" s="139" t="s">
        <v>1914</v>
      </c>
      <c r="W572" s="139" t="s">
        <v>1916</v>
      </c>
      <c r="X572" s="139" t="s">
        <v>894</v>
      </c>
      <c r="Y572" s="112" t="s">
        <v>3040</v>
      </c>
      <c r="Z572" s="112" t="s">
        <v>4</v>
      </c>
      <c r="AA572" s="139" t="s">
        <v>894</v>
      </c>
    </row>
    <row r="573" spans="1:27" ht="17.25" customHeight="1">
      <c r="A573" s="69" t="str">
        <f>IF(priority(Main[[#This Row],[Comments]])&lt;&gt;0, priority(Main[[#This Row],[Comments]]),"")</f>
        <v/>
      </c>
      <c r="B573" s="63" t="s">
        <v>2256</v>
      </c>
      <c r="C573" s="148" t="s">
        <v>95</v>
      </c>
      <c r="D573" s="113" t="s">
        <v>2257</v>
      </c>
      <c r="E573" s="129">
        <v>40806.589305555557</v>
      </c>
      <c r="F573" s="129"/>
      <c r="G573" s="69" t="str">
        <f>IF(stdProdLT(Main[[#This Row],[Comments]])=0.1,"N/A",IF(stdProdLT(Main[[#This Row],[Comments]])=0,"",stdProdLT(Main[[#This Row],[Comments]])))</f>
        <v/>
      </c>
      <c r="H573" s="138" t="str">
        <f>IF(Main[[#This Row],[In Stock Date]]="N/A", "N/A",IF(AND(Main[[#This Row],[In Stock Date]]&lt;&gt;"",Main[[#This Row],[Revised Due Date]]&lt;&gt;"",Main[[#This Row],[In Stock Date]]&lt;&gt;""),Main[[#This Row],[In Stock Date]]-Main[[#This Row],[Revised Due Date]],""))</f>
        <v/>
      </c>
      <c r="I573" s="139" t="s">
        <v>4</v>
      </c>
      <c r="J573" s="139" t="s">
        <v>4</v>
      </c>
      <c r="K573" s="139" t="s">
        <v>4</v>
      </c>
      <c r="L573" s="129"/>
      <c r="M573" s="114" t="str">
        <f>IF(Main[[#This Row],[Tech Start Date]]&lt;1/1/1990,"",IF(Main[[#This Row],[Class]]="C",WORKDAY(Main[[#This Row],[Tech Start Date]],9),IF(Main[[#This Row],[Class]]="B", WORKDAY(Main[[#This Row],[Tech Start Date]],6),IF(Main[[#This Row],[Class]]="A",WORKDAY(Main[[#This Row],[Tech Start Date]],2),""))))</f>
        <v/>
      </c>
      <c r="N573" s="114" t="str">
        <f>IF(Main[[#This Row],[Tech Start Date]]&lt;1/1/1990,"",IF(Main[[#This Row],[Class]]="C",WORKDAY(Main[[#This Row],[Tech Start Date]],19),IF(Main[[#This Row],[Class]]="B", WORKDAY(Main[[#This Row],[Tech Start Date]],12),IF(Main[[#This Row],[Class]]="A",WORKDAY(Main[[#This Row],[Tech Start Date]],4),""))))</f>
        <v/>
      </c>
      <c r="O573" s="114" t="str">
        <f>IF(Main[[#This Row],[Tech Start Date]]&lt;1/1/1990,"",IF(Main[[#This Row],[Class]]="C",WORKDAY(Main[[#This Row],[Tech Start Date]],23),IF(Main[[#This Row],[Class]]="B", WORKDAY(Main[[#This Row],[Tech Start Date]],15),IF(Main[[#This Row],[Class]]="A",WORKDAY(Main[[#This Row],[Tech Start Date]],5),""))))</f>
        <v/>
      </c>
      <c r="P573" s="114" t="str">
        <f>IF(Main[[#This Row],[Tech Start Date]]&lt;1/1/1990,"",IF(Main[[#This Row],[Class]]="C",WORKDAY(Main[[#This Row],[Tech Start Date]],28),IF(Main[[#This Row],[Class]]="B", WORKDAY(Main[[#This Row],[Tech Start Date]],19),IF(Main[[#This Row],[Class]]="A",WORKDAY(Main[[#This Row],[Tech Start Date]],9),""))))</f>
        <v/>
      </c>
      <c r="Q573" s="129">
        <v>40823</v>
      </c>
      <c r="R573" s="129"/>
      <c r="S573" s="139" t="s">
        <v>17</v>
      </c>
      <c r="T573" s="115" t="s">
        <v>4</v>
      </c>
      <c r="U573" s="139" t="s">
        <v>7</v>
      </c>
      <c r="V573" s="139" t="s">
        <v>1915</v>
      </c>
      <c r="W573" s="139" t="s">
        <v>1919</v>
      </c>
      <c r="X573" s="139" t="s">
        <v>553</v>
      </c>
      <c r="Y573" s="112" t="s">
        <v>2952</v>
      </c>
      <c r="Z573" s="112" t="s">
        <v>4</v>
      </c>
      <c r="AA573" s="139" t="s">
        <v>553</v>
      </c>
    </row>
    <row r="574" spans="1:27" ht="17.25" customHeight="1">
      <c r="A574" s="69" t="str">
        <f>IF(priority(Main[[#This Row],[Comments]])&lt;&gt;0, priority(Main[[#This Row],[Comments]]),"")</f>
        <v/>
      </c>
      <c r="B574" s="63" t="s">
        <v>2219</v>
      </c>
      <c r="C574" s="148" t="s">
        <v>4</v>
      </c>
      <c r="D574" s="113" t="s">
        <v>2220</v>
      </c>
      <c r="E574" s="129"/>
      <c r="F574" s="129"/>
      <c r="G574" s="69" t="str">
        <f>IF(stdProdLT(Main[[#This Row],[Comments]])=0.1,"N/A",IF(stdProdLT(Main[[#This Row],[Comments]])=0,"",stdProdLT(Main[[#This Row],[Comments]])))</f>
        <v/>
      </c>
      <c r="H574" s="138" t="str">
        <f>IF(Main[[#This Row],[In Stock Date]]="N/A", "N/A",IF(AND(Main[[#This Row],[In Stock Date]]&lt;&gt;"",Main[[#This Row],[Revised Due Date]]&lt;&gt;"",Main[[#This Row],[In Stock Date]]&lt;&gt;""),Main[[#This Row],[In Stock Date]]-Main[[#This Row],[Revised Due Date]],""))</f>
        <v/>
      </c>
      <c r="I574" s="139" t="s">
        <v>4</v>
      </c>
      <c r="J574" s="139" t="s">
        <v>4</v>
      </c>
      <c r="K574" s="139" t="s">
        <v>4</v>
      </c>
      <c r="L574" s="129"/>
      <c r="M574" s="114" t="str">
        <f>IF(Main[[#This Row],[Tech Start Date]]&lt;1/1/1990,"",IF(Main[[#This Row],[Class]]="C",WORKDAY(Main[[#This Row],[Tech Start Date]],9),IF(Main[[#This Row],[Class]]="B", WORKDAY(Main[[#This Row],[Tech Start Date]],6),IF(Main[[#This Row],[Class]]="A",WORKDAY(Main[[#This Row],[Tech Start Date]],2),""))))</f>
        <v/>
      </c>
      <c r="N574" s="114" t="str">
        <f>IF(Main[[#This Row],[Tech Start Date]]&lt;1/1/1990,"",IF(Main[[#This Row],[Class]]="C",WORKDAY(Main[[#This Row],[Tech Start Date]],19),IF(Main[[#This Row],[Class]]="B", WORKDAY(Main[[#This Row],[Tech Start Date]],12),IF(Main[[#This Row],[Class]]="A",WORKDAY(Main[[#This Row],[Tech Start Date]],4),""))))</f>
        <v/>
      </c>
      <c r="O574" s="114" t="str">
        <f>IF(Main[[#This Row],[Tech Start Date]]&lt;1/1/1990,"",IF(Main[[#This Row],[Class]]="C",WORKDAY(Main[[#This Row],[Tech Start Date]],23),IF(Main[[#This Row],[Class]]="B", WORKDAY(Main[[#This Row],[Tech Start Date]],15),IF(Main[[#This Row],[Class]]="A",WORKDAY(Main[[#This Row],[Tech Start Date]],5),""))))</f>
        <v/>
      </c>
      <c r="P574" s="114" t="str">
        <f>IF(Main[[#This Row],[Tech Start Date]]&lt;1/1/1990,"",IF(Main[[#This Row],[Class]]="C",WORKDAY(Main[[#This Row],[Tech Start Date]],28),IF(Main[[#This Row],[Class]]="B", WORKDAY(Main[[#This Row],[Tech Start Date]],19),IF(Main[[#This Row],[Class]]="A",WORKDAY(Main[[#This Row],[Tech Start Date]],9),""))))</f>
        <v/>
      </c>
      <c r="Q574" s="129"/>
      <c r="R574" s="129"/>
      <c r="S574" s="139" t="s">
        <v>49</v>
      </c>
      <c r="T574" s="115" t="s">
        <v>4</v>
      </c>
      <c r="U574" s="139" t="s">
        <v>14</v>
      </c>
      <c r="V574" s="139" t="s">
        <v>1915</v>
      </c>
      <c r="W574" s="139" t="s">
        <v>1918</v>
      </c>
      <c r="X574" s="139" t="s">
        <v>306</v>
      </c>
      <c r="Y574" s="112" t="s">
        <v>4</v>
      </c>
      <c r="Z574" s="112" t="s">
        <v>4</v>
      </c>
      <c r="AA574" s="139" t="s">
        <v>4</v>
      </c>
    </row>
    <row r="575" spans="1:27" ht="17.25" customHeight="1">
      <c r="A575" s="69" t="str">
        <f>IF(priority(Main[[#This Row],[Comments]])&lt;&gt;0, priority(Main[[#This Row],[Comments]]),"")</f>
        <v/>
      </c>
      <c r="B575" s="63" t="s">
        <v>1351</v>
      </c>
      <c r="C575" s="148" t="s">
        <v>4</v>
      </c>
      <c r="D575" s="113" t="s">
        <v>440</v>
      </c>
      <c r="E575" s="129">
        <v>40389.394756944443</v>
      </c>
      <c r="F575" s="129"/>
      <c r="G575" s="69" t="str">
        <f>IF(stdProdLT(Main[[#This Row],[Comments]])=0.1,"N/A",IF(stdProdLT(Main[[#This Row],[Comments]])=0,"",stdProdLT(Main[[#This Row],[Comments]])))</f>
        <v/>
      </c>
      <c r="H575" s="138" t="str">
        <f>IF(Main[[#This Row],[In Stock Date]]="N/A", "N/A",IF(AND(Main[[#This Row],[In Stock Date]]&lt;&gt;"",Main[[#This Row],[Revised Due Date]]&lt;&gt;"",Main[[#This Row],[In Stock Date]]&lt;&gt;""),Main[[#This Row],[In Stock Date]]-Main[[#This Row],[Revised Due Date]],""))</f>
        <v/>
      </c>
      <c r="I575" s="139" t="s">
        <v>4</v>
      </c>
      <c r="J575" s="139" t="s">
        <v>28</v>
      </c>
      <c r="K575" s="139" t="s">
        <v>1926</v>
      </c>
      <c r="L575" s="129"/>
      <c r="M575" s="114" t="str">
        <f>IF(Main[[#This Row],[Tech Start Date]]&lt;1/1/1990,"",IF(Main[[#This Row],[Class]]="C",WORKDAY(Main[[#This Row],[Tech Start Date]],9),IF(Main[[#This Row],[Class]]="B", WORKDAY(Main[[#This Row],[Tech Start Date]],6),IF(Main[[#This Row],[Class]]="A",WORKDAY(Main[[#This Row],[Tech Start Date]],2),""))))</f>
        <v/>
      </c>
      <c r="N575" s="114" t="str">
        <f>IF(Main[[#This Row],[Tech Start Date]]&lt;1/1/1990,"",IF(Main[[#This Row],[Class]]="C",WORKDAY(Main[[#This Row],[Tech Start Date]],19),IF(Main[[#This Row],[Class]]="B", WORKDAY(Main[[#This Row],[Tech Start Date]],12),IF(Main[[#This Row],[Class]]="A",WORKDAY(Main[[#This Row],[Tech Start Date]],4),""))))</f>
        <v/>
      </c>
      <c r="O575" s="114" t="str">
        <f>IF(Main[[#This Row],[Tech Start Date]]&lt;1/1/1990,"",IF(Main[[#This Row],[Class]]="C",WORKDAY(Main[[#This Row],[Tech Start Date]],23),IF(Main[[#This Row],[Class]]="B", WORKDAY(Main[[#This Row],[Tech Start Date]],15),IF(Main[[#This Row],[Class]]="A",WORKDAY(Main[[#This Row],[Tech Start Date]],5),""))))</f>
        <v/>
      </c>
      <c r="P575" s="114" t="str">
        <f>IF(Main[[#This Row],[Tech Start Date]]&lt;1/1/1990,"",IF(Main[[#This Row],[Class]]="C",WORKDAY(Main[[#This Row],[Tech Start Date]],28),IF(Main[[#This Row],[Class]]="B", WORKDAY(Main[[#This Row],[Tech Start Date]],19),IF(Main[[#This Row],[Class]]="A",WORKDAY(Main[[#This Row],[Tech Start Date]],9),""))))</f>
        <v/>
      </c>
      <c r="Q575" s="129">
        <v>40451</v>
      </c>
      <c r="R575" s="129"/>
      <c r="S575" s="139" t="s">
        <v>17</v>
      </c>
      <c r="T575" s="115" t="s">
        <v>4</v>
      </c>
      <c r="U575" s="139" t="s">
        <v>7</v>
      </c>
      <c r="V575" s="139" t="s">
        <v>1914</v>
      </c>
      <c r="W575" s="139" t="s">
        <v>1919</v>
      </c>
      <c r="X575" s="139" t="s">
        <v>129</v>
      </c>
      <c r="Y575" s="112" t="s">
        <v>2959</v>
      </c>
      <c r="Z575" s="112" t="s">
        <v>2828</v>
      </c>
      <c r="AA575" s="139" t="s">
        <v>2828</v>
      </c>
    </row>
    <row r="576" spans="1:27" ht="17.25" customHeight="1">
      <c r="A576" s="69" t="str">
        <f>IF(priority(Main[[#This Row],[Comments]])&lt;&gt;0, priority(Main[[#This Row],[Comments]]),"")</f>
        <v/>
      </c>
      <c r="B576" s="63" t="s">
        <v>1390</v>
      </c>
      <c r="C576" s="148" t="s">
        <v>72</v>
      </c>
      <c r="D576" s="113" t="s">
        <v>477</v>
      </c>
      <c r="E576" s="129"/>
      <c r="F576" s="129">
        <v>40031</v>
      </c>
      <c r="G576" s="69" t="str">
        <f>IF(stdProdLT(Main[[#This Row],[Comments]])=0.1,"N/A",IF(stdProdLT(Main[[#This Row],[Comments]])=0,"",stdProdLT(Main[[#This Row],[Comments]])))</f>
        <v/>
      </c>
      <c r="H576" s="138" t="str">
        <f>IF(Main[[#This Row],[In Stock Date]]="N/A", "N/A",IF(AND(Main[[#This Row],[In Stock Date]]&lt;&gt;"",Main[[#This Row],[Revised Due Date]]&lt;&gt;"",Main[[#This Row],[In Stock Date]]&lt;&gt;""),Main[[#This Row],[In Stock Date]]-Main[[#This Row],[Revised Due Date]],""))</f>
        <v/>
      </c>
      <c r="I576" s="139" t="s">
        <v>4</v>
      </c>
      <c r="J576" s="139" t="s">
        <v>4</v>
      </c>
      <c r="K576" s="139" t="s">
        <v>4</v>
      </c>
      <c r="L576" s="129"/>
      <c r="M576" s="114" t="str">
        <f>IF(Main[[#This Row],[Tech Start Date]]&lt;1/1/1990,"",IF(Main[[#This Row],[Class]]="C",WORKDAY(Main[[#This Row],[Tech Start Date]],9),IF(Main[[#This Row],[Class]]="B", WORKDAY(Main[[#This Row],[Tech Start Date]],6),IF(Main[[#This Row],[Class]]="A",WORKDAY(Main[[#This Row],[Tech Start Date]],2),""))))</f>
        <v/>
      </c>
      <c r="N576" s="114" t="str">
        <f>IF(Main[[#This Row],[Tech Start Date]]&lt;1/1/1990,"",IF(Main[[#This Row],[Class]]="C",WORKDAY(Main[[#This Row],[Tech Start Date]],19),IF(Main[[#This Row],[Class]]="B", WORKDAY(Main[[#This Row],[Tech Start Date]],12),IF(Main[[#This Row],[Class]]="A",WORKDAY(Main[[#This Row],[Tech Start Date]],4),""))))</f>
        <v/>
      </c>
      <c r="O576" s="114" t="str">
        <f>IF(Main[[#This Row],[Tech Start Date]]&lt;1/1/1990,"",IF(Main[[#This Row],[Class]]="C",WORKDAY(Main[[#This Row],[Tech Start Date]],23),IF(Main[[#This Row],[Class]]="B", WORKDAY(Main[[#This Row],[Tech Start Date]],15),IF(Main[[#This Row],[Class]]="A",WORKDAY(Main[[#This Row],[Tech Start Date]],5),""))))</f>
        <v/>
      </c>
      <c r="P576" s="114" t="str">
        <f>IF(Main[[#This Row],[Tech Start Date]]&lt;1/1/1990,"",IF(Main[[#This Row],[Class]]="C",WORKDAY(Main[[#This Row],[Tech Start Date]],28),IF(Main[[#This Row],[Class]]="B", WORKDAY(Main[[#This Row],[Tech Start Date]],19),IF(Main[[#This Row],[Class]]="A",WORKDAY(Main[[#This Row],[Tech Start Date]],9),""))))</f>
        <v/>
      </c>
      <c r="Q576" s="129">
        <v>39976</v>
      </c>
      <c r="R576" s="129"/>
      <c r="S576" s="139" t="s">
        <v>11</v>
      </c>
      <c r="T576" s="115" t="s">
        <v>4</v>
      </c>
      <c r="U576" s="139" t="s">
        <v>14</v>
      </c>
      <c r="V576" s="139" t="s">
        <v>1915</v>
      </c>
      <c r="W576" s="139" t="s">
        <v>1922</v>
      </c>
      <c r="X576" s="139" t="s">
        <v>2824</v>
      </c>
      <c r="Y576" s="112" t="s">
        <v>2943</v>
      </c>
      <c r="Z576" s="112" t="s">
        <v>4</v>
      </c>
      <c r="AA576" s="139" t="s">
        <v>2824</v>
      </c>
    </row>
    <row r="577" spans="1:27" ht="17.25" customHeight="1">
      <c r="A577" s="69" t="str">
        <f>IF(priority(Main[[#This Row],[Comments]])&lt;&gt;0, priority(Main[[#This Row],[Comments]]),"")</f>
        <v/>
      </c>
      <c r="B577" s="63" t="s">
        <v>1391</v>
      </c>
      <c r="C577" s="148" t="s">
        <v>83</v>
      </c>
      <c r="D577" s="113" t="s">
        <v>478</v>
      </c>
      <c r="E577" s="129"/>
      <c r="F577" s="129"/>
      <c r="G577" s="69" t="str">
        <f>IF(stdProdLT(Main[[#This Row],[Comments]])=0.1,"N/A",IF(stdProdLT(Main[[#This Row],[Comments]])=0,"",stdProdLT(Main[[#This Row],[Comments]])))</f>
        <v/>
      </c>
      <c r="H577" s="138" t="str">
        <f>IF(Main[[#This Row],[In Stock Date]]="N/A", "N/A",IF(AND(Main[[#This Row],[In Stock Date]]&lt;&gt;"",Main[[#This Row],[Revised Due Date]]&lt;&gt;"",Main[[#This Row],[In Stock Date]]&lt;&gt;""),Main[[#This Row],[In Stock Date]]-Main[[#This Row],[Revised Due Date]],""))</f>
        <v/>
      </c>
      <c r="I577" s="139" t="s">
        <v>4</v>
      </c>
      <c r="J577" s="139" t="s">
        <v>4</v>
      </c>
      <c r="K577" s="139" t="s">
        <v>4</v>
      </c>
      <c r="L577" s="129"/>
      <c r="M577" s="114" t="str">
        <f>IF(Main[[#This Row],[Tech Start Date]]&lt;1/1/1990,"",IF(Main[[#This Row],[Class]]="C",WORKDAY(Main[[#This Row],[Tech Start Date]],9),IF(Main[[#This Row],[Class]]="B", WORKDAY(Main[[#This Row],[Tech Start Date]],6),IF(Main[[#This Row],[Class]]="A",WORKDAY(Main[[#This Row],[Tech Start Date]],2),""))))</f>
        <v/>
      </c>
      <c r="N577" s="114" t="str">
        <f>IF(Main[[#This Row],[Tech Start Date]]&lt;1/1/1990,"",IF(Main[[#This Row],[Class]]="C",WORKDAY(Main[[#This Row],[Tech Start Date]],19),IF(Main[[#This Row],[Class]]="B", WORKDAY(Main[[#This Row],[Tech Start Date]],12),IF(Main[[#This Row],[Class]]="A",WORKDAY(Main[[#This Row],[Tech Start Date]],4),""))))</f>
        <v/>
      </c>
      <c r="O577" s="114" t="str">
        <f>IF(Main[[#This Row],[Tech Start Date]]&lt;1/1/1990,"",IF(Main[[#This Row],[Class]]="C",WORKDAY(Main[[#This Row],[Tech Start Date]],23),IF(Main[[#This Row],[Class]]="B", WORKDAY(Main[[#This Row],[Tech Start Date]],15),IF(Main[[#This Row],[Class]]="A",WORKDAY(Main[[#This Row],[Tech Start Date]],5),""))))</f>
        <v/>
      </c>
      <c r="P577" s="114" t="str">
        <f>IF(Main[[#This Row],[Tech Start Date]]&lt;1/1/1990,"",IF(Main[[#This Row],[Class]]="C",WORKDAY(Main[[#This Row],[Tech Start Date]],28),IF(Main[[#This Row],[Class]]="B", WORKDAY(Main[[#This Row],[Tech Start Date]],19),IF(Main[[#This Row],[Class]]="A",WORKDAY(Main[[#This Row],[Tech Start Date]],9),""))))</f>
        <v/>
      </c>
      <c r="Q577" s="129">
        <v>40137</v>
      </c>
      <c r="R577" s="129"/>
      <c r="S577" s="139" t="s">
        <v>11</v>
      </c>
      <c r="T577" s="115" t="s">
        <v>4</v>
      </c>
      <c r="U577" s="139" t="s">
        <v>14</v>
      </c>
      <c r="V577" s="139" t="s">
        <v>1914</v>
      </c>
      <c r="W577" s="139" t="s">
        <v>1925</v>
      </c>
      <c r="X577" s="139" t="s">
        <v>2817</v>
      </c>
      <c r="Y577" s="112" t="s">
        <v>4</v>
      </c>
      <c r="Z577" s="112" t="s">
        <v>4</v>
      </c>
      <c r="AA577" s="139" t="s">
        <v>2817</v>
      </c>
    </row>
    <row r="578" spans="1:27" ht="17.25" customHeight="1">
      <c r="A578" s="69" t="str">
        <f>IF(priority(Main[[#This Row],[Comments]])&lt;&gt;0, priority(Main[[#This Row],[Comments]]),"")</f>
        <v/>
      </c>
      <c r="B578" s="63" t="s">
        <v>1392</v>
      </c>
      <c r="C578" s="148" t="s">
        <v>95</v>
      </c>
      <c r="D578" s="113" t="s">
        <v>479</v>
      </c>
      <c r="E578" s="129"/>
      <c r="F578" s="129">
        <v>40196</v>
      </c>
      <c r="G578" s="69" t="str">
        <f>IF(stdProdLT(Main[[#This Row],[Comments]])=0.1,"N/A",IF(stdProdLT(Main[[#This Row],[Comments]])=0,"",stdProdLT(Main[[#This Row],[Comments]])))</f>
        <v/>
      </c>
      <c r="H578" s="138" t="str">
        <f>IF(Main[[#This Row],[In Stock Date]]="N/A", "N/A",IF(AND(Main[[#This Row],[In Stock Date]]&lt;&gt;"",Main[[#This Row],[Revised Due Date]]&lt;&gt;"",Main[[#This Row],[In Stock Date]]&lt;&gt;""),Main[[#This Row],[In Stock Date]]-Main[[#This Row],[Revised Due Date]],""))</f>
        <v/>
      </c>
      <c r="I578" s="139" t="s">
        <v>4</v>
      </c>
      <c r="J578" s="139" t="s">
        <v>4</v>
      </c>
      <c r="K578" s="139" t="s">
        <v>4</v>
      </c>
      <c r="L578" s="129"/>
      <c r="M578" s="114" t="str">
        <f>IF(Main[[#This Row],[Tech Start Date]]&lt;1/1/1990,"",IF(Main[[#This Row],[Class]]="C",WORKDAY(Main[[#This Row],[Tech Start Date]],9),IF(Main[[#This Row],[Class]]="B", WORKDAY(Main[[#This Row],[Tech Start Date]],6),IF(Main[[#This Row],[Class]]="A",WORKDAY(Main[[#This Row],[Tech Start Date]],2),""))))</f>
        <v/>
      </c>
      <c r="N578" s="114" t="str">
        <f>IF(Main[[#This Row],[Tech Start Date]]&lt;1/1/1990,"",IF(Main[[#This Row],[Class]]="C",WORKDAY(Main[[#This Row],[Tech Start Date]],19),IF(Main[[#This Row],[Class]]="B", WORKDAY(Main[[#This Row],[Tech Start Date]],12),IF(Main[[#This Row],[Class]]="A",WORKDAY(Main[[#This Row],[Tech Start Date]],4),""))))</f>
        <v/>
      </c>
      <c r="O578" s="114" t="str">
        <f>IF(Main[[#This Row],[Tech Start Date]]&lt;1/1/1990,"",IF(Main[[#This Row],[Class]]="C",WORKDAY(Main[[#This Row],[Tech Start Date]],23),IF(Main[[#This Row],[Class]]="B", WORKDAY(Main[[#This Row],[Tech Start Date]],15),IF(Main[[#This Row],[Class]]="A",WORKDAY(Main[[#This Row],[Tech Start Date]],5),""))))</f>
        <v/>
      </c>
      <c r="P578" s="114" t="str">
        <f>IF(Main[[#This Row],[Tech Start Date]]&lt;1/1/1990,"",IF(Main[[#This Row],[Class]]="C",WORKDAY(Main[[#This Row],[Tech Start Date]],28),IF(Main[[#This Row],[Class]]="B", WORKDAY(Main[[#This Row],[Tech Start Date]],19),IF(Main[[#This Row],[Class]]="A",WORKDAY(Main[[#This Row],[Tech Start Date]],9),""))))</f>
        <v/>
      </c>
      <c r="Q578" s="129">
        <v>40077</v>
      </c>
      <c r="R578" s="129"/>
      <c r="S578" s="139" t="s">
        <v>11</v>
      </c>
      <c r="T578" s="115" t="s">
        <v>4</v>
      </c>
      <c r="U578" s="139" t="s">
        <v>14</v>
      </c>
      <c r="V578" s="139" t="s">
        <v>1917</v>
      </c>
      <c r="W578" s="139" t="s">
        <v>1922</v>
      </c>
      <c r="X578" s="139" t="s">
        <v>2876</v>
      </c>
      <c r="Y578" s="112" t="s">
        <v>4</v>
      </c>
      <c r="Z578" s="112" t="s">
        <v>4</v>
      </c>
      <c r="AA578" s="139" t="s">
        <v>3406</v>
      </c>
    </row>
    <row r="579" spans="1:27" ht="17.25" customHeight="1">
      <c r="A579" s="69" t="str">
        <f>IF(priority(Main[[#This Row],[Comments]])&lt;&gt;0, priority(Main[[#This Row],[Comments]]),"")</f>
        <v/>
      </c>
      <c r="B579" s="63" t="s">
        <v>2715</v>
      </c>
      <c r="C579" s="148" t="s">
        <v>4</v>
      </c>
      <c r="D579" s="113" t="s">
        <v>2716</v>
      </c>
      <c r="E579" s="129">
        <v>40897.44736111111</v>
      </c>
      <c r="F579" s="129"/>
      <c r="G579" s="69" t="str">
        <f>IF(stdProdLT(Main[[#This Row],[Comments]])=0.1,"N/A",IF(stdProdLT(Main[[#This Row],[Comments]])=0,"",stdProdLT(Main[[#This Row],[Comments]])))</f>
        <v/>
      </c>
      <c r="H579" s="138" t="str">
        <f>IF(Main[[#This Row],[In Stock Date]]="N/A", "N/A",IF(AND(Main[[#This Row],[In Stock Date]]&lt;&gt;"",Main[[#This Row],[Revised Due Date]]&lt;&gt;"",Main[[#This Row],[In Stock Date]]&lt;&gt;""),Main[[#This Row],[In Stock Date]]-Main[[#This Row],[Revised Due Date]],""))</f>
        <v/>
      </c>
      <c r="I579" s="139" t="s">
        <v>4</v>
      </c>
      <c r="J579" s="139" t="s">
        <v>4</v>
      </c>
      <c r="K579" s="139" t="s">
        <v>4</v>
      </c>
      <c r="L579" s="129"/>
      <c r="M579" s="114" t="str">
        <f>IF(Main[[#This Row],[Tech Start Date]]&lt;1/1/1990,"",IF(Main[[#This Row],[Class]]="C",WORKDAY(Main[[#This Row],[Tech Start Date]],9),IF(Main[[#This Row],[Class]]="B", WORKDAY(Main[[#This Row],[Tech Start Date]],6),IF(Main[[#This Row],[Class]]="A",WORKDAY(Main[[#This Row],[Tech Start Date]],2),""))))</f>
        <v/>
      </c>
      <c r="N579" s="114" t="str">
        <f>IF(Main[[#This Row],[Tech Start Date]]&lt;1/1/1990,"",IF(Main[[#This Row],[Class]]="C",WORKDAY(Main[[#This Row],[Tech Start Date]],19),IF(Main[[#This Row],[Class]]="B", WORKDAY(Main[[#This Row],[Tech Start Date]],12),IF(Main[[#This Row],[Class]]="A",WORKDAY(Main[[#This Row],[Tech Start Date]],4),""))))</f>
        <v/>
      </c>
      <c r="O579" s="114" t="str">
        <f>IF(Main[[#This Row],[Tech Start Date]]&lt;1/1/1990,"",IF(Main[[#This Row],[Class]]="C",WORKDAY(Main[[#This Row],[Tech Start Date]],23),IF(Main[[#This Row],[Class]]="B", WORKDAY(Main[[#This Row],[Tech Start Date]],15),IF(Main[[#This Row],[Class]]="A",WORKDAY(Main[[#This Row],[Tech Start Date]],5),""))))</f>
        <v/>
      </c>
      <c r="P579" s="114" t="str">
        <f>IF(Main[[#This Row],[Tech Start Date]]&lt;1/1/1990,"",IF(Main[[#This Row],[Class]]="C",WORKDAY(Main[[#This Row],[Tech Start Date]],28),IF(Main[[#This Row],[Class]]="B", WORKDAY(Main[[#This Row],[Tech Start Date]],19),IF(Main[[#This Row],[Class]]="A",WORKDAY(Main[[#This Row],[Tech Start Date]],9),""))))</f>
        <v/>
      </c>
      <c r="Q579" s="129"/>
      <c r="R579" s="129"/>
      <c r="S579" s="139" t="s">
        <v>23</v>
      </c>
      <c r="T579" s="115" t="s">
        <v>4</v>
      </c>
      <c r="U579" s="139" t="s">
        <v>7</v>
      </c>
      <c r="V579" s="139" t="s">
        <v>1915</v>
      </c>
      <c r="W579" s="139" t="s">
        <v>1918</v>
      </c>
      <c r="X579" s="139" t="s">
        <v>399</v>
      </c>
      <c r="Y579" s="112" t="s">
        <v>4</v>
      </c>
      <c r="Z579" s="112" t="s">
        <v>4</v>
      </c>
      <c r="AA579" s="139" t="s">
        <v>3385</v>
      </c>
    </row>
    <row r="580" spans="1:27" ht="17.25" customHeight="1">
      <c r="A580" s="69" t="str">
        <f>IF(priority(Main[[#This Row],[Comments]])&lt;&gt;0, priority(Main[[#This Row],[Comments]]),"")</f>
        <v/>
      </c>
      <c r="B580" s="63" t="s">
        <v>1410</v>
      </c>
      <c r="C580" s="148" t="s">
        <v>4</v>
      </c>
      <c r="D580" s="113" t="s">
        <v>492</v>
      </c>
      <c r="E580" s="129"/>
      <c r="F580" s="129"/>
      <c r="G580" s="69" t="str">
        <f>IF(stdProdLT(Main[[#This Row],[Comments]])=0.1,"N/A",IF(stdProdLT(Main[[#This Row],[Comments]])=0,"",stdProdLT(Main[[#This Row],[Comments]])))</f>
        <v/>
      </c>
      <c r="H580" s="138" t="str">
        <f>IF(Main[[#This Row],[In Stock Date]]="N/A", "N/A",IF(AND(Main[[#This Row],[In Stock Date]]&lt;&gt;"",Main[[#This Row],[Revised Due Date]]&lt;&gt;"",Main[[#This Row],[In Stock Date]]&lt;&gt;""),Main[[#This Row],[In Stock Date]]-Main[[#This Row],[Revised Due Date]],""))</f>
        <v/>
      </c>
      <c r="I580" s="139" t="s">
        <v>81</v>
      </c>
      <c r="J580" s="139" t="s">
        <v>4</v>
      </c>
      <c r="K580" s="139" t="s">
        <v>4</v>
      </c>
      <c r="L580" s="129"/>
      <c r="M580" s="114" t="str">
        <f>IF(Main[[#This Row],[Tech Start Date]]&lt;1/1/1990,"",IF(Main[[#This Row],[Class]]="C",WORKDAY(Main[[#This Row],[Tech Start Date]],9),IF(Main[[#This Row],[Class]]="B", WORKDAY(Main[[#This Row],[Tech Start Date]],6),IF(Main[[#This Row],[Class]]="A",WORKDAY(Main[[#This Row],[Tech Start Date]],2),""))))</f>
        <v/>
      </c>
      <c r="N580" s="114" t="str">
        <f>IF(Main[[#This Row],[Tech Start Date]]&lt;1/1/1990,"",IF(Main[[#This Row],[Class]]="C",WORKDAY(Main[[#This Row],[Tech Start Date]],19),IF(Main[[#This Row],[Class]]="B", WORKDAY(Main[[#This Row],[Tech Start Date]],12),IF(Main[[#This Row],[Class]]="A",WORKDAY(Main[[#This Row],[Tech Start Date]],4),""))))</f>
        <v/>
      </c>
      <c r="O580" s="114" t="str">
        <f>IF(Main[[#This Row],[Tech Start Date]]&lt;1/1/1990,"",IF(Main[[#This Row],[Class]]="C",WORKDAY(Main[[#This Row],[Tech Start Date]],23),IF(Main[[#This Row],[Class]]="B", WORKDAY(Main[[#This Row],[Tech Start Date]],15),IF(Main[[#This Row],[Class]]="A",WORKDAY(Main[[#This Row],[Tech Start Date]],5),""))))</f>
        <v/>
      </c>
      <c r="P580" s="114" t="str">
        <f>IF(Main[[#This Row],[Tech Start Date]]&lt;1/1/1990,"",IF(Main[[#This Row],[Class]]="C",WORKDAY(Main[[#This Row],[Tech Start Date]],28),IF(Main[[#This Row],[Class]]="B", WORKDAY(Main[[#This Row],[Tech Start Date]],19),IF(Main[[#This Row],[Class]]="A",WORKDAY(Main[[#This Row],[Tech Start Date]],9),""))))</f>
        <v/>
      </c>
      <c r="Q580" s="129">
        <v>40338</v>
      </c>
      <c r="R580" s="129"/>
      <c r="S580" s="139" t="s">
        <v>6</v>
      </c>
      <c r="T580" s="115" t="s">
        <v>4</v>
      </c>
      <c r="U580" s="139" t="s">
        <v>14</v>
      </c>
      <c r="V580" s="139" t="s">
        <v>1917</v>
      </c>
      <c r="W580" s="139" t="s">
        <v>1918</v>
      </c>
      <c r="X580" s="139" t="s">
        <v>399</v>
      </c>
      <c r="Y580" s="112" t="s">
        <v>3061</v>
      </c>
      <c r="Z580" s="112" t="s">
        <v>4</v>
      </c>
      <c r="AA580" s="139" t="s">
        <v>3417</v>
      </c>
    </row>
    <row r="581" spans="1:27" ht="17.25" customHeight="1">
      <c r="A581" s="69" t="str">
        <f>IF(priority(Main[[#This Row],[Comments]])&lt;&gt;0, priority(Main[[#This Row],[Comments]]),"")</f>
        <v/>
      </c>
      <c r="B581" s="63" t="s">
        <v>1411</v>
      </c>
      <c r="C581" s="148" t="s">
        <v>493</v>
      </c>
      <c r="D581" s="113" t="s">
        <v>494</v>
      </c>
      <c r="E581" s="129"/>
      <c r="F581" s="129"/>
      <c r="G581" s="69" t="str">
        <f>IF(stdProdLT(Main[[#This Row],[Comments]])=0.1,"N/A",IF(stdProdLT(Main[[#This Row],[Comments]])=0,"",stdProdLT(Main[[#This Row],[Comments]])))</f>
        <v/>
      </c>
      <c r="H581" s="138" t="str">
        <f>IF(Main[[#This Row],[In Stock Date]]="N/A", "N/A",IF(AND(Main[[#This Row],[In Stock Date]]&lt;&gt;"",Main[[#This Row],[Revised Due Date]]&lt;&gt;"",Main[[#This Row],[In Stock Date]]&lt;&gt;""),Main[[#This Row],[In Stock Date]]-Main[[#This Row],[Revised Due Date]],""))</f>
        <v/>
      </c>
      <c r="I581" s="139" t="s">
        <v>4</v>
      </c>
      <c r="J581" s="139" t="s">
        <v>4</v>
      </c>
      <c r="K581" s="139" t="s">
        <v>4</v>
      </c>
      <c r="L581" s="129"/>
      <c r="M581" s="114" t="str">
        <f>IF(Main[[#This Row],[Tech Start Date]]&lt;1/1/1990,"",IF(Main[[#This Row],[Class]]="C",WORKDAY(Main[[#This Row],[Tech Start Date]],9),IF(Main[[#This Row],[Class]]="B", WORKDAY(Main[[#This Row],[Tech Start Date]],6),IF(Main[[#This Row],[Class]]="A",WORKDAY(Main[[#This Row],[Tech Start Date]],2),""))))</f>
        <v/>
      </c>
      <c r="N581" s="114" t="str">
        <f>IF(Main[[#This Row],[Tech Start Date]]&lt;1/1/1990,"",IF(Main[[#This Row],[Class]]="C",WORKDAY(Main[[#This Row],[Tech Start Date]],19),IF(Main[[#This Row],[Class]]="B", WORKDAY(Main[[#This Row],[Tech Start Date]],12),IF(Main[[#This Row],[Class]]="A",WORKDAY(Main[[#This Row],[Tech Start Date]],4),""))))</f>
        <v/>
      </c>
      <c r="O581" s="114" t="str">
        <f>IF(Main[[#This Row],[Tech Start Date]]&lt;1/1/1990,"",IF(Main[[#This Row],[Class]]="C",WORKDAY(Main[[#This Row],[Tech Start Date]],23),IF(Main[[#This Row],[Class]]="B", WORKDAY(Main[[#This Row],[Tech Start Date]],15),IF(Main[[#This Row],[Class]]="A",WORKDAY(Main[[#This Row],[Tech Start Date]],5),""))))</f>
        <v/>
      </c>
      <c r="P581" s="114" t="str">
        <f>IF(Main[[#This Row],[Tech Start Date]]&lt;1/1/1990,"",IF(Main[[#This Row],[Class]]="C",WORKDAY(Main[[#This Row],[Tech Start Date]],28),IF(Main[[#This Row],[Class]]="B", WORKDAY(Main[[#This Row],[Tech Start Date]],19),IF(Main[[#This Row],[Class]]="A",WORKDAY(Main[[#This Row],[Tech Start Date]],9),""))))</f>
        <v/>
      </c>
      <c r="Q581" s="129">
        <v>40239</v>
      </c>
      <c r="R581" s="129"/>
      <c r="S581" s="139" t="s">
        <v>11</v>
      </c>
      <c r="T581" s="115" t="s">
        <v>4</v>
      </c>
      <c r="U581" s="139" t="s">
        <v>14</v>
      </c>
      <c r="V581" s="139" t="s">
        <v>1917</v>
      </c>
      <c r="W581" s="139" t="s">
        <v>1916</v>
      </c>
      <c r="X581" s="139" t="s">
        <v>2896</v>
      </c>
      <c r="Y581" s="112" t="s">
        <v>4</v>
      </c>
      <c r="Z581" s="112" t="s">
        <v>4</v>
      </c>
      <c r="AA581" s="139" t="s">
        <v>2896</v>
      </c>
    </row>
    <row r="582" spans="1:27" ht="17.25" customHeight="1">
      <c r="A582" s="69" t="str">
        <f>IF(priority(Main[[#This Row],[Comments]])&lt;&gt;0, priority(Main[[#This Row],[Comments]]),"")</f>
        <v/>
      </c>
      <c r="B582" s="63" t="s">
        <v>1412</v>
      </c>
      <c r="C582" s="148" t="s">
        <v>495</v>
      </c>
      <c r="D582" s="113" t="s">
        <v>496</v>
      </c>
      <c r="E582" s="129"/>
      <c r="F582" s="129"/>
      <c r="G582" s="69" t="str">
        <f>IF(stdProdLT(Main[[#This Row],[Comments]])=0.1,"N/A",IF(stdProdLT(Main[[#This Row],[Comments]])=0,"",stdProdLT(Main[[#This Row],[Comments]])))</f>
        <v/>
      </c>
      <c r="H582" s="138" t="str">
        <f>IF(Main[[#This Row],[In Stock Date]]="N/A", "N/A",IF(AND(Main[[#This Row],[In Stock Date]]&lt;&gt;"",Main[[#This Row],[Revised Due Date]]&lt;&gt;"",Main[[#This Row],[In Stock Date]]&lt;&gt;""),Main[[#This Row],[In Stock Date]]-Main[[#This Row],[Revised Due Date]],""))</f>
        <v/>
      </c>
      <c r="I582" s="139" t="s">
        <v>4</v>
      </c>
      <c r="J582" s="139" t="s">
        <v>4</v>
      </c>
      <c r="K582" s="139" t="s">
        <v>4</v>
      </c>
      <c r="L582" s="129"/>
      <c r="M582" s="114" t="str">
        <f>IF(Main[[#This Row],[Tech Start Date]]&lt;1/1/1990,"",IF(Main[[#This Row],[Class]]="C",WORKDAY(Main[[#This Row],[Tech Start Date]],9),IF(Main[[#This Row],[Class]]="B", WORKDAY(Main[[#This Row],[Tech Start Date]],6),IF(Main[[#This Row],[Class]]="A",WORKDAY(Main[[#This Row],[Tech Start Date]],2),""))))</f>
        <v/>
      </c>
      <c r="N582" s="114" t="str">
        <f>IF(Main[[#This Row],[Tech Start Date]]&lt;1/1/1990,"",IF(Main[[#This Row],[Class]]="C",WORKDAY(Main[[#This Row],[Tech Start Date]],19),IF(Main[[#This Row],[Class]]="B", WORKDAY(Main[[#This Row],[Tech Start Date]],12),IF(Main[[#This Row],[Class]]="A",WORKDAY(Main[[#This Row],[Tech Start Date]],4),""))))</f>
        <v/>
      </c>
      <c r="O582" s="114" t="str">
        <f>IF(Main[[#This Row],[Tech Start Date]]&lt;1/1/1990,"",IF(Main[[#This Row],[Class]]="C",WORKDAY(Main[[#This Row],[Tech Start Date]],23),IF(Main[[#This Row],[Class]]="B", WORKDAY(Main[[#This Row],[Tech Start Date]],15),IF(Main[[#This Row],[Class]]="A",WORKDAY(Main[[#This Row],[Tech Start Date]],5),""))))</f>
        <v/>
      </c>
      <c r="P582" s="114" t="str">
        <f>IF(Main[[#This Row],[Tech Start Date]]&lt;1/1/1990,"",IF(Main[[#This Row],[Class]]="C",WORKDAY(Main[[#This Row],[Tech Start Date]],28),IF(Main[[#This Row],[Class]]="B", WORKDAY(Main[[#This Row],[Tech Start Date]],19),IF(Main[[#This Row],[Class]]="A",WORKDAY(Main[[#This Row],[Tech Start Date]],9),""))))</f>
        <v/>
      </c>
      <c r="Q582" s="129"/>
      <c r="R582" s="129"/>
      <c r="S582" s="139" t="s">
        <v>11</v>
      </c>
      <c r="T582" s="115" t="s">
        <v>4</v>
      </c>
      <c r="U582" s="139" t="s">
        <v>14</v>
      </c>
      <c r="V582" s="139" t="s">
        <v>1914</v>
      </c>
      <c r="W582" s="139" t="s">
        <v>1922</v>
      </c>
      <c r="X582" s="139" t="s">
        <v>50</v>
      </c>
      <c r="Y582" s="112" t="s">
        <v>3062</v>
      </c>
      <c r="Z582" s="112" t="s">
        <v>4</v>
      </c>
      <c r="AA582" s="139" t="s">
        <v>2860</v>
      </c>
    </row>
    <row r="583" spans="1:27" ht="17.25" customHeight="1">
      <c r="A583" s="69" t="str">
        <f>IF(priority(Main[[#This Row],[Comments]])&lt;&gt;0, priority(Main[[#This Row],[Comments]]),"")</f>
        <v/>
      </c>
      <c r="B583" s="63" t="s">
        <v>1413</v>
      </c>
      <c r="C583" s="148" t="s">
        <v>93</v>
      </c>
      <c r="D583" s="113" t="s">
        <v>497</v>
      </c>
      <c r="E583" s="129"/>
      <c r="F583" s="129">
        <v>40132</v>
      </c>
      <c r="G583" s="69" t="str">
        <f>IF(stdProdLT(Main[[#This Row],[Comments]])=0.1,"N/A",IF(stdProdLT(Main[[#This Row],[Comments]])=0,"",stdProdLT(Main[[#This Row],[Comments]])))</f>
        <v/>
      </c>
      <c r="H583" s="138" t="str">
        <f>IF(Main[[#This Row],[In Stock Date]]="N/A", "N/A",IF(AND(Main[[#This Row],[In Stock Date]]&lt;&gt;"",Main[[#This Row],[Revised Due Date]]&lt;&gt;"",Main[[#This Row],[In Stock Date]]&lt;&gt;""),Main[[#This Row],[In Stock Date]]-Main[[#This Row],[Revised Due Date]],""))</f>
        <v/>
      </c>
      <c r="I583" s="139" t="s">
        <v>4</v>
      </c>
      <c r="J583" s="139" t="s">
        <v>4</v>
      </c>
      <c r="K583" s="139" t="s">
        <v>4</v>
      </c>
      <c r="L583" s="129"/>
      <c r="M583" s="114" t="str">
        <f>IF(Main[[#This Row],[Tech Start Date]]&lt;1/1/1990,"",IF(Main[[#This Row],[Class]]="C",WORKDAY(Main[[#This Row],[Tech Start Date]],9),IF(Main[[#This Row],[Class]]="B", WORKDAY(Main[[#This Row],[Tech Start Date]],6),IF(Main[[#This Row],[Class]]="A",WORKDAY(Main[[#This Row],[Tech Start Date]],2),""))))</f>
        <v/>
      </c>
      <c r="N583" s="114" t="str">
        <f>IF(Main[[#This Row],[Tech Start Date]]&lt;1/1/1990,"",IF(Main[[#This Row],[Class]]="C",WORKDAY(Main[[#This Row],[Tech Start Date]],19),IF(Main[[#This Row],[Class]]="B", WORKDAY(Main[[#This Row],[Tech Start Date]],12),IF(Main[[#This Row],[Class]]="A",WORKDAY(Main[[#This Row],[Tech Start Date]],4),""))))</f>
        <v/>
      </c>
      <c r="O583" s="114" t="str">
        <f>IF(Main[[#This Row],[Tech Start Date]]&lt;1/1/1990,"",IF(Main[[#This Row],[Class]]="C",WORKDAY(Main[[#This Row],[Tech Start Date]],23),IF(Main[[#This Row],[Class]]="B", WORKDAY(Main[[#This Row],[Tech Start Date]],15),IF(Main[[#This Row],[Class]]="A",WORKDAY(Main[[#This Row],[Tech Start Date]],5),""))))</f>
        <v/>
      </c>
      <c r="P583" s="114" t="str">
        <f>IF(Main[[#This Row],[Tech Start Date]]&lt;1/1/1990,"",IF(Main[[#This Row],[Class]]="C",WORKDAY(Main[[#This Row],[Tech Start Date]],28),IF(Main[[#This Row],[Class]]="B", WORKDAY(Main[[#This Row],[Tech Start Date]],19),IF(Main[[#This Row],[Class]]="A",WORKDAY(Main[[#This Row],[Tech Start Date]],9),""))))</f>
        <v/>
      </c>
      <c r="Q583" s="129">
        <v>40132</v>
      </c>
      <c r="R583" s="129"/>
      <c r="S583" s="139" t="s">
        <v>11</v>
      </c>
      <c r="T583" s="115" t="s">
        <v>4</v>
      </c>
      <c r="U583" s="139" t="s">
        <v>14</v>
      </c>
      <c r="V583" s="139" t="s">
        <v>1924</v>
      </c>
      <c r="W583" s="139" t="s">
        <v>1925</v>
      </c>
      <c r="X583" s="139" t="s">
        <v>2856</v>
      </c>
      <c r="Y583" s="112" t="s">
        <v>4</v>
      </c>
      <c r="Z583" s="112" t="s">
        <v>4</v>
      </c>
      <c r="AA583" s="139" t="s">
        <v>2856</v>
      </c>
    </row>
    <row r="584" spans="1:27" ht="17.25" customHeight="1">
      <c r="A584" s="69" t="str">
        <f>IF(priority(Main[[#This Row],[Comments]])&lt;&gt;0, priority(Main[[#This Row],[Comments]]),"")</f>
        <v/>
      </c>
      <c r="B584" s="63" t="s">
        <v>1414</v>
      </c>
      <c r="C584" s="148" t="s">
        <v>99</v>
      </c>
      <c r="D584" s="113" t="s">
        <v>498</v>
      </c>
      <c r="E584" s="129"/>
      <c r="F584" s="129">
        <v>40435</v>
      </c>
      <c r="G584" s="69" t="str">
        <f>IF(stdProdLT(Main[[#This Row],[Comments]])=0.1,"N/A",IF(stdProdLT(Main[[#This Row],[Comments]])=0,"",stdProdLT(Main[[#This Row],[Comments]])))</f>
        <v/>
      </c>
      <c r="H584" s="138" t="str">
        <f>IF(Main[[#This Row],[In Stock Date]]="N/A", "N/A",IF(AND(Main[[#This Row],[In Stock Date]]&lt;&gt;"",Main[[#This Row],[Revised Due Date]]&lt;&gt;"",Main[[#This Row],[In Stock Date]]&lt;&gt;""),Main[[#This Row],[In Stock Date]]-Main[[#This Row],[Revised Due Date]],""))</f>
        <v/>
      </c>
      <c r="I584" s="139" t="s">
        <v>4</v>
      </c>
      <c r="J584" s="139" t="s">
        <v>28</v>
      </c>
      <c r="K584" s="139" t="s">
        <v>4</v>
      </c>
      <c r="L584" s="129"/>
      <c r="M584" s="114" t="str">
        <f>IF(Main[[#This Row],[Tech Start Date]]&lt;1/1/1990,"",IF(Main[[#This Row],[Class]]="C",WORKDAY(Main[[#This Row],[Tech Start Date]],9),IF(Main[[#This Row],[Class]]="B", WORKDAY(Main[[#This Row],[Tech Start Date]],6),IF(Main[[#This Row],[Class]]="A",WORKDAY(Main[[#This Row],[Tech Start Date]],2),""))))</f>
        <v/>
      </c>
      <c r="N584" s="114" t="str">
        <f>IF(Main[[#This Row],[Tech Start Date]]&lt;1/1/1990,"",IF(Main[[#This Row],[Class]]="C",WORKDAY(Main[[#This Row],[Tech Start Date]],19),IF(Main[[#This Row],[Class]]="B", WORKDAY(Main[[#This Row],[Tech Start Date]],12),IF(Main[[#This Row],[Class]]="A",WORKDAY(Main[[#This Row],[Tech Start Date]],4),""))))</f>
        <v/>
      </c>
      <c r="O584" s="114" t="str">
        <f>IF(Main[[#This Row],[Tech Start Date]]&lt;1/1/1990,"",IF(Main[[#This Row],[Class]]="C",WORKDAY(Main[[#This Row],[Tech Start Date]],23),IF(Main[[#This Row],[Class]]="B", WORKDAY(Main[[#This Row],[Tech Start Date]],15),IF(Main[[#This Row],[Class]]="A",WORKDAY(Main[[#This Row],[Tech Start Date]],5),""))))</f>
        <v/>
      </c>
      <c r="P584" s="114" t="str">
        <f>IF(Main[[#This Row],[Tech Start Date]]&lt;1/1/1990,"",IF(Main[[#This Row],[Class]]="C",WORKDAY(Main[[#This Row],[Tech Start Date]],28),IF(Main[[#This Row],[Class]]="B", WORKDAY(Main[[#This Row],[Tech Start Date]],19),IF(Main[[#This Row],[Class]]="A",WORKDAY(Main[[#This Row],[Tech Start Date]],9),""))))</f>
        <v/>
      </c>
      <c r="Q584" s="129">
        <v>40435</v>
      </c>
      <c r="R584" s="129"/>
      <c r="S584" s="139" t="s">
        <v>11</v>
      </c>
      <c r="T584" s="115" t="s">
        <v>4</v>
      </c>
      <c r="U584" s="139" t="s">
        <v>14</v>
      </c>
      <c r="V584" s="139" t="s">
        <v>1917</v>
      </c>
      <c r="W584" s="139" t="s">
        <v>1919</v>
      </c>
      <c r="X584" s="139" t="s">
        <v>2837</v>
      </c>
      <c r="Y584" s="112" t="s">
        <v>2966</v>
      </c>
      <c r="Z584" s="112" t="s">
        <v>530</v>
      </c>
      <c r="AA584" s="139" t="s">
        <v>2834</v>
      </c>
    </row>
    <row r="585" spans="1:27" ht="17.25" customHeight="1">
      <c r="A585" s="69" t="str">
        <f>IF(priority(Main[[#This Row],[Comments]])&lt;&gt;0, priority(Main[[#This Row],[Comments]]),"")</f>
        <v/>
      </c>
      <c r="B585" s="63" t="s">
        <v>1281</v>
      </c>
      <c r="C585" s="148" t="s">
        <v>42</v>
      </c>
      <c r="D585" s="113" t="s">
        <v>355</v>
      </c>
      <c r="E585" s="129"/>
      <c r="F585" s="129"/>
      <c r="G585" s="69" t="str">
        <f>IF(stdProdLT(Main[[#This Row],[Comments]])=0.1,"N/A",IF(stdProdLT(Main[[#This Row],[Comments]])=0,"",stdProdLT(Main[[#This Row],[Comments]])))</f>
        <v/>
      </c>
      <c r="H585" s="138" t="str">
        <f>IF(Main[[#This Row],[In Stock Date]]="N/A", "N/A",IF(AND(Main[[#This Row],[In Stock Date]]&lt;&gt;"",Main[[#This Row],[Revised Due Date]]&lt;&gt;"",Main[[#This Row],[In Stock Date]]&lt;&gt;""),Main[[#This Row],[In Stock Date]]-Main[[#This Row],[Revised Due Date]],""))</f>
        <v/>
      </c>
      <c r="I585" s="139" t="s">
        <v>4</v>
      </c>
      <c r="J585" s="139" t="s">
        <v>4</v>
      </c>
      <c r="K585" s="140" t="s">
        <v>4</v>
      </c>
      <c r="L585" s="129"/>
      <c r="M585" s="114" t="str">
        <f>IF(Main[[#This Row],[Tech Start Date]]&lt;1/1/1990,"",IF(Main[[#This Row],[Class]]="C",WORKDAY(Main[[#This Row],[Tech Start Date]],9),IF(Main[[#This Row],[Class]]="B", WORKDAY(Main[[#This Row],[Tech Start Date]],6),IF(Main[[#This Row],[Class]]="A",WORKDAY(Main[[#This Row],[Tech Start Date]],2),""))))</f>
        <v/>
      </c>
      <c r="N585" s="114" t="str">
        <f>IF(Main[[#This Row],[Tech Start Date]]&lt;1/1/1990,"",IF(Main[[#This Row],[Class]]="C",WORKDAY(Main[[#This Row],[Tech Start Date]],19),IF(Main[[#This Row],[Class]]="B", WORKDAY(Main[[#This Row],[Tech Start Date]],12),IF(Main[[#This Row],[Class]]="A",WORKDAY(Main[[#This Row],[Tech Start Date]],4),""))))</f>
        <v/>
      </c>
      <c r="O585" s="114" t="str">
        <f>IF(Main[[#This Row],[Tech Start Date]]&lt;1/1/1990,"",IF(Main[[#This Row],[Class]]="C",WORKDAY(Main[[#This Row],[Tech Start Date]],23),IF(Main[[#This Row],[Class]]="B", WORKDAY(Main[[#This Row],[Tech Start Date]],15),IF(Main[[#This Row],[Class]]="A",WORKDAY(Main[[#This Row],[Tech Start Date]],5),""))))</f>
        <v/>
      </c>
      <c r="P585" s="114" t="str">
        <f>IF(Main[[#This Row],[Tech Start Date]]&lt;1/1/1990,"",IF(Main[[#This Row],[Class]]="C",WORKDAY(Main[[#This Row],[Tech Start Date]],28),IF(Main[[#This Row],[Class]]="B", WORKDAY(Main[[#This Row],[Tech Start Date]],19),IF(Main[[#This Row],[Class]]="A",WORKDAY(Main[[#This Row],[Tech Start Date]],9),""))))</f>
        <v/>
      </c>
      <c r="Q585" s="129"/>
      <c r="R585" s="129"/>
      <c r="S585" s="139" t="s">
        <v>17</v>
      </c>
      <c r="T585" s="115" t="s">
        <v>4</v>
      </c>
      <c r="U585" s="139" t="s">
        <v>14</v>
      </c>
      <c r="V585" s="139" t="s">
        <v>1917</v>
      </c>
      <c r="W585" s="139" t="s">
        <v>4</v>
      </c>
      <c r="X585" s="139" t="s">
        <v>399</v>
      </c>
      <c r="Y585" s="112" t="s">
        <v>4</v>
      </c>
      <c r="Z585" s="112" t="s">
        <v>4</v>
      </c>
      <c r="AA585" s="139" t="s">
        <v>3418</v>
      </c>
    </row>
    <row r="586" spans="1:27" ht="17.25" customHeight="1">
      <c r="A586" s="69" t="str">
        <f>IF(priority(Main[[#This Row],[Comments]])&lt;&gt;0, priority(Main[[#This Row],[Comments]]),"")</f>
        <v/>
      </c>
      <c r="B586" s="63" t="s">
        <v>1415</v>
      </c>
      <c r="C586" s="148" t="s">
        <v>499</v>
      </c>
      <c r="D586" s="113" t="s">
        <v>500</v>
      </c>
      <c r="E586" s="129"/>
      <c r="F586" s="129">
        <v>40296</v>
      </c>
      <c r="G586" s="69" t="str">
        <f>IF(stdProdLT(Main[[#This Row],[Comments]])=0.1,"N/A",IF(stdProdLT(Main[[#This Row],[Comments]])=0,"",stdProdLT(Main[[#This Row],[Comments]])))</f>
        <v/>
      </c>
      <c r="H586" s="138" t="str">
        <f>IF(Main[[#This Row],[In Stock Date]]="N/A", "N/A",IF(AND(Main[[#This Row],[In Stock Date]]&lt;&gt;"",Main[[#This Row],[Revised Due Date]]&lt;&gt;"",Main[[#This Row],[In Stock Date]]&lt;&gt;""),Main[[#This Row],[In Stock Date]]-Main[[#This Row],[Revised Due Date]],""))</f>
        <v/>
      </c>
      <c r="I586" s="139" t="s">
        <v>4</v>
      </c>
      <c r="J586" s="139" t="s">
        <v>4</v>
      </c>
      <c r="K586" s="139" t="s">
        <v>4</v>
      </c>
      <c r="L586" s="129"/>
      <c r="M586" s="114" t="str">
        <f>IF(Main[[#This Row],[Tech Start Date]]&lt;1/1/1990,"",IF(Main[[#This Row],[Class]]="C",WORKDAY(Main[[#This Row],[Tech Start Date]],9),IF(Main[[#This Row],[Class]]="B", WORKDAY(Main[[#This Row],[Tech Start Date]],6),IF(Main[[#This Row],[Class]]="A",WORKDAY(Main[[#This Row],[Tech Start Date]],2),""))))</f>
        <v/>
      </c>
      <c r="N586" s="114" t="str">
        <f>IF(Main[[#This Row],[Tech Start Date]]&lt;1/1/1990,"",IF(Main[[#This Row],[Class]]="C",WORKDAY(Main[[#This Row],[Tech Start Date]],19),IF(Main[[#This Row],[Class]]="B", WORKDAY(Main[[#This Row],[Tech Start Date]],12),IF(Main[[#This Row],[Class]]="A",WORKDAY(Main[[#This Row],[Tech Start Date]],4),""))))</f>
        <v/>
      </c>
      <c r="O586" s="114" t="str">
        <f>IF(Main[[#This Row],[Tech Start Date]]&lt;1/1/1990,"",IF(Main[[#This Row],[Class]]="C",WORKDAY(Main[[#This Row],[Tech Start Date]],23),IF(Main[[#This Row],[Class]]="B", WORKDAY(Main[[#This Row],[Tech Start Date]],15),IF(Main[[#This Row],[Class]]="A",WORKDAY(Main[[#This Row],[Tech Start Date]],5),""))))</f>
        <v/>
      </c>
      <c r="P586" s="114" t="str">
        <f>IF(Main[[#This Row],[Tech Start Date]]&lt;1/1/1990,"",IF(Main[[#This Row],[Class]]="C",WORKDAY(Main[[#This Row],[Tech Start Date]],28),IF(Main[[#This Row],[Class]]="B", WORKDAY(Main[[#This Row],[Tech Start Date]],19),IF(Main[[#This Row],[Class]]="A",WORKDAY(Main[[#This Row],[Tech Start Date]],9),""))))</f>
        <v/>
      </c>
      <c r="Q586" s="129"/>
      <c r="R586" s="129"/>
      <c r="S586" s="139" t="s">
        <v>11</v>
      </c>
      <c r="T586" s="115" t="s">
        <v>4</v>
      </c>
      <c r="U586" s="139" t="s">
        <v>14</v>
      </c>
      <c r="V586" s="139" t="s">
        <v>1924</v>
      </c>
      <c r="W586" s="139" t="s">
        <v>1920</v>
      </c>
      <c r="X586" s="139" t="s">
        <v>2868</v>
      </c>
      <c r="Y586" s="112" t="s">
        <v>3012</v>
      </c>
      <c r="Z586" s="112" t="s">
        <v>4</v>
      </c>
      <c r="AA586" s="139" t="s">
        <v>2868</v>
      </c>
    </row>
    <row r="587" spans="1:27" ht="17.25" customHeight="1">
      <c r="A587" s="69" t="str">
        <f>IF(priority(Main[[#This Row],[Comments]])&lt;&gt;0, priority(Main[[#This Row],[Comments]]),"")</f>
        <v/>
      </c>
      <c r="B587" s="63" t="s">
        <v>1857</v>
      </c>
      <c r="C587" s="148" t="s">
        <v>47</v>
      </c>
      <c r="D587" s="113" t="s">
        <v>914</v>
      </c>
      <c r="E587" s="129">
        <v>39937.592280092591</v>
      </c>
      <c r="F587" s="129"/>
      <c r="G587" s="69" t="str">
        <f>IF(stdProdLT(Main[[#This Row],[Comments]])=0.1,"N/A",IF(stdProdLT(Main[[#This Row],[Comments]])=0,"",stdProdLT(Main[[#This Row],[Comments]])))</f>
        <v/>
      </c>
      <c r="H587" s="138" t="str">
        <f>IF(Main[[#This Row],[In Stock Date]]="N/A", "N/A",IF(AND(Main[[#This Row],[In Stock Date]]&lt;&gt;"",Main[[#This Row],[Revised Due Date]]&lt;&gt;"",Main[[#This Row],[In Stock Date]]&lt;&gt;""),Main[[#This Row],[In Stock Date]]-Main[[#This Row],[Revised Due Date]],""))</f>
        <v/>
      </c>
      <c r="I587" s="139" t="s">
        <v>889</v>
      </c>
      <c r="J587" s="139" t="s">
        <v>4</v>
      </c>
      <c r="K587" s="139" t="s">
        <v>1926</v>
      </c>
      <c r="L587" s="129"/>
      <c r="M587" s="114" t="str">
        <f>IF(Main[[#This Row],[Tech Start Date]]&lt;1/1/1990,"",IF(Main[[#This Row],[Class]]="C",WORKDAY(Main[[#This Row],[Tech Start Date]],9),IF(Main[[#This Row],[Class]]="B", WORKDAY(Main[[#This Row],[Tech Start Date]],6),IF(Main[[#This Row],[Class]]="A",WORKDAY(Main[[#This Row],[Tech Start Date]],2),""))))</f>
        <v/>
      </c>
      <c r="N587" s="114" t="str">
        <f>IF(Main[[#This Row],[Tech Start Date]]&lt;1/1/1990,"",IF(Main[[#This Row],[Class]]="C",WORKDAY(Main[[#This Row],[Tech Start Date]],19),IF(Main[[#This Row],[Class]]="B", WORKDAY(Main[[#This Row],[Tech Start Date]],12),IF(Main[[#This Row],[Class]]="A",WORKDAY(Main[[#This Row],[Tech Start Date]],4),""))))</f>
        <v/>
      </c>
      <c r="O587" s="114" t="str">
        <f>IF(Main[[#This Row],[Tech Start Date]]&lt;1/1/1990,"",IF(Main[[#This Row],[Class]]="C",WORKDAY(Main[[#This Row],[Tech Start Date]],23),IF(Main[[#This Row],[Class]]="B", WORKDAY(Main[[#This Row],[Tech Start Date]],15),IF(Main[[#This Row],[Class]]="A",WORKDAY(Main[[#This Row],[Tech Start Date]],5),""))))</f>
        <v/>
      </c>
      <c r="P587" s="114" t="str">
        <f>IF(Main[[#This Row],[Tech Start Date]]&lt;1/1/1990,"",IF(Main[[#This Row],[Class]]="C",WORKDAY(Main[[#This Row],[Tech Start Date]],28),IF(Main[[#This Row],[Class]]="B", WORKDAY(Main[[#This Row],[Tech Start Date]],19),IF(Main[[#This Row],[Class]]="A",WORKDAY(Main[[#This Row],[Tech Start Date]],9),""))))</f>
        <v/>
      </c>
      <c r="Q587" s="129">
        <v>40209</v>
      </c>
      <c r="R587" s="129">
        <v>40574</v>
      </c>
      <c r="S587" s="139" t="s">
        <v>17</v>
      </c>
      <c r="T587" s="115" t="s">
        <v>4</v>
      </c>
      <c r="U587" s="139" t="s">
        <v>29</v>
      </c>
      <c r="V587" s="139" t="s">
        <v>1914</v>
      </c>
      <c r="W587" s="139" t="s">
        <v>1918</v>
      </c>
      <c r="X587" s="139" t="s">
        <v>2827</v>
      </c>
      <c r="Y587" s="112" t="s">
        <v>2948</v>
      </c>
      <c r="Z587" s="112" t="s">
        <v>4</v>
      </c>
      <c r="AA587" s="139" t="s">
        <v>2827</v>
      </c>
    </row>
    <row r="588" spans="1:27" ht="17.25" customHeight="1">
      <c r="A588" s="69" t="str">
        <f>IF(priority(Main[[#This Row],[Comments]])&lt;&gt;0, priority(Main[[#This Row],[Comments]]),"")</f>
        <v/>
      </c>
      <c r="B588" s="63" t="s">
        <v>1416</v>
      </c>
      <c r="C588" s="148" t="s">
        <v>501</v>
      </c>
      <c r="D588" s="113" t="s">
        <v>502</v>
      </c>
      <c r="E588" s="129"/>
      <c r="F588" s="129">
        <v>40848</v>
      </c>
      <c r="G588" s="69" t="str">
        <f>IF(stdProdLT(Main[[#This Row],[Comments]])=0.1,"N/A",IF(stdProdLT(Main[[#This Row],[Comments]])=0,"",stdProdLT(Main[[#This Row],[Comments]])))</f>
        <v/>
      </c>
      <c r="H588" s="138" t="str">
        <f>IF(Main[[#This Row],[In Stock Date]]="N/A", "N/A",IF(AND(Main[[#This Row],[In Stock Date]]&lt;&gt;"",Main[[#This Row],[Revised Due Date]]&lt;&gt;"",Main[[#This Row],[In Stock Date]]&lt;&gt;""),Main[[#This Row],[In Stock Date]]-Main[[#This Row],[Revised Due Date]],""))</f>
        <v/>
      </c>
      <c r="I588" s="139" t="s">
        <v>4</v>
      </c>
      <c r="J588" s="139" t="s">
        <v>28</v>
      </c>
      <c r="K588" s="139" t="s">
        <v>4</v>
      </c>
      <c r="L588" s="129"/>
      <c r="M588" s="114" t="str">
        <f>IF(Main[[#This Row],[Tech Start Date]]&lt;1/1/1990,"",IF(Main[[#This Row],[Class]]="C",WORKDAY(Main[[#This Row],[Tech Start Date]],9),IF(Main[[#This Row],[Class]]="B", WORKDAY(Main[[#This Row],[Tech Start Date]],6),IF(Main[[#This Row],[Class]]="A",WORKDAY(Main[[#This Row],[Tech Start Date]],2),""))))</f>
        <v/>
      </c>
      <c r="N588" s="114" t="str">
        <f>IF(Main[[#This Row],[Tech Start Date]]&lt;1/1/1990,"",IF(Main[[#This Row],[Class]]="C",WORKDAY(Main[[#This Row],[Tech Start Date]],19),IF(Main[[#This Row],[Class]]="B", WORKDAY(Main[[#This Row],[Tech Start Date]],12),IF(Main[[#This Row],[Class]]="A",WORKDAY(Main[[#This Row],[Tech Start Date]],4),""))))</f>
        <v/>
      </c>
      <c r="O588" s="114" t="str">
        <f>IF(Main[[#This Row],[Tech Start Date]]&lt;1/1/1990,"",IF(Main[[#This Row],[Class]]="C",WORKDAY(Main[[#This Row],[Tech Start Date]],23),IF(Main[[#This Row],[Class]]="B", WORKDAY(Main[[#This Row],[Tech Start Date]],15),IF(Main[[#This Row],[Class]]="A",WORKDAY(Main[[#This Row],[Tech Start Date]],5),""))))</f>
        <v/>
      </c>
      <c r="P588" s="114" t="str">
        <f>IF(Main[[#This Row],[Tech Start Date]]&lt;1/1/1990,"",IF(Main[[#This Row],[Class]]="C",WORKDAY(Main[[#This Row],[Tech Start Date]],28),IF(Main[[#This Row],[Class]]="B", WORKDAY(Main[[#This Row],[Tech Start Date]],19),IF(Main[[#This Row],[Class]]="A",WORKDAY(Main[[#This Row],[Tech Start Date]],9),""))))</f>
        <v/>
      </c>
      <c r="Q588" s="129">
        <v>40627</v>
      </c>
      <c r="R588" s="129"/>
      <c r="S588" s="139" t="s">
        <v>11</v>
      </c>
      <c r="T588" s="115" t="s">
        <v>4</v>
      </c>
      <c r="U588" s="139" t="s">
        <v>14</v>
      </c>
      <c r="V588" s="139" t="s">
        <v>1917</v>
      </c>
      <c r="W588" s="139" t="s">
        <v>1920</v>
      </c>
      <c r="X588" s="139" t="s">
        <v>50</v>
      </c>
      <c r="Y588" s="112" t="s">
        <v>3063</v>
      </c>
      <c r="Z588" s="112" t="s">
        <v>81</v>
      </c>
      <c r="AA588" s="139" t="s">
        <v>3419</v>
      </c>
    </row>
    <row r="589" spans="1:27" ht="17.25" customHeight="1">
      <c r="A589" s="12" t="str">
        <f>IF(priority(Main[[#This Row],[Comments]])&lt;&gt;0, priority(Main[[#This Row],[Comments]]),"")</f>
        <v/>
      </c>
      <c r="B589" s="63" t="s">
        <v>1417</v>
      </c>
      <c r="C589" s="147" t="s">
        <v>4</v>
      </c>
      <c r="D589" s="117" t="s">
        <v>1949</v>
      </c>
      <c r="E589" s="130"/>
      <c r="F589" s="130"/>
      <c r="G589" s="12" t="str">
        <f>IF(stdProdLT(Main[[#This Row],[Comments]])=0.1,"N/A",IF(stdProdLT(Main[[#This Row],[Comments]])=0,"",stdProdLT(Main[[#This Row],[Comments]])))</f>
        <v/>
      </c>
      <c r="H589" s="141" t="str">
        <f>IF(Main[[#This Row],[In Stock Date]]="N/A", "N/A",IF(AND(Main[[#This Row],[In Stock Date]]&lt;&gt;"",Main[[#This Row],[Revised Due Date]]&lt;&gt;"",Main[[#This Row],[In Stock Date]]&lt;&gt;""),Main[[#This Row],[In Stock Date]]-Main[[#This Row],[Revised Due Date]],""))</f>
        <v/>
      </c>
      <c r="I589" s="12" t="s">
        <v>4</v>
      </c>
      <c r="J589" s="12" t="s">
        <v>28</v>
      </c>
      <c r="K589" s="12" t="s">
        <v>1921</v>
      </c>
      <c r="L589" s="130"/>
      <c r="M589" s="114" t="str">
        <f>IF(Main[[#This Row],[Tech Start Date]]&lt;1/1/1990,"",IF(Main[[#This Row],[Class]]="C",WORKDAY(Main[[#This Row],[Tech Start Date]],9),IF(Main[[#This Row],[Class]]="B", WORKDAY(Main[[#This Row],[Tech Start Date]],6),IF(Main[[#This Row],[Class]]="A",WORKDAY(Main[[#This Row],[Tech Start Date]],2),""))))</f>
        <v/>
      </c>
      <c r="N589" s="114" t="str">
        <f>IF(Main[[#This Row],[Tech Start Date]]&lt;1/1/1990,"",IF(Main[[#This Row],[Class]]="C",WORKDAY(Main[[#This Row],[Tech Start Date]],19),IF(Main[[#This Row],[Class]]="B", WORKDAY(Main[[#This Row],[Tech Start Date]],12),IF(Main[[#This Row],[Class]]="A",WORKDAY(Main[[#This Row],[Tech Start Date]],4),""))))</f>
        <v/>
      </c>
      <c r="O589" s="114" t="str">
        <f>IF(Main[[#This Row],[Tech Start Date]]&lt;1/1/1990,"",IF(Main[[#This Row],[Class]]="C",WORKDAY(Main[[#This Row],[Tech Start Date]],23),IF(Main[[#This Row],[Class]]="B", WORKDAY(Main[[#This Row],[Tech Start Date]],15),IF(Main[[#This Row],[Class]]="A",WORKDAY(Main[[#This Row],[Tech Start Date]],5),""))))</f>
        <v/>
      </c>
      <c r="P589" s="114" t="str">
        <f>IF(Main[[#This Row],[Tech Start Date]]&lt;1/1/1990,"",IF(Main[[#This Row],[Class]]="C",WORKDAY(Main[[#This Row],[Tech Start Date]],28),IF(Main[[#This Row],[Class]]="B", WORKDAY(Main[[#This Row],[Tech Start Date]],19),IF(Main[[#This Row],[Class]]="A",WORKDAY(Main[[#This Row],[Tech Start Date]],9),""))))</f>
        <v/>
      </c>
      <c r="Q589" s="130"/>
      <c r="R589" s="130"/>
      <c r="S589" s="12" t="s">
        <v>6</v>
      </c>
      <c r="T589" s="118" t="s">
        <v>4</v>
      </c>
      <c r="U589" s="12" t="s">
        <v>14</v>
      </c>
      <c r="V589" s="12" t="s">
        <v>1915</v>
      </c>
      <c r="W589" s="12" t="s">
        <v>1916</v>
      </c>
      <c r="X589" s="12" t="s">
        <v>2897</v>
      </c>
      <c r="Y589" s="116" t="s">
        <v>3064</v>
      </c>
      <c r="Z589" s="116" t="s">
        <v>4</v>
      </c>
      <c r="AA589" s="139" t="s">
        <v>3420</v>
      </c>
    </row>
    <row r="590" spans="1:27" ht="17.25" customHeight="1">
      <c r="A590" s="69" t="str">
        <f>IF(priority(Main[[#This Row],[Comments]])&lt;&gt;0, priority(Main[[#This Row],[Comments]]),"")</f>
        <v/>
      </c>
      <c r="B590" s="63" t="s">
        <v>1418</v>
      </c>
      <c r="C590" s="148" t="s">
        <v>83</v>
      </c>
      <c r="D590" s="113" t="s">
        <v>503</v>
      </c>
      <c r="E590" s="129"/>
      <c r="F590" s="129"/>
      <c r="G590" s="69" t="str">
        <f>IF(stdProdLT(Main[[#This Row],[Comments]])=0.1,"N/A",IF(stdProdLT(Main[[#This Row],[Comments]])=0,"",stdProdLT(Main[[#This Row],[Comments]])))</f>
        <v/>
      </c>
      <c r="H590" s="138" t="str">
        <f>IF(Main[[#This Row],[In Stock Date]]="N/A", "N/A",IF(AND(Main[[#This Row],[In Stock Date]]&lt;&gt;"",Main[[#This Row],[Revised Due Date]]&lt;&gt;"",Main[[#This Row],[In Stock Date]]&lt;&gt;""),Main[[#This Row],[In Stock Date]]-Main[[#This Row],[Revised Due Date]],""))</f>
        <v/>
      </c>
      <c r="I590" s="139" t="s">
        <v>4</v>
      </c>
      <c r="J590" s="139" t="s">
        <v>4</v>
      </c>
      <c r="K590" s="139" t="s">
        <v>4</v>
      </c>
      <c r="L590" s="129"/>
      <c r="M590" s="114" t="str">
        <f>IF(Main[[#This Row],[Tech Start Date]]&lt;1/1/1990,"",IF(Main[[#This Row],[Class]]="C",WORKDAY(Main[[#This Row],[Tech Start Date]],9),IF(Main[[#This Row],[Class]]="B", WORKDAY(Main[[#This Row],[Tech Start Date]],6),IF(Main[[#This Row],[Class]]="A",WORKDAY(Main[[#This Row],[Tech Start Date]],2),""))))</f>
        <v/>
      </c>
      <c r="N590" s="114" t="str">
        <f>IF(Main[[#This Row],[Tech Start Date]]&lt;1/1/1990,"",IF(Main[[#This Row],[Class]]="C",WORKDAY(Main[[#This Row],[Tech Start Date]],19),IF(Main[[#This Row],[Class]]="B", WORKDAY(Main[[#This Row],[Tech Start Date]],12),IF(Main[[#This Row],[Class]]="A",WORKDAY(Main[[#This Row],[Tech Start Date]],4),""))))</f>
        <v/>
      </c>
      <c r="O590" s="114" t="str">
        <f>IF(Main[[#This Row],[Tech Start Date]]&lt;1/1/1990,"",IF(Main[[#This Row],[Class]]="C",WORKDAY(Main[[#This Row],[Tech Start Date]],23),IF(Main[[#This Row],[Class]]="B", WORKDAY(Main[[#This Row],[Tech Start Date]],15),IF(Main[[#This Row],[Class]]="A",WORKDAY(Main[[#This Row],[Tech Start Date]],5),""))))</f>
        <v/>
      </c>
      <c r="P590" s="114" t="str">
        <f>IF(Main[[#This Row],[Tech Start Date]]&lt;1/1/1990,"",IF(Main[[#This Row],[Class]]="C",WORKDAY(Main[[#This Row],[Tech Start Date]],28),IF(Main[[#This Row],[Class]]="B", WORKDAY(Main[[#This Row],[Tech Start Date]],19),IF(Main[[#This Row],[Class]]="A",WORKDAY(Main[[#This Row],[Tech Start Date]],9),""))))</f>
        <v/>
      </c>
      <c r="Q590" s="129">
        <v>40259</v>
      </c>
      <c r="R590" s="129"/>
      <c r="S590" s="139" t="s">
        <v>11</v>
      </c>
      <c r="T590" s="115" t="s">
        <v>4</v>
      </c>
      <c r="U590" s="139" t="s">
        <v>14</v>
      </c>
      <c r="V590" s="139" t="s">
        <v>1914</v>
      </c>
      <c r="W590" s="139" t="s">
        <v>1925</v>
      </c>
      <c r="X590" s="139" t="s">
        <v>2817</v>
      </c>
      <c r="Y590" s="112" t="s">
        <v>4</v>
      </c>
      <c r="Z590" s="112" t="s">
        <v>4</v>
      </c>
      <c r="AA590" s="139" t="s">
        <v>2817</v>
      </c>
    </row>
    <row r="591" spans="1:27" ht="17.25" customHeight="1">
      <c r="A591" s="69" t="str">
        <f>IF(priority(Main[[#This Row],[Comments]])&lt;&gt;0, priority(Main[[#This Row],[Comments]]),"")</f>
        <v/>
      </c>
      <c r="B591" s="63" t="s">
        <v>1419</v>
      </c>
      <c r="C591" s="148" t="s">
        <v>4</v>
      </c>
      <c r="D591" s="113" t="s">
        <v>504</v>
      </c>
      <c r="E591" s="129">
        <v>40582.330949074072</v>
      </c>
      <c r="F591" s="129">
        <v>40664</v>
      </c>
      <c r="G591" s="69" t="str">
        <f>IF(stdProdLT(Main[[#This Row],[Comments]])=0.1,"N/A",IF(stdProdLT(Main[[#This Row],[Comments]])=0,"",stdProdLT(Main[[#This Row],[Comments]])))</f>
        <v/>
      </c>
      <c r="H591" s="138" t="str">
        <f>IF(Main[[#This Row],[In Stock Date]]="N/A", "N/A",IF(AND(Main[[#This Row],[In Stock Date]]&lt;&gt;"",Main[[#This Row],[Revised Due Date]]&lt;&gt;"",Main[[#This Row],[In Stock Date]]&lt;&gt;""),Main[[#This Row],[In Stock Date]]-Main[[#This Row],[Revised Due Date]],""))</f>
        <v/>
      </c>
      <c r="I591" s="139" t="s">
        <v>4</v>
      </c>
      <c r="J591" s="139" t="s">
        <v>28</v>
      </c>
      <c r="K591" s="139" t="s">
        <v>1921</v>
      </c>
      <c r="L591" s="129"/>
      <c r="M591" s="114" t="str">
        <f>IF(Main[[#This Row],[Tech Start Date]]&lt;1/1/1990,"",IF(Main[[#This Row],[Class]]="C",WORKDAY(Main[[#This Row],[Tech Start Date]],9),IF(Main[[#This Row],[Class]]="B", WORKDAY(Main[[#This Row],[Tech Start Date]],6),IF(Main[[#This Row],[Class]]="A",WORKDAY(Main[[#This Row],[Tech Start Date]],2),""))))</f>
        <v/>
      </c>
      <c r="N591" s="114" t="str">
        <f>IF(Main[[#This Row],[Tech Start Date]]&lt;1/1/1990,"",IF(Main[[#This Row],[Class]]="C",WORKDAY(Main[[#This Row],[Tech Start Date]],19),IF(Main[[#This Row],[Class]]="B", WORKDAY(Main[[#This Row],[Tech Start Date]],12),IF(Main[[#This Row],[Class]]="A",WORKDAY(Main[[#This Row],[Tech Start Date]],4),""))))</f>
        <v/>
      </c>
      <c r="O591" s="114" t="str">
        <f>IF(Main[[#This Row],[Tech Start Date]]&lt;1/1/1990,"",IF(Main[[#This Row],[Class]]="C",WORKDAY(Main[[#This Row],[Tech Start Date]],23),IF(Main[[#This Row],[Class]]="B", WORKDAY(Main[[#This Row],[Tech Start Date]],15),IF(Main[[#This Row],[Class]]="A",WORKDAY(Main[[#This Row],[Tech Start Date]],5),""))))</f>
        <v/>
      </c>
      <c r="P591" s="114" t="str">
        <f>IF(Main[[#This Row],[Tech Start Date]]&lt;1/1/1990,"",IF(Main[[#This Row],[Class]]="C",WORKDAY(Main[[#This Row],[Tech Start Date]],28),IF(Main[[#This Row],[Class]]="B", WORKDAY(Main[[#This Row],[Tech Start Date]],19),IF(Main[[#This Row],[Class]]="A",WORKDAY(Main[[#This Row],[Tech Start Date]],9),""))))</f>
        <v/>
      </c>
      <c r="Q591" s="129">
        <v>40664</v>
      </c>
      <c r="R591" s="129"/>
      <c r="S591" s="139" t="s">
        <v>6</v>
      </c>
      <c r="T591" s="115" t="s">
        <v>4</v>
      </c>
      <c r="U591" s="139" t="s">
        <v>7</v>
      </c>
      <c r="V591" s="139" t="s">
        <v>1914</v>
      </c>
      <c r="W591" s="139" t="s">
        <v>1916</v>
      </c>
      <c r="X591" s="139" t="s">
        <v>2845</v>
      </c>
      <c r="Y591" s="112" t="s">
        <v>3065</v>
      </c>
      <c r="Z591" s="112" t="s">
        <v>129</v>
      </c>
      <c r="AA591" s="139" t="s">
        <v>2845</v>
      </c>
    </row>
    <row r="592" spans="1:27" ht="17.25" customHeight="1">
      <c r="A592" s="69" t="str">
        <f>IF(priority(Main[[#This Row],[Comments]])&lt;&gt;0, priority(Main[[#This Row],[Comments]]),"")</f>
        <v/>
      </c>
      <c r="B592" s="63" t="s">
        <v>1420</v>
      </c>
      <c r="C592" s="148" t="s">
        <v>4</v>
      </c>
      <c r="D592" s="113" t="s">
        <v>505</v>
      </c>
      <c r="E592" s="129"/>
      <c r="F592" s="129"/>
      <c r="G592" s="69" t="str">
        <f>IF(stdProdLT(Main[[#This Row],[Comments]])=0.1,"N/A",IF(stdProdLT(Main[[#This Row],[Comments]])=0,"",stdProdLT(Main[[#This Row],[Comments]])))</f>
        <v/>
      </c>
      <c r="H592" s="138" t="str">
        <f>IF(Main[[#This Row],[In Stock Date]]="N/A", "N/A",IF(AND(Main[[#This Row],[In Stock Date]]&lt;&gt;"",Main[[#This Row],[Revised Due Date]]&lt;&gt;"",Main[[#This Row],[In Stock Date]]&lt;&gt;""),Main[[#This Row],[In Stock Date]]-Main[[#This Row],[Revised Due Date]],""))</f>
        <v/>
      </c>
      <c r="I592" s="139" t="s">
        <v>4</v>
      </c>
      <c r="J592" s="139" t="s">
        <v>4</v>
      </c>
      <c r="K592" s="139" t="s">
        <v>4</v>
      </c>
      <c r="L592" s="129"/>
      <c r="M592" s="114" t="str">
        <f>IF(Main[[#This Row],[Tech Start Date]]&lt;1/1/1990,"",IF(Main[[#This Row],[Class]]="C",WORKDAY(Main[[#This Row],[Tech Start Date]],9),IF(Main[[#This Row],[Class]]="B", WORKDAY(Main[[#This Row],[Tech Start Date]],6),IF(Main[[#This Row],[Class]]="A",WORKDAY(Main[[#This Row],[Tech Start Date]],2),""))))</f>
        <v/>
      </c>
      <c r="N592" s="114" t="str">
        <f>IF(Main[[#This Row],[Tech Start Date]]&lt;1/1/1990,"",IF(Main[[#This Row],[Class]]="C",WORKDAY(Main[[#This Row],[Tech Start Date]],19),IF(Main[[#This Row],[Class]]="B", WORKDAY(Main[[#This Row],[Tech Start Date]],12),IF(Main[[#This Row],[Class]]="A",WORKDAY(Main[[#This Row],[Tech Start Date]],4),""))))</f>
        <v/>
      </c>
      <c r="O592" s="114" t="str">
        <f>IF(Main[[#This Row],[Tech Start Date]]&lt;1/1/1990,"",IF(Main[[#This Row],[Class]]="C",WORKDAY(Main[[#This Row],[Tech Start Date]],23),IF(Main[[#This Row],[Class]]="B", WORKDAY(Main[[#This Row],[Tech Start Date]],15),IF(Main[[#This Row],[Class]]="A",WORKDAY(Main[[#This Row],[Tech Start Date]],5),""))))</f>
        <v/>
      </c>
      <c r="P592" s="114" t="str">
        <f>IF(Main[[#This Row],[Tech Start Date]]&lt;1/1/1990,"",IF(Main[[#This Row],[Class]]="C",WORKDAY(Main[[#This Row],[Tech Start Date]],28),IF(Main[[#This Row],[Class]]="B", WORKDAY(Main[[#This Row],[Tech Start Date]],19),IF(Main[[#This Row],[Class]]="A",WORKDAY(Main[[#This Row],[Tech Start Date]],9),""))))</f>
        <v/>
      </c>
      <c r="Q592" s="129"/>
      <c r="R592" s="129"/>
      <c r="S592" s="139" t="s">
        <v>11</v>
      </c>
      <c r="T592" s="115" t="s">
        <v>4</v>
      </c>
      <c r="U592" s="139" t="s">
        <v>14</v>
      </c>
      <c r="V592" s="139" t="s">
        <v>1917</v>
      </c>
      <c r="W592" s="139" t="s">
        <v>1922</v>
      </c>
      <c r="X592" s="139" t="s">
        <v>2847</v>
      </c>
      <c r="Y592" s="112" t="s">
        <v>2978</v>
      </c>
      <c r="Z592" s="112" t="s">
        <v>4</v>
      </c>
      <c r="AA592" s="139" t="s">
        <v>2847</v>
      </c>
    </row>
    <row r="593" spans="1:27" ht="17.25" customHeight="1">
      <c r="A593" s="69" t="str">
        <f>IF(priority(Main[[#This Row],[Comments]])&lt;&gt;0, priority(Main[[#This Row],[Comments]]),"")</f>
        <v/>
      </c>
      <c r="B593" s="63" t="s">
        <v>1421</v>
      </c>
      <c r="C593" s="148" t="s">
        <v>506</v>
      </c>
      <c r="D593" s="113" t="s">
        <v>507</v>
      </c>
      <c r="E593" s="129"/>
      <c r="F593" s="129"/>
      <c r="G593" s="69" t="str">
        <f>IF(stdProdLT(Main[[#This Row],[Comments]])=0.1,"N/A",IF(stdProdLT(Main[[#This Row],[Comments]])=0,"",stdProdLT(Main[[#This Row],[Comments]])))</f>
        <v/>
      </c>
      <c r="H593" s="138" t="str">
        <f>IF(Main[[#This Row],[In Stock Date]]="N/A", "N/A",IF(AND(Main[[#This Row],[In Stock Date]]&lt;&gt;"",Main[[#This Row],[Revised Due Date]]&lt;&gt;"",Main[[#This Row],[In Stock Date]]&lt;&gt;""),Main[[#This Row],[In Stock Date]]-Main[[#This Row],[Revised Due Date]],""))</f>
        <v/>
      </c>
      <c r="I593" s="139" t="s">
        <v>4</v>
      </c>
      <c r="J593" s="139" t="s">
        <v>4</v>
      </c>
      <c r="K593" s="139" t="s">
        <v>4</v>
      </c>
      <c r="L593" s="129"/>
      <c r="M593" s="114" t="str">
        <f>IF(Main[[#This Row],[Tech Start Date]]&lt;1/1/1990,"",IF(Main[[#This Row],[Class]]="C",WORKDAY(Main[[#This Row],[Tech Start Date]],9),IF(Main[[#This Row],[Class]]="B", WORKDAY(Main[[#This Row],[Tech Start Date]],6),IF(Main[[#This Row],[Class]]="A",WORKDAY(Main[[#This Row],[Tech Start Date]],2),""))))</f>
        <v/>
      </c>
      <c r="N593" s="114" t="str">
        <f>IF(Main[[#This Row],[Tech Start Date]]&lt;1/1/1990,"",IF(Main[[#This Row],[Class]]="C",WORKDAY(Main[[#This Row],[Tech Start Date]],19),IF(Main[[#This Row],[Class]]="B", WORKDAY(Main[[#This Row],[Tech Start Date]],12),IF(Main[[#This Row],[Class]]="A",WORKDAY(Main[[#This Row],[Tech Start Date]],4),""))))</f>
        <v/>
      </c>
      <c r="O593" s="114" t="str">
        <f>IF(Main[[#This Row],[Tech Start Date]]&lt;1/1/1990,"",IF(Main[[#This Row],[Class]]="C",WORKDAY(Main[[#This Row],[Tech Start Date]],23),IF(Main[[#This Row],[Class]]="B", WORKDAY(Main[[#This Row],[Tech Start Date]],15),IF(Main[[#This Row],[Class]]="A",WORKDAY(Main[[#This Row],[Tech Start Date]],5),""))))</f>
        <v/>
      </c>
      <c r="P593" s="114" t="str">
        <f>IF(Main[[#This Row],[Tech Start Date]]&lt;1/1/1990,"",IF(Main[[#This Row],[Class]]="C",WORKDAY(Main[[#This Row],[Tech Start Date]],28),IF(Main[[#This Row],[Class]]="B", WORKDAY(Main[[#This Row],[Tech Start Date]],19),IF(Main[[#This Row],[Class]]="A",WORKDAY(Main[[#This Row],[Tech Start Date]],9),""))))</f>
        <v/>
      </c>
      <c r="Q593" s="129">
        <v>40042</v>
      </c>
      <c r="R593" s="129"/>
      <c r="S593" s="139" t="s">
        <v>11</v>
      </c>
      <c r="T593" s="115" t="s">
        <v>4</v>
      </c>
      <c r="U593" s="139" t="s">
        <v>14</v>
      </c>
      <c r="V593" s="139" t="s">
        <v>1915</v>
      </c>
      <c r="W593" s="139" t="s">
        <v>1928</v>
      </c>
      <c r="X593" s="139" t="s">
        <v>745</v>
      </c>
      <c r="Y593" s="112" t="s">
        <v>3066</v>
      </c>
      <c r="Z593" s="112" t="s">
        <v>4</v>
      </c>
      <c r="AA593" s="139" t="s">
        <v>745</v>
      </c>
    </row>
    <row r="594" spans="1:27" ht="17.25" customHeight="1">
      <c r="A594" s="69" t="str">
        <f>IF(priority(Main[[#This Row],[Comments]])&lt;&gt;0, priority(Main[[#This Row],[Comments]]),"")</f>
        <v/>
      </c>
      <c r="B594" s="63" t="s">
        <v>1964</v>
      </c>
      <c r="C594" s="148" t="s">
        <v>4</v>
      </c>
      <c r="D594" s="113" t="s">
        <v>1965</v>
      </c>
      <c r="E594" s="129"/>
      <c r="F594" s="129"/>
      <c r="G594" s="69" t="str">
        <f>IF(stdProdLT(Main[[#This Row],[Comments]])=0.1,"N/A",IF(stdProdLT(Main[[#This Row],[Comments]])=0,"",stdProdLT(Main[[#This Row],[Comments]])))</f>
        <v/>
      </c>
      <c r="H594" s="138" t="str">
        <f>IF(Main[[#This Row],[In Stock Date]]="N/A", "N/A",IF(AND(Main[[#This Row],[In Stock Date]]&lt;&gt;"",Main[[#This Row],[Revised Due Date]]&lt;&gt;"",Main[[#This Row],[In Stock Date]]&lt;&gt;""),Main[[#This Row],[In Stock Date]]-Main[[#This Row],[Revised Due Date]],""))</f>
        <v/>
      </c>
      <c r="I594" s="139" t="s">
        <v>4</v>
      </c>
      <c r="J594" s="139" t="s">
        <v>4</v>
      </c>
      <c r="K594" s="139" t="s">
        <v>4</v>
      </c>
      <c r="L594" s="129"/>
      <c r="M594" s="114" t="str">
        <f>IF(Main[[#This Row],[Tech Start Date]]&lt;1/1/1990,"",IF(Main[[#This Row],[Class]]="C",WORKDAY(Main[[#This Row],[Tech Start Date]],9),IF(Main[[#This Row],[Class]]="B", WORKDAY(Main[[#This Row],[Tech Start Date]],6),IF(Main[[#This Row],[Class]]="A",WORKDAY(Main[[#This Row],[Tech Start Date]],2),""))))</f>
        <v/>
      </c>
      <c r="N594" s="114" t="str">
        <f>IF(Main[[#This Row],[Tech Start Date]]&lt;1/1/1990,"",IF(Main[[#This Row],[Class]]="C",WORKDAY(Main[[#This Row],[Tech Start Date]],19),IF(Main[[#This Row],[Class]]="B", WORKDAY(Main[[#This Row],[Tech Start Date]],12),IF(Main[[#This Row],[Class]]="A",WORKDAY(Main[[#This Row],[Tech Start Date]],4),""))))</f>
        <v/>
      </c>
      <c r="O594" s="114" t="str">
        <f>IF(Main[[#This Row],[Tech Start Date]]&lt;1/1/1990,"",IF(Main[[#This Row],[Class]]="C",WORKDAY(Main[[#This Row],[Tech Start Date]],23),IF(Main[[#This Row],[Class]]="B", WORKDAY(Main[[#This Row],[Tech Start Date]],15),IF(Main[[#This Row],[Class]]="A",WORKDAY(Main[[#This Row],[Tech Start Date]],5),""))))</f>
        <v/>
      </c>
      <c r="P594" s="114" t="str">
        <f>IF(Main[[#This Row],[Tech Start Date]]&lt;1/1/1990,"",IF(Main[[#This Row],[Class]]="C",WORKDAY(Main[[#This Row],[Tech Start Date]],28),IF(Main[[#This Row],[Class]]="B", WORKDAY(Main[[#This Row],[Tech Start Date]],19),IF(Main[[#This Row],[Class]]="A",WORKDAY(Main[[#This Row],[Tech Start Date]],9),""))))</f>
        <v/>
      </c>
      <c r="Q594" s="129"/>
      <c r="R594" s="129"/>
      <c r="S594" s="139" t="s">
        <v>23</v>
      </c>
      <c r="T594" s="115" t="s">
        <v>4</v>
      </c>
      <c r="U594" s="139" t="s">
        <v>14</v>
      </c>
      <c r="V594" s="139" t="s">
        <v>1914</v>
      </c>
      <c r="W594" s="139" t="s">
        <v>1918</v>
      </c>
      <c r="X594" s="139" t="s">
        <v>102</v>
      </c>
      <c r="Y594" s="112" t="s">
        <v>3067</v>
      </c>
      <c r="Z594" s="112" t="s">
        <v>4</v>
      </c>
      <c r="AA594" s="139" t="s">
        <v>3417</v>
      </c>
    </row>
    <row r="595" spans="1:27" ht="17.25" customHeight="1">
      <c r="A595" s="69" t="str">
        <f>IF(priority(Main[[#This Row],[Comments]])&lt;&gt;0, priority(Main[[#This Row],[Comments]]),"")</f>
        <v/>
      </c>
      <c r="B595" s="63" t="s">
        <v>1422</v>
      </c>
      <c r="C595" s="148" t="s">
        <v>4</v>
      </c>
      <c r="D595" s="113" t="s">
        <v>508</v>
      </c>
      <c r="E595" s="129">
        <v>40322.154652777775</v>
      </c>
      <c r="F595" s="129"/>
      <c r="G595" s="69" t="str">
        <f>IF(stdProdLT(Main[[#This Row],[Comments]])=0.1,"N/A",IF(stdProdLT(Main[[#This Row],[Comments]])=0,"",stdProdLT(Main[[#This Row],[Comments]])))</f>
        <v/>
      </c>
      <c r="H595" s="138" t="str">
        <f>IF(Main[[#This Row],[In Stock Date]]="N/A", "N/A",IF(AND(Main[[#This Row],[In Stock Date]]&lt;&gt;"",Main[[#This Row],[Revised Due Date]]&lt;&gt;"",Main[[#This Row],[In Stock Date]]&lt;&gt;""),Main[[#This Row],[In Stock Date]]-Main[[#This Row],[Revised Due Date]],""))</f>
        <v/>
      </c>
      <c r="I595" s="139" t="s">
        <v>129</v>
      </c>
      <c r="J595" s="139" t="s">
        <v>4</v>
      </c>
      <c r="K595" s="140" t="s">
        <v>4</v>
      </c>
      <c r="L595" s="129"/>
      <c r="M595" s="114" t="str">
        <f>IF(Main[[#This Row],[Tech Start Date]]&lt;1/1/1990,"",IF(Main[[#This Row],[Class]]="C",WORKDAY(Main[[#This Row],[Tech Start Date]],9),IF(Main[[#This Row],[Class]]="B", WORKDAY(Main[[#This Row],[Tech Start Date]],6),IF(Main[[#This Row],[Class]]="A",WORKDAY(Main[[#This Row],[Tech Start Date]],2),""))))</f>
        <v/>
      </c>
      <c r="N595" s="114" t="str">
        <f>IF(Main[[#This Row],[Tech Start Date]]&lt;1/1/1990,"",IF(Main[[#This Row],[Class]]="C",WORKDAY(Main[[#This Row],[Tech Start Date]],19),IF(Main[[#This Row],[Class]]="B", WORKDAY(Main[[#This Row],[Tech Start Date]],12),IF(Main[[#This Row],[Class]]="A",WORKDAY(Main[[#This Row],[Tech Start Date]],4),""))))</f>
        <v/>
      </c>
      <c r="O595" s="114" t="str">
        <f>IF(Main[[#This Row],[Tech Start Date]]&lt;1/1/1990,"",IF(Main[[#This Row],[Class]]="C",WORKDAY(Main[[#This Row],[Tech Start Date]],23),IF(Main[[#This Row],[Class]]="B", WORKDAY(Main[[#This Row],[Tech Start Date]],15),IF(Main[[#This Row],[Class]]="A",WORKDAY(Main[[#This Row],[Tech Start Date]],5),""))))</f>
        <v/>
      </c>
      <c r="P595" s="114" t="str">
        <f>IF(Main[[#This Row],[Tech Start Date]]&lt;1/1/1990,"",IF(Main[[#This Row],[Class]]="C",WORKDAY(Main[[#This Row],[Tech Start Date]],28),IF(Main[[#This Row],[Class]]="B", WORKDAY(Main[[#This Row],[Tech Start Date]],19),IF(Main[[#This Row],[Class]]="A",WORKDAY(Main[[#This Row],[Tech Start Date]],9),""))))</f>
        <v/>
      </c>
      <c r="Q595" s="129">
        <v>40353</v>
      </c>
      <c r="R595" s="129"/>
      <c r="S595" s="139" t="s">
        <v>6</v>
      </c>
      <c r="T595" s="115" t="s">
        <v>4</v>
      </c>
      <c r="U595" s="139" t="s">
        <v>7</v>
      </c>
      <c r="V595" s="139" t="s">
        <v>1914</v>
      </c>
      <c r="W595" s="139" t="s">
        <v>1916</v>
      </c>
      <c r="X595" s="139" t="s">
        <v>2822</v>
      </c>
      <c r="Y595" s="112" t="s">
        <v>2938</v>
      </c>
      <c r="Z595" s="112" t="s">
        <v>4</v>
      </c>
      <c r="AA595" s="139" t="s">
        <v>2822</v>
      </c>
    </row>
    <row r="596" spans="1:27" ht="17.25" customHeight="1">
      <c r="A596" s="69" t="str">
        <f>IF(priority(Main[[#This Row],[Comments]])&lt;&gt;0, priority(Main[[#This Row],[Comments]]),"")</f>
        <v/>
      </c>
      <c r="B596" s="63" t="s">
        <v>1423</v>
      </c>
      <c r="C596" s="148" t="s">
        <v>4</v>
      </c>
      <c r="D596" s="113" t="s">
        <v>509</v>
      </c>
      <c r="E596" s="129"/>
      <c r="F596" s="129"/>
      <c r="G596" s="69" t="str">
        <f>IF(stdProdLT(Main[[#This Row],[Comments]])=0.1,"N/A",IF(stdProdLT(Main[[#This Row],[Comments]])=0,"",stdProdLT(Main[[#This Row],[Comments]])))</f>
        <v/>
      </c>
      <c r="H596" s="138" t="str">
        <f>IF(Main[[#This Row],[In Stock Date]]="N/A", "N/A",IF(AND(Main[[#This Row],[In Stock Date]]&lt;&gt;"",Main[[#This Row],[Revised Due Date]]&lt;&gt;"",Main[[#This Row],[In Stock Date]]&lt;&gt;""),Main[[#This Row],[In Stock Date]]-Main[[#This Row],[Revised Due Date]],""))</f>
        <v/>
      </c>
      <c r="I596" s="139" t="s">
        <v>4</v>
      </c>
      <c r="J596" s="139" t="s">
        <v>4</v>
      </c>
      <c r="K596" s="139" t="s">
        <v>4</v>
      </c>
      <c r="L596" s="129"/>
      <c r="M596" s="114" t="str">
        <f>IF(Main[[#This Row],[Tech Start Date]]&lt;1/1/1990,"",IF(Main[[#This Row],[Class]]="C",WORKDAY(Main[[#This Row],[Tech Start Date]],9),IF(Main[[#This Row],[Class]]="B", WORKDAY(Main[[#This Row],[Tech Start Date]],6),IF(Main[[#This Row],[Class]]="A",WORKDAY(Main[[#This Row],[Tech Start Date]],2),""))))</f>
        <v/>
      </c>
      <c r="N596" s="114" t="str">
        <f>IF(Main[[#This Row],[Tech Start Date]]&lt;1/1/1990,"",IF(Main[[#This Row],[Class]]="C",WORKDAY(Main[[#This Row],[Tech Start Date]],19),IF(Main[[#This Row],[Class]]="B", WORKDAY(Main[[#This Row],[Tech Start Date]],12),IF(Main[[#This Row],[Class]]="A",WORKDAY(Main[[#This Row],[Tech Start Date]],4),""))))</f>
        <v/>
      </c>
      <c r="O596" s="114" t="str">
        <f>IF(Main[[#This Row],[Tech Start Date]]&lt;1/1/1990,"",IF(Main[[#This Row],[Class]]="C",WORKDAY(Main[[#This Row],[Tech Start Date]],23),IF(Main[[#This Row],[Class]]="B", WORKDAY(Main[[#This Row],[Tech Start Date]],15),IF(Main[[#This Row],[Class]]="A",WORKDAY(Main[[#This Row],[Tech Start Date]],5),""))))</f>
        <v/>
      </c>
      <c r="P596" s="114" t="str">
        <f>IF(Main[[#This Row],[Tech Start Date]]&lt;1/1/1990,"",IF(Main[[#This Row],[Class]]="C",WORKDAY(Main[[#This Row],[Tech Start Date]],28),IF(Main[[#This Row],[Class]]="B", WORKDAY(Main[[#This Row],[Tech Start Date]],19),IF(Main[[#This Row],[Class]]="A",WORKDAY(Main[[#This Row],[Tech Start Date]],9),""))))</f>
        <v/>
      </c>
      <c r="Q596" s="129"/>
      <c r="R596" s="129"/>
      <c r="S596" s="139" t="s">
        <v>4</v>
      </c>
      <c r="T596" s="115" t="s">
        <v>4</v>
      </c>
      <c r="U596" s="139" t="s">
        <v>14</v>
      </c>
      <c r="V596" s="139" t="s">
        <v>1914</v>
      </c>
      <c r="W596" s="139" t="s">
        <v>4</v>
      </c>
      <c r="X596" s="139" t="s">
        <v>2888</v>
      </c>
      <c r="Y596" s="112" t="s">
        <v>3044</v>
      </c>
      <c r="Z596" s="112" t="s">
        <v>4</v>
      </c>
      <c r="AA596" s="139" t="s">
        <v>2888</v>
      </c>
    </row>
    <row r="597" spans="1:27" ht="17.25" customHeight="1">
      <c r="A597" s="69" t="str">
        <f>IF(priority(Main[[#This Row],[Comments]])&lt;&gt;0, priority(Main[[#This Row],[Comments]]),"")</f>
        <v/>
      </c>
      <c r="B597" s="63" t="s">
        <v>1426</v>
      </c>
      <c r="C597" s="148" t="s">
        <v>31</v>
      </c>
      <c r="D597" s="113" t="s">
        <v>510</v>
      </c>
      <c r="E597" s="129"/>
      <c r="F597" s="129"/>
      <c r="G597" s="69" t="str">
        <f>IF(stdProdLT(Main[[#This Row],[Comments]])=0.1,"N/A",IF(stdProdLT(Main[[#This Row],[Comments]])=0,"",stdProdLT(Main[[#This Row],[Comments]])))</f>
        <v/>
      </c>
      <c r="H597" s="138" t="str">
        <f>IF(Main[[#This Row],[In Stock Date]]="N/A", "N/A",IF(AND(Main[[#This Row],[In Stock Date]]&lt;&gt;"",Main[[#This Row],[Revised Due Date]]&lt;&gt;"",Main[[#This Row],[In Stock Date]]&lt;&gt;""),Main[[#This Row],[In Stock Date]]-Main[[#This Row],[Revised Due Date]],""))</f>
        <v/>
      </c>
      <c r="I597" s="139" t="s">
        <v>4</v>
      </c>
      <c r="J597" s="139" t="s">
        <v>4</v>
      </c>
      <c r="K597" s="139" t="s">
        <v>4</v>
      </c>
      <c r="L597" s="129"/>
      <c r="M597" s="114" t="str">
        <f>IF(Main[[#This Row],[Tech Start Date]]&lt;1/1/1990,"",IF(Main[[#This Row],[Class]]="C",WORKDAY(Main[[#This Row],[Tech Start Date]],9),IF(Main[[#This Row],[Class]]="B", WORKDAY(Main[[#This Row],[Tech Start Date]],6),IF(Main[[#This Row],[Class]]="A",WORKDAY(Main[[#This Row],[Tech Start Date]],2),""))))</f>
        <v/>
      </c>
      <c r="N597" s="114" t="str">
        <f>IF(Main[[#This Row],[Tech Start Date]]&lt;1/1/1990,"",IF(Main[[#This Row],[Class]]="C",WORKDAY(Main[[#This Row],[Tech Start Date]],19),IF(Main[[#This Row],[Class]]="B", WORKDAY(Main[[#This Row],[Tech Start Date]],12),IF(Main[[#This Row],[Class]]="A",WORKDAY(Main[[#This Row],[Tech Start Date]],4),""))))</f>
        <v/>
      </c>
      <c r="O597" s="114" t="str">
        <f>IF(Main[[#This Row],[Tech Start Date]]&lt;1/1/1990,"",IF(Main[[#This Row],[Class]]="C",WORKDAY(Main[[#This Row],[Tech Start Date]],23),IF(Main[[#This Row],[Class]]="B", WORKDAY(Main[[#This Row],[Tech Start Date]],15),IF(Main[[#This Row],[Class]]="A",WORKDAY(Main[[#This Row],[Tech Start Date]],5),""))))</f>
        <v/>
      </c>
      <c r="P597" s="114" t="str">
        <f>IF(Main[[#This Row],[Tech Start Date]]&lt;1/1/1990,"",IF(Main[[#This Row],[Class]]="C",WORKDAY(Main[[#This Row],[Tech Start Date]],28),IF(Main[[#This Row],[Class]]="B", WORKDAY(Main[[#This Row],[Tech Start Date]],19),IF(Main[[#This Row],[Class]]="A",WORKDAY(Main[[#This Row],[Tech Start Date]],9),""))))</f>
        <v/>
      </c>
      <c r="Q597" s="129">
        <v>40318</v>
      </c>
      <c r="R597" s="129"/>
      <c r="S597" s="139" t="s">
        <v>11</v>
      </c>
      <c r="T597" s="115" t="s">
        <v>4</v>
      </c>
      <c r="U597" s="139" t="s">
        <v>14</v>
      </c>
      <c r="V597" s="139" t="s">
        <v>1917</v>
      </c>
      <c r="W597" s="139" t="s">
        <v>1925</v>
      </c>
      <c r="X597" s="139" t="s">
        <v>2830</v>
      </c>
      <c r="Y597" s="112" t="s">
        <v>4</v>
      </c>
      <c r="Z597" s="112" t="s">
        <v>4</v>
      </c>
      <c r="AA597" s="139" t="s">
        <v>2830</v>
      </c>
    </row>
    <row r="598" spans="1:27" ht="17.25" customHeight="1">
      <c r="A598" s="69" t="str">
        <f>IF(priority(Main[[#This Row],[Comments]])&lt;&gt;0, priority(Main[[#This Row],[Comments]]),"")</f>
        <v/>
      </c>
      <c r="B598" s="63" t="s">
        <v>1427</v>
      </c>
      <c r="C598" s="148" t="s">
        <v>47</v>
      </c>
      <c r="D598" s="113" t="s">
        <v>511</v>
      </c>
      <c r="E598" s="129"/>
      <c r="F598" s="129"/>
      <c r="G598" s="69" t="str">
        <f>IF(stdProdLT(Main[[#This Row],[Comments]])=0.1,"N/A",IF(stdProdLT(Main[[#This Row],[Comments]])=0,"",stdProdLT(Main[[#This Row],[Comments]])))</f>
        <v/>
      </c>
      <c r="H598" s="138" t="str">
        <f>IF(Main[[#This Row],[In Stock Date]]="N/A", "N/A",IF(AND(Main[[#This Row],[In Stock Date]]&lt;&gt;"",Main[[#This Row],[Revised Due Date]]&lt;&gt;"",Main[[#This Row],[In Stock Date]]&lt;&gt;""),Main[[#This Row],[In Stock Date]]-Main[[#This Row],[Revised Due Date]],""))</f>
        <v/>
      </c>
      <c r="I598" s="139" t="s">
        <v>4</v>
      </c>
      <c r="J598" s="139" t="s">
        <v>4</v>
      </c>
      <c r="K598" s="139" t="s">
        <v>4</v>
      </c>
      <c r="L598" s="129"/>
      <c r="M598" s="114" t="str">
        <f>IF(Main[[#This Row],[Tech Start Date]]&lt;1/1/1990,"",IF(Main[[#This Row],[Class]]="C",WORKDAY(Main[[#This Row],[Tech Start Date]],9),IF(Main[[#This Row],[Class]]="B", WORKDAY(Main[[#This Row],[Tech Start Date]],6),IF(Main[[#This Row],[Class]]="A",WORKDAY(Main[[#This Row],[Tech Start Date]],2),""))))</f>
        <v/>
      </c>
      <c r="N598" s="114" t="str">
        <f>IF(Main[[#This Row],[Tech Start Date]]&lt;1/1/1990,"",IF(Main[[#This Row],[Class]]="C",WORKDAY(Main[[#This Row],[Tech Start Date]],19),IF(Main[[#This Row],[Class]]="B", WORKDAY(Main[[#This Row],[Tech Start Date]],12),IF(Main[[#This Row],[Class]]="A",WORKDAY(Main[[#This Row],[Tech Start Date]],4),""))))</f>
        <v/>
      </c>
      <c r="O598" s="114" t="str">
        <f>IF(Main[[#This Row],[Tech Start Date]]&lt;1/1/1990,"",IF(Main[[#This Row],[Class]]="C",WORKDAY(Main[[#This Row],[Tech Start Date]],23),IF(Main[[#This Row],[Class]]="B", WORKDAY(Main[[#This Row],[Tech Start Date]],15),IF(Main[[#This Row],[Class]]="A",WORKDAY(Main[[#This Row],[Tech Start Date]],5),""))))</f>
        <v/>
      </c>
      <c r="P598" s="114" t="str">
        <f>IF(Main[[#This Row],[Tech Start Date]]&lt;1/1/1990,"",IF(Main[[#This Row],[Class]]="C",WORKDAY(Main[[#This Row],[Tech Start Date]],28),IF(Main[[#This Row],[Class]]="B", WORKDAY(Main[[#This Row],[Tech Start Date]],19),IF(Main[[#This Row],[Class]]="A",WORKDAY(Main[[#This Row],[Tech Start Date]],9),""))))</f>
        <v/>
      </c>
      <c r="Q598" s="129"/>
      <c r="R598" s="129"/>
      <c r="S598" s="139" t="s">
        <v>11</v>
      </c>
      <c r="T598" s="115" t="s">
        <v>4</v>
      </c>
      <c r="U598" s="139" t="s">
        <v>14</v>
      </c>
      <c r="V598" s="139" t="s">
        <v>1915</v>
      </c>
      <c r="W598" s="139" t="s">
        <v>1918</v>
      </c>
      <c r="X598" s="139" t="s">
        <v>306</v>
      </c>
      <c r="Y598" s="112" t="s">
        <v>2941</v>
      </c>
      <c r="Z598" s="112" t="s">
        <v>4</v>
      </c>
      <c r="AA598" s="139" t="s">
        <v>3376</v>
      </c>
    </row>
    <row r="599" spans="1:27" ht="17.25" customHeight="1">
      <c r="A599" s="69" t="str">
        <f>IF(priority(Main[[#This Row],[Comments]])&lt;&gt;0, priority(Main[[#This Row],[Comments]]),"")</f>
        <v/>
      </c>
      <c r="B599" s="63" t="s">
        <v>1428</v>
      </c>
      <c r="C599" s="148" t="s">
        <v>4</v>
      </c>
      <c r="D599" s="113" t="s">
        <v>512</v>
      </c>
      <c r="E599" s="129">
        <v>40465.986851851849</v>
      </c>
      <c r="F599" s="129"/>
      <c r="G599" s="69" t="str">
        <f>IF(stdProdLT(Main[[#This Row],[Comments]])=0.1,"N/A",IF(stdProdLT(Main[[#This Row],[Comments]])=0,"",stdProdLT(Main[[#This Row],[Comments]])))</f>
        <v/>
      </c>
      <c r="H599" s="138" t="str">
        <f>IF(Main[[#This Row],[In Stock Date]]="N/A", "N/A",IF(AND(Main[[#This Row],[In Stock Date]]&lt;&gt;"",Main[[#This Row],[Revised Due Date]]&lt;&gt;"",Main[[#This Row],[In Stock Date]]&lt;&gt;""),Main[[#This Row],[In Stock Date]]-Main[[#This Row],[Revised Due Date]],""))</f>
        <v/>
      </c>
      <c r="I599" s="139" t="s">
        <v>4</v>
      </c>
      <c r="J599" s="139" t="s">
        <v>28</v>
      </c>
      <c r="K599" s="139" t="s">
        <v>4</v>
      </c>
      <c r="L599" s="129"/>
      <c r="M599" s="114" t="str">
        <f>IF(Main[[#This Row],[Tech Start Date]]&lt;1/1/1990,"",IF(Main[[#This Row],[Class]]="C",WORKDAY(Main[[#This Row],[Tech Start Date]],9),IF(Main[[#This Row],[Class]]="B", WORKDAY(Main[[#This Row],[Tech Start Date]],6),IF(Main[[#This Row],[Class]]="A",WORKDAY(Main[[#This Row],[Tech Start Date]],2),""))))</f>
        <v/>
      </c>
      <c r="N599" s="114" t="str">
        <f>IF(Main[[#This Row],[Tech Start Date]]&lt;1/1/1990,"",IF(Main[[#This Row],[Class]]="C",WORKDAY(Main[[#This Row],[Tech Start Date]],19),IF(Main[[#This Row],[Class]]="B", WORKDAY(Main[[#This Row],[Tech Start Date]],12),IF(Main[[#This Row],[Class]]="A",WORKDAY(Main[[#This Row],[Tech Start Date]],4),""))))</f>
        <v/>
      </c>
      <c r="O599" s="114" t="str">
        <f>IF(Main[[#This Row],[Tech Start Date]]&lt;1/1/1990,"",IF(Main[[#This Row],[Class]]="C",WORKDAY(Main[[#This Row],[Tech Start Date]],23),IF(Main[[#This Row],[Class]]="B", WORKDAY(Main[[#This Row],[Tech Start Date]],15),IF(Main[[#This Row],[Class]]="A",WORKDAY(Main[[#This Row],[Tech Start Date]],5),""))))</f>
        <v/>
      </c>
      <c r="P599" s="114" t="str">
        <f>IF(Main[[#This Row],[Tech Start Date]]&lt;1/1/1990,"",IF(Main[[#This Row],[Class]]="C",WORKDAY(Main[[#This Row],[Tech Start Date]],28),IF(Main[[#This Row],[Class]]="B", WORKDAY(Main[[#This Row],[Tech Start Date]],19),IF(Main[[#This Row],[Class]]="A",WORKDAY(Main[[#This Row],[Tech Start Date]],9),""))))</f>
        <v/>
      </c>
      <c r="Q599" s="129"/>
      <c r="R599" s="129"/>
      <c r="S599" s="139" t="s">
        <v>6</v>
      </c>
      <c r="T599" s="115" t="s">
        <v>4</v>
      </c>
      <c r="U599" s="139" t="s">
        <v>7</v>
      </c>
      <c r="V599" s="139" t="s">
        <v>1914</v>
      </c>
      <c r="W599" s="139" t="s">
        <v>1918</v>
      </c>
      <c r="X599" s="139" t="s">
        <v>2866</v>
      </c>
      <c r="Y599" s="112" t="s">
        <v>3000</v>
      </c>
      <c r="Z599" s="112" t="s">
        <v>129</v>
      </c>
      <c r="AA599" s="139" t="s">
        <v>2866</v>
      </c>
    </row>
    <row r="600" spans="1:27" ht="17.25" customHeight="1">
      <c r="A600" s="69" t="str">
        <f>IF(priority(Main[[#This Row],[Comments]])&lt;&gt;0, priority(Main[[#This Row],[Comments]]),"")</f>
        <v/>
      </c>
      <c r="B600" s="63" t="s">
        <v>1253</v>
      </c>
      <c r="C600" s="148" t="s">
        <v>4</v>
      </c>
      <c r="D600" s="113" t="s">
        <v>319</v>
      </c>
      <c r="E600" s="129">
        <v>40014.430787037039</v>
      </c>
      <c r="F600" s="129"/>
      <c r="G600" s="69" t="str">
        <f>IF(stdProdLT(Main[[#This Row],[Comments]])=0.1,"N/A",IF(stdProdLT(Main[[#This Row],[Comments]])=0,"",stdProdLT(Main[[#This Row],[Comments]])))</f>
        <v/>
      </c>
      <c r="H600" s="138" t="str">
        <f>IF(Main[[#This Row],[In Stock Date]]="N/A", "N/A",IF(AND(Main[[#This Row],[In Stock Date]]&lt;&gt;"",Main[[#This Row],[Revised Due Date]]&lt;&gt;"",Main[[#This Row],[In Stock Date]]&lt;&gt;""),Main[[#This Row],[In Stock Date]]-Main[[#This Row],[Revised Due Date]],""))</f>
        <v/>
      </c>
      <c r="I600" s="139" t="s">
        <v>2013</v>
      </c>
      <c r="J600" s="139" t="s">
        <v>28</v>
      </c>
      <c r="K600" s="140" t="s">
        <v>4</v>
      </c>
      <c r="L600" s="129"/>
      <c r="M600" s="114" t="str">
        <f>IF(Main[[#This Row],[Tech Start Date]]&lt;1/1/1990,"",IF(Main[[#This Row],[Class]]="C",WORKDAY(Main[[#This Row],[Tech Start Date]],9),IF(Main[[#This Row],[Class]]="B", WORKDAY(Main[[#This Row],[Tech Start Date]],6),IF(Main[[#This Row],[Class]]="A",WORKDAY(Main[[#This Row],[Tech Start Date]],2),""))))</f>
        <v/>
      </c>
      <c r="N600" s="114" t="str">
        <f>IF(Main[[#This Row],[Tech Start Date]]&lt;1/1/1990,"",IF(Main[[#This Row],[Class]]="C",WORKDAY(Main[[#This Row],[Tech Start Date]],19),IF(Main[[#This Row],[Class]]="B", WORKDAY(Main[[#This Row],[Tech Start Date]],12),IF(Main[[#This Row],[Class]]="A",WORKDAY(Main[[#This Row],[Tech Start Date]],4),""))))</f>
        <v/>
      </c>
      <c r="O600" s="114" t="str">
        <f>IF(Main[[#This Row],[Tech Start Date]]&lt;1/1/1990,"",IF(Main[[#This Row],[Class]]="C",WORKDAY(Main[[#This Row],[Tech Start Date]],23),IF(Main[[#This Row],[Class]]="B", WORKDAY(Main[[#This Row],[Tech Start Date]],15),IF(Main[[#This Row],[Class]]="A",WORKDAY(Main[[#This Row],[Tech Start Date]],5),""))))</f>
        <v/>
      </c>
      <c r="P600" s="114" t="str">
        <f>IF(Main[[#This Row],[Tech Start Date]]&lt;1/1/1990,"",IF(Main[[#This Row],[Class]]="C",WORKDAY(Main[[#This Row],[Tech Start Date]],28),IF(Main[[#This Row],[Class]]="B", WORKDAY(Main[[#This Row],[Tech Start Date]],19),IF(Main[[#This Row],[Class]]="A",WORKDAY(Main[[#This Row],[Tech Start Date]],9),""))))</f>
        <v/>
      </c>
      <c r="Q600" s="129">
        <v>40237</v>
      </c>
      <c r="R600" s="129"/>
      <c r="S600" s="139" t="s">
        <v>17</v>
      </c>
      <c r="T600" s="115" t="s">
        <v>4</v>
      </c>
      <c r="U600" s="139" t="s">
        <v>7</v>
      </c>
      <c r="V600" s="139" t="s">
        <v>1929</v>
      </c>
      <c r="W600" s="139" t="s">
        <v>1922</v>
      </c>
      <c r="X600" s="139" t="s">
        <v>2862</v>
      </c>
      <c r="Y600" s="112" t="s">
        <v>3045</v>
      </c>
      <c r="Z600" s="112" t="s">
        <v>2211</v>
      </c>
      <c r="AA600" s="139" t="s">
        <v>2013</v>
      </c>
    </row>
    <row r="601" spans="1:27" ht="17.25" customHeight="1">
      <c r="A601" s="69" t="str">
        <f>IF(priority(Main[[#This Row],[Comments]])&lt;&gt;0, priority(Main[[#This Row],[Comments]]),"")</f>
        <v/>
      </c>
      <c r="B601" s="63" t="s">
        <v>1429</v>
      </c>
      <c r="C601" s="148" t="s">
        <v>72</v>
      </c>
      <c r="D601" s="113" t="s">
        <v>513</v>
      </c>
      <c r="E601" s="129"/>
      <c r="F601" s="129">
        <v>40544</v>
      </c>
      <c r="G601" s="69" t="str">
        <f>IF(stdProdLT(Main[[#This Row],[Comments]])=0.1,"N/A",IF(stdProdLT(Main[[#This Row],[Comments]])=0,"",stdProdLT(Main[[#This Row],[Comments]])))</f>
        <v/>
      </c>
      <c r="H601" s="138" t="str">
        <f>IF(Main[[#This Row],[In Stock Date]]="N/A", "N/A",IF(AND(Main[[#This Row],[In Stock Date]]&lt;&gt;"",Main[[#This Row],[Revised Due Date]]&lt;&gt;"",Main[[#This Row],[In Stock Date]]&lt;&gt;""),Main[[#This Row],[In Stock Date]]-Main[[#This Row],[Revised Due Date]],""))</f>
        <v/>
      </c>
      <c r="I601" s="139" t="s">
        <v>4</v>
      </c>
      <c r="J601" s="139" t="s">
        <v>4</v>
      </c>
      <c r="K601" s="139" t="s">
        <v>4</v>
      </c>
      <c r="L601" s="129"/>
      <c r="M601" s="114" t="str">
        <f>IF(Main[[#This Row],[Tech Start Date]]&lt;1/1/1990,"",IF(Main[[#This Row],[Class]]="C",WORKDAY(Main[[#This Row],[Tech Start Date]],9),IF(Main[[#This Row],[Class]]="B", WORKDAY(Main[[#This Row],[Tech Start Date]],6),IF(Main[[#This Row],[Class]]="A",WORKDAY(Main[[#This Row],[Tech Start Date]],2),""))))</f>
        <v/>
      </c>
      <c r="N601" s="114" t="str">
        <f>IF(Main[[#This Row],[Tech Start Date]]&lt;1/1/1990,"",IF(Main[[#This Row],[Class]]="C",WORKDAY(Main[[#This Row],[Tech Start Date]],19),IF(Main[[#This Row],[Class]]="B", WORKDAY(Main[[#This Row],[Tech Start Date]],12),IF(Main[[#This Row],[Class]]="A",WORKDAY(Main[[#This Row],[Tech Start Date]],4),""))))</f>
        <v/>
      </c>
      <c r="O601" s="114" t="str">
        <f>IF(Main[[#This Row],[Tech Start Date]]&lt;1/1/1990,"",IF(Main[[#This Row],[Class]]="C",WORKDAY(Main[[#This Row],[Tech Start Date]],23),IF(Main[[#This Row],[Class]]="B", WORKDAY(Main[[#This Row],[Tech Start Date]],15),IF(Main[[#This Row],[Class]]="A",WORKDAY(Main[[#This Row],[Tech Start Date]],5),""))))</f>
        <v/>
      </c>
      <c r="P601" s="114" t="str">
        <f>IF(Main[[#This Row],[Tech Start Date]]&lt;1/1/1990,"",IF(Main[[#This Row],[Class]]="C",WORKDAY(Main[[#This Row],[Tech Start Date]],28),IF(Main[[#This Row],[Class]]="B", WORKDAY(Main[[#This Row],[Tech Start Date]],19),IF(Main[[#This Row],[Class]]="A",WORKDAY(Main[[#This Row],[Tech Start Date]],9),""))))</f>
        <v/>
      </c>
      <c r="Q601" s="129"/>
      <c r="R601" s="129"/>
      <c r="S601" s="139" t="s">
        <v>11</v>
      </c>
      <c r="T601" s="115" t="s">
        <v>4</v>
      </c>
      <c r="U601" s="139" t="s">
        <v>14</v>
      </c>
      <c r="V601" s="139" t="s">
        <v>1917</v>
      </c>
      <c r="W601" s="139" t="s">
        <v>1922</v>
      </c>
      <c r="X601" s="139" t="s">
        <v>2847</v>
      </c>
      <c r="Y601" s="112" t="s">
        <v>2978</v>
      </c>
      <c r="Z601" s="112" t="s">
        <v>4</v>
      </c>
      <c r="AA601" s="139" t="s">
        <v>2847</v>
      </c>
    </row>
    <row r="602" spans="1:27" ht="17.25" customHeight="1">
      <c r="A602" s="69" t="str">
        <f>IF(priority(Main[[#This Row],[Comments]])&lt;&gt;0, priority(Main[[#This Row],[Comments]]),"")</f>
        <v/>
      </c>
      <c r="B602" s="63" t="s">
        <v>1639</v>
      </c>
      <c r="C602" s="148" t="s">
        <v>4</v>
      </c>
      <c r="D602" s="113" t="s">
        <v>1993</v>
      </c>
      <c r="E602" s="129"/>
      <c r="F602" s="129"/>
      <c r="G602" s="69" t="str">
        <f>IF(stdProdLT(Main[[#This Row],[Comments]])=0.1,"N/A",IF(stdProdLT(Main[[#This Row],[Comments]])=0,"",stdProdLT(Main[[#This Row],[Comments]])))</f>
        <v/>
      </c>
      <c r="H602" s="138" t="str">
        <f>IF(Main[[#This Row],[In Stock Date]]="N/A", "N/A",IF(AND(Main[[#This Row],[In Stock Date]]&lt;&gt;"",Main[[#This Row],[Revised Due Date]]&lt;&gt;"",Main[[#This Row],[In Stock Date]]&lt;&gt;""),Main[[#This Row],[In Stock Date]]-Main[[#This Row],[Revised Due Date]],""))</f>
        <v/>
      </c>
      <c r="I602" s="139" t="s">
        <v>44</v>
      </c>
      <c r="J602" s="139" t="s">
        <v>28</v>
      </c>
      <c r="K602" s="139" t="s">
        <v>1923</v>
      </c>
      <c r="L602" s="129"/>
      <c r="M602" s="114" t="str">
        <f>IF(Main[[#This Row],[Tech Start Date]]&lt;1/1/1990,"",IF(Main[[#This Row],[Class]]="C",WORKDAY(Main[[#This Row],[Tech Start Date]],9),IF(Main[[#This Row],[Class]]="B", WORKDAY(Main[[#This Row],[Tech Start Date]],6),IF(Main[[#This Row],[Class]]="A",WORKDAY(Main[[#This Row],[Tech Start Date]],2),""))))</f>
        <v/>
      </c>
      <c r="N602" s="114" t="str">
        <f>IF(Main[[#This Row],[Tech Start Date]]&lt;1/1/1990,"",IF(Main[[#This Row],[Class]]="C",WORKDAY(Main[[#This Row],[Tech Start Date]],19),IF(Main[[#This Row],[Class]]="B", WORKDAY(Main[[#This Row],[Tech Start Date]],12),IF(Main[[#This Row],[Class]]="A",WORKDAY(Main[[#This Row],[Tech Start Date]],4),""))))</f>
        <v/>
      </c>
      <c r="O602" s="114" t="str">
        <f>IF(Main[[#This Row],[Tech Start Date]]&lt;1/1/1990,"",IF(Main[[#This Row],[Class]]="C",WORKDAY(Main[[#This Row],[Tech Start Date]],23),IF(Main[[#This Row],[Class]]="B", WORKDAY(Main[[#This Row],[Tech Start Date]],15),IF(Main[[#This Row],[Class]]="A",WORKDAY(Main[[#This Row],[Tech Start Date]],5),""))))</f>
        <v/>
      </c>
      <c r="P602" s="114" t="str">
        <f>IF(Main[[#This Row],[Tech Start Date]]&lt;1/1/1990,"",IF(Main[[#This Row],[Class]]="C",WORKDAY(Main[[#This Row],[Tech Start Date]],28),IF(Main[[#This Row],[Class]]="B", WORKDAY(Main[[#This Row],[Tech Start Date]],19),IF(Main[[#This Row],[Class]]="A",WORKDAY(Main[[#This Row],[Tech Start Date]],9),""))))</f>
        <v/>
      </c>
      <c r="Q602" s="129">
        <v>40755</v>
      </c>
      <c r="R602" s="129"/>
      <c r="S602" s="139" t="s">
        <v>6</v>
      </c>
      <c r="T602" s="115" t="s">
        <v>4</v>
      </c>
      <c r="U602" s="139" t="s">
        <v>14</v>
      </c>
      <c r="V602" s="139" t="s">
        <v>1917</v>
      </c>
      <c r="W602" s="139" t="s">
        <v>1918</v>
      </c>
      <c r="X602" s="139" t="s">
        <v>30</v>
      </c>
      <c r="Y602" s="112" t="s">
        <v>3046</v>
      </c>
      <c r="Z602" s="112" t="s">
        <v>44</v>
      </c>
      <c r="AA602" s="139" t="s">
        <v>3414</v>
      </c>
    </row>
    <row r="603" spans="1:27" ht="17.25" customHeight="1">
      <c r="A603" s="69" t="str">
        <f>IF(priority(Main[[#This Row],[Comments]])&lt;&gt;0, priority(Main[[#This Row],[Comments]]),"")</f>
        <v/>
      </c>
      <c r="B603" s="63" t="s">
        <v>1430</v>
      </c>
      <c r="C603" s="148" t="s">
        <v>4</v>
      </c>
      <c r="D603" s="113" t="s">
        <v>97</v>
      </c>
      <c r="E603" s="129"/>
      <c r="F603" s="129"/>
      <c r="G603" s="69" t="str">
        <f>IF(stdProdLT(Main[[#This Row],[Comments]])=0.1,"N/A",IF(stdProdLT(Main[[#This Row],[Comments]])=0,"",stdProdLT(Main[[#This Row],[Comments]])))</f>
        <v/>
      </c>
      <c r="H603" s="138" t="str">
        <f>IF(Main[[#This Row],[In Stock Date]]="N/A", "N/A",IF(AND(Main[[#This Row],[In Stock Date]]&lt;&gt;"",Main[[#This Row],[Revised Due Date]]&lt;&gt;"",Main[[#This Row],[In Stock Date]]&lt;&gt;""),Main[[#This Row],[In Stock Date]]-Main[[#This Row],[Revised Due Date]],""))</f>
        <v/>
      </c>
      <c r="I603" s="139" t="s">
        <v>4</v>
      </c>
      <c r="J603" s="139" t="s">
        <v>4</v>
      </c>
      <c r="K603" s="139" t="s">
        <v>4</v>
      </c>
      <c r="L603" s="129"/>
      <c r="M603" s="114" t="str">
        <f>IF(Main[[#This Row],[Tech Start Date]]&lt;1/1/1990,"",IF(Main[[#This Row],[Class]]="C",WORKDAY(Main[[#This Row],[Tech Start Date]],9),IF(Main[[#This Row],[Class]]="B", WORKDAY(Main[[#This Row],[Tech Start Date]],6),IF(Main[[#This Row],[Class]]="A",WORKDAY(Main[[#This Row],[Tech Start Date]],2),""))))</f>
        <v/>
      </c>
      <c r="N603" s="114" t="str">
        <f>IF(Main[[#This Row],[Tech Start Date]]&lt;1/1/1990,"",IF(Main[[#This Row],[Class]]="C",WORKDAY(Main[[#This Row],[Tech Start Date]],19),IF(Main[[#This Row],[Class]]="B", WORKDAY(Main[[#This Row],[Tech Start Date]],12),IF(Main[[#This Row],[Class]]="A",WORKDAY(Main[[#This Row],[Tech Start Date]],4),""))))</f>
        <v/>
      </c>
      <c r="O603" s="114" t="str">
        <f>IF(Main[[#This Row],[Tech Start Date]]&lt;1/1/1990,"",IF(Main[[#This Row],[Class]]="C",WORKDAY(Main[[#This Row],[Tech Start Date]],23),IF(Main[[#This Row],[Class]]="B", WORKDAY(Main[[#This Row],[Tech Start Date]],15),IF(Main[[#This Row],[Class]]="A",WORKDAY(Main[[#This Row],[Tech Start Date]],5),""))))</f>
        <v/>
      </c>
      <c r="P603" s="114" t="str">
        <f>IF(Main[[#This Row],[Tech Start Date]]&lt;1/1/1990,"",IF(Main[[#This Row],[Class]]="C",WORKDAY(Main[[#This Row],[Tech Start Date]],28),IF(Main[[#This Row],[Class]]="B", WORKDAY(Main[[#This Row],[Tech Start Date]],19),IF(Main[[#This Row],[Class]]="A",WORKDAY(Main[[#This Row],[Tech Start Date]],9),""))))</f>
        <v/>
      </c>
      <c r="Q603" s="129">
        <v>40858</v>
      </c>
      <c r="R603" s="129"/>
      <c r="S603" s="139" t="s">
        <v>17</v>
      </c>
      <c r="T603" s="115" t="s">
        <v>4</v>
      </c>
      <c r="U603" s="139" t="s">
        <v>14</v>
      </c>
      <c r="V603" s="139" t="s">
        <v>1914</v>
      </c>
      <c r="W603" s="139" t="s">
        <v>1919</v>
      </c>
      <c r="X603" s="139" t="s">
        <v>50</v>
      </c>
      <c r="Y603" s="112" t="s">
        <v>2959</v>
      </c>
      <c r="Z603" s="112" t="s">
        <v>4</v>
      </c>
      <c r="AA603" s="139" t="s">
        <v>2828</v>
      </c>
    </row>
    <row r="604" spans="1:27" ht="17.25" customHeight="1">
      <c r="A604" s="69" t="str">
        <f>IF(priority(Main[[#This Row],[Comments]])&lt;&gt;0, priority(Main[[#This Row],[Comments]]),"")</f>
        <v/>
      </c>
      <c r="B604" s="63" t="s">
        <v>1431</v>
      </c>
      <c r="C604" s="148" t="s">
        <v>47</v>
      </c>
      <c r="D604" s="113" t="s">
        <v>517</v>
      </c>
      <c r="E604" s="129"/>
      <c r="F604" s="129"/>
      <c r="G604" s="69" t="str">
        <f>IF(stdProdLT(Main[[#This Row],[Comments]])=0.1,"N/A",IF(stdProdLT(Main[[#This Row],[Comments]])=0,"",stdProdLT(Main[[#This Row],[Comments]])))</f>
        <v/>
      </c>
      <c r="H604" s="138" t="str">
        <f>IF(Main[[#This Row],[In Stock Date]]="N/A", "N/A",IF(AND(Main[[#This Row],[In Stock Date]]&lt;&gt;"",Main[[#This Row],[Revised Due Date]]&lt;&gt;"",Main[[#This Row],[In Stock Date]]&lt;&gt;""),Main[[#This Row],[In Stock Date]]-Main[[#This Row],[Revised Due Date]],""))</f>
        <v/>
      </c>
      <c r="I604" s="139" t="s">
        <v>4</v>
      </c>
      <c r="J604" s="139" t="s">
        <v>4</v>
      </c>
      <c r="K604" s="139" t="s">
        <v>4</v>
      </c>
      <c r="L604" s="129"/>
      <c r="M604" s="114" t="str">
        <f>IF(Main[[#This Row],[Tech Start Date]]&lt;1/1/1990,"",IF(Main[[#This Row],[Class]]="C",WORKDAY(Main[[#This Row],[Tech Start Date]],9),IF(Main[[#This Row],[Class]]="B", WORKDAY(Main[[#This Row],[Tech Start Date]],6),IF(Main[[#This Row],[Class]]="A",WORKDAY(Main[[#This Row],[Tech Start Date]],2),""))))</f>
        <v/>
      </c>
      <c r="N604" s="114" t="str">
        <f>IF(Main[[#This Row],[Tech Start Date]]&lt;1/1/1990,"",IF(Main[[#This Row],[Class]]="C",WORKDAY(Main[[#This Row],[Tech Start Date]],19),IF(Main[[#This Row],[Class]]="B", WORKDAY(Main[[#This Row],[Tech Start Date]],12),IF(Main[[#This Row],[Class]]="A",WORKDAY(Main[[#This Row],[Tech Start Date]],4),""))))</f>
        <v/>
      </c>
      <c r="O604" s="114" t="str">
        <f>IF(Main[[#This Row],[Tech Start Date]]&lt;1/1/1990,"",IF(Main[[#This Row],[Class]]="C",WORKDAY(Main[[#This Row],[Tech Start Date]],23),IF(Main[[#This Row],[Class]]="B", WORKDAY(Main[[#This Row],[Tech Start Date]],15),IF(Main[[#This Row],[Class]]="A",WORKDAY(Main[[#This Row],[Tech Start Date]],5),""))))</f>
        <v/>
      </c>
      <c r="P604" s="114" t="str">
        <f>IF(Main[[#This Row],[Tech Start Date]]&lt;1/1/1990,"",IF(Main[[#This Row],[Class]]="C",WORKDAY(Main[[#This Row],[Tech Start Date]],28),IF(Main[[#This Row],[Class]]="B", WORKDAY(Main[[#This Row],[Tech Start Date]],19),IF(Main[[#This Row],[Class]]="A",WORKDAY(Main[[#This Row],[Tech Start Date]],9),""))))</f>
        <v/>
      </c>
      <c r="Q604" s="129"/>
      <c r="R604" s="129"/>
      <c r="S604" s="139" t="s">
        <v>49</v>
      </c>
      <c r="T604" s="115" t="s">
        <v>4</v>
      </c>
      <c r="U604" s="139" t="s">
        <v>14</v>
      </c>
      <c r="V604" s="139" t="s">
        <v>1917</v>
      </c>
      <c r="W604" s="139" t="s">
        <v>1918</v>
      </c>
      <c r="X604" s="139" t="s">
        <v>306</v>
      </c>
      <c r="Y604" s="112" t="s">
        <v>4</v>
      </c>
      <c r="Z604" s="112" t="s">
        <v>4</v>
      </c>
      <c r="AA604" s="139" t="s">
        <v>4</v>
      </c>
    </row>
    <row r="605" spans="1:27" ht="17.25" customHeight="1">
      <c r="A605" s="69" t="str">
        <f>IF(priority(Main[[#This Row],[Comments]])&lt;&gt;0, priority(Main[[#This Row],[Comments]]),"")</f>
        <v/>
      </c>
      <c r="B605" s="63" t="s">
        <v>1432</v>
      </c>
      <c r="C605" s="148" t="s">
        <v>518</v>
      </c>
      <c r="D605" s="113" t="s">
        <v>519</v>
      </c>
      <c r="E605" s="129"/>
      <c r="F605" s="129">
        <v>40548</v>
      </c>
      <c r="G605" s="69" t="str">
        <f>IF(stdProdLT(Main[[#This Row],[Comments]])=0.1,"N/A",IF(stdProdLT(Main[[#This Row],[Comments]])=0,"",stdProdLT(Main[[#This Row],[Comments]])))</f>
        <v/>
      </c>
      <c r="H605" s="138" t="str">
        <f>IF(Main[[#This Row],[In Stock Date]]="N/A", "N/A",IF(AND(Main[[#This Row],[In Stock Date]]&lt;&gt;"",Main[[#This Row],[Revised Due Date]]&lt;&gt;"",Main[[#This Row],[In Stock Date]]&lt;&gt;""),Main[[#This Row],[In Stock Date]]-Main[[#This Row],[Revised Due Date]],""))</f>
        <v/>
      </c>
      <c r="I605" s="139" t="s">
        <v>4</v>
      </c>
      <c r="J605" s="139" t="s">
        <v>4</v>
      </c>
      <c r="K605" s="139" t="s">
        <v>1926</v>
      </c>
      <c r="L605" s="129"/>
      <c r="M605" s="114" t="str">
        <f>IF(Main[[#This Row],[Tech Start Date]]&lt;1/1/1990,"",IF(Main[[#This Row],[Class]]="C",WORKDAY(Main[[#This Row],[Tech Start Date]],9),IF(Main[[#This Row],[Class]]="B", WORKDAY(Main[[#This Row],[Tech Start Date]],6),IF(Main[[#This Row],[Class]]="A",WORKDAY(Main[[#This Row],[Tech Start Date]],2),""))))</f>
        <v/>
      </c>
      <c r="N605" s="114" t="str">
        <f>IF(Main[[#This Row],[Tech Start Date]]&lt;1/1/1990,"",IF(Main[[#This Row],[Class]]="C",WORKDAY(Main[[#This Row],[Tech Start Date]],19),IF(Main[[#This Row],[Class]]="B", WORKDAY(Main[[#This Row],[Tech Start Date]],12),IF(Main[[#This Row],[Class]]="A",WORKDAY(Main[[#This Row],[Tech Start Date]],4),""))))</f>
        <v/>
      </c>
      <c r="O605" s="114" t="str">
        <f>IF(Main[[#This Row],[Tech Start Date]]&lt;1/1/1990,"",IF(Main[[#This Row],[Class]]="C",WORKDAY(Main[[#This Row],[Tech Start Date]],23),IF(Main[[#This Row],[Class]]="B", WORKDAY(Main[[#This Row],[Tech Start Date]],15),IF(Main[[#This Row],[Class]]="A",WORKDAY(Main[[#This Row],[Tech Start Date]],5),""))))</f>
        <v/>
      </c>
      <c r="P605" s="114" t="str">
        <f>IF(Main[[#This Row],[Tech Start Date]]&lt;1/1/1990,"",IF(Main[[#This Row],[Class]]="C",WORKDAY(Main[[#This Row],[Tech Start Date]],28),IF(Main[[#This Row],[Class]]="B", WORKDAY(Main[[#This Row],[Tech Start Date]],19),IF(Main[[#This Row],[Class]]="A",WORKDAY(Main[[#This Row],[Tech Start Date]],9),""))))</f>
        <v/>
      </c>
      <c r="Q605" s="129"/>
      <c r="R605" s="129"/>
      <c r="S605" s="139" t="s">
        <v>11</v>
      </c>
      <c r="T605" s="115" t="s">
        <v>4</v>
      </c>
      <c r="U605" s="139" t="s">
        <v>14</v>
      </c>
      <c r="V605" s="139" t="s">
        <v>1915</v>
      </c>
      <c r="W605" s="139" t="s">
        <v>1919</v>
      </c>
      <c r="X605" s="139" t="s">
        <v>2889</v>
      </c>
      <c r="Y605" s="112" t="s">
        <v>4</v>
      </c>
      <c r="Z605" s="112" t="s">
        <v>4</v>
      </c>
      <c r="AA605" s="139" t="s">
        <v>4</v>
      </c>
    </row>
    <row r="606" spans="1:27" ht="17.25" customHeight="1">
      <c r="A606" s="69" t="str">
        <f>IF(priority(Main[[#This Row],[Comments]])&lt;&gt;0, priority(Main[[#This Row],[Comments]]),"")</f>
        <v/>
      </c>
      <c r="B606" s="63" t="s">
        <v>1433</v>
      </c>
      <c r="C606" s="148" t="s">
        <v>122</v>
      </c>
      <c r="D606" s="113" t="s">
        <v>520</v>
      </c>
      <c r="E606" s="129"/>
      <c r="F606" s="129"/>
      <c r="G606" s="69" t="str">
        <f>IF(stdProdLT(Main[[#This Row],[Comments]])=0.1,"N/A",IF(stdProdLT(Main[[#This Row],[Comments]])=0,"",stdProdLT(Main[[#This Row],[Comments]])))</f>
        <v/>
      </c>
      <c r="H606" s="138" t="str">
        <f>IF(Main[[#This Row],[In Stock Date]]="N/A", "N/A",IF(AND(Main[[#This Row],[In Stock Date]]&lt;&gt;"",Main[[#This Row],[Revised Due Date]]&lt;&gt;"",Main[[#This Row],[In Stock Date]]&lt;&gt;""),Main[[#This Row],[In Stock Date]]-Main[[#This Row],[Revised Due Date]],""))</f>
        <v/>
      </c>
      <c r="I606" s="139" t="s">
        <v>4</v>
      </c>
      <c r="J606" s="139" t="s">
        <v>4</v>
      </c>
      <c r="K606" s="140" t="s">
        <v>4</v>
      </c>
      <c r="L606" s="129"/>
      <c r="M606" s="114" t="str">
        <f>IF(Main[[#This Row],[Tech Start Date]]&lt;1/1/1990,"",IF(Main[[#This Row],[Class]]="C",WORKDAY(Main[[#This Row],[Tech Start Date]],9),IF(Main[[#This Row],[Class]]="B", WORKDAY(Main[[#This Row],[Tech Start Date]],6),IF(Main[[#This Row],[Class]]="A",WORKDAY(Main[[#This Row],[Tech Start Date]],2),""))))</f>
        <v/>
      </c>
      <c r="N606" s="114" t="str">
        <f>IF(Main[[#This Row],[Tech Start Date]]&lt;1/1/1990,"",IF(Main[[#This Row],[Class]]="C",WORKDAY(Main[[#This Row],[Tech Start Date]],19),IF(Main[[#This Row],[Class]]="B", WORKDAY(Main[[#This Row],[Tech Start Date]],12),IF(Main[[#This Row],[Class]]="A",WORKDAY(Main[[#This Row],[Tech Start Date]],4),""))))</f>
        <v/>
      </c>
      <c r="O606" s="114" t="str">
        <f>IF(Main[[#This Row],[Tech Start Date]]&lt;1/1/1990,"",IF(Main[[#This Row],[Class]]="C",WORKDAY(Main[[#This Row],[Tech Start Date]],23),IF(Main[[#This Row],[Class]]="B", WORKDAY(Main[[#This Row],[Tech Start Date]],15),IF(Main[[#This Row],[Class]]="A",WORKDAY(Main[[#This Row],[Tech Start Date]],5),""))))</f>
        <v/>
      </c>
      <c r="P606" s="114" t="str">
        <f>IF(Main[[#This Row],[Tech Start Date]]&lt;1/1/1990,"",IF(Main[[#This Row],[Class]]="C",WORKDAY(Main[[#This Row],[Tech Start Date]],28),IF(Main[[#This Row],[Class]]="B", WORKDAY(Main[[#This Row],[Tech Start Date]],19),IF(Main[[#This Row],[Class]]="A",WORKDAY(Main[[#This Row],[Tech Start Date]],9),""))))</f>
        <v/>
      </c>
      <c r="Q606" s="129">
        <v>40245</v>
      </c>
      <c r="R606" s="129"/>
      <c r="S606" s="139" t="s">
        <v>11</v>
      </c>
      <c r="T606" s="115" t="s">
        <v>4</v>
      </c>
      <c r="U606" s="139" t="s">
        <v>14</v>
      </c>
      <c r="V606" s="139" t="s">
        <v>1917</v>
      </c>
      <c r="W606" s="139" t="s">
        <v>1916</v>
      </c>
      <c r="X606" s="139" t="s">
        <v>2872</v>
      </c>
      <c r="Y606" s="112" t="s">
        <v>4</v>
      </c>
      <c r="Z606" s="112" t="s">
        <v>4</v>
      </c>
      <c r="AA606" s="139" t="s">
        <v>2872</v>
      </c>
    </row>
    <row r="607" spans="1:27" ht="17.25" customHeight="1">
      <c r="A607" s="69" t="str">
        <f>IF(priority(Main[[#This Row],[Comments]])&lt;&gt;0, priority(Main[[#This Row],[Comments]]),"")</f>
        <v/>
      </c>
      <c r="B607" s="63" t="s">
        <v>1434</v>
      </c>
      <c r="C607" s="148" t="s">
        <v>4</v>
      </c>
      <c r="D607" s="113" t="s">
        <v>521</v>
      </c>
      <c r="E607" s="129"/>
      <c r="F607" s="129">
        <v>40178</v>
      </c>
      <c r="G607" s="69" t="str">
        <f>IF(stdProdLT(Main[[#This Row],[Comments]])=0.1,"N/A",IF(stdProdLT(Main[[#This Row],[Comments]])=0,"",stdProdLT(Main[[#This Row],[Comments]])))</f>
        <v/>
      </c>
      <c r="H607" s="138" t="str">
        <f>IF(Main[[#This Row],[In Stock Date]]="N/A", "N/A",IF(AND(Main[[#This Row],[In Stock Date]]&lt;&gt;"",Main[[#This Row],[Revised Due Date]]&lt;&gt;"",Main[[#This Row],[In Stock Date]]&lt;&gt;""),Main[[#This Row],[In Stock Date]]-Main[[#This Row],[Revised Due Date]],""))</f>
        <v/>
      </c>
      <c r="I607" s="139" t="s">
        <v>4</v>
      </c>
      <c r="J607" s="139" t="s">
        <v>4</v>
      </c>
      <c r="K607" s="139" t="s">
        <v>4</v>
      </c>
      <c r="L607" s="129"/>
      <c r="M607" s="114" t="str">
        <f>IF(Main[[#This Row],[Tech Start Date]]&lt;1/1/1990,"",IF(Main[[#This Row],[Class]]="C",WORKDAY(Main[[#This Row],[Tech Start Date]],9),IF(Main[[#This Row],[Class]]="B", WORKDAY(Main[[#This Row],[Tech Start Date]],6),IF(Main[[#This Row],[Class]]="A",WORKDAY(Main[[#This Row],[Tech Start Date]],2),""))))</f>
        <v/>
      </c>
      <c r="N607" s="114" t="str">
        <f>IF(Main[[#This Row],[Tech Start Date]]&lt;1/1/1990,"",IF(Main[[#This Row],[Class]]="C",WORKDAY(Main[[#This Row],[Tech Start Date]],19),IF(Main[[#This Row],[Class]]="B", WORKDAY(Main[[#This Row],[Tech Start Date]],12),IF(Main[[#This Row],[Class]]="A",WORKDAY(Main[[#This Row],[Tech Start Date]],4),""))))</f>
        <v/>
      </c>
      <c r="O607" s="114" t="str">
        <f>IF(Main[[#This Row],[Tech Start Date]]&lt;1/1/1990,"",IF(Main[[#This Row],[Class]]="C",WORKDAY(Main[[#This Row],[Tech Start Date]],23),IF(Main[[#This Row],[Class]]="B", WORKDAY(Main[[#This Row],[Tech Start Date]],15),IF(Main[[#This Row],[Class]]="A",WORKDAY(Main[[#This Row],[Tech Start Date]],5),""))))</f>
        <v/>
      </c>
      <c r="P607" s="114" t="str">
        <f>IF(Main[[#This Row],[Tech Start Date]]&lt;1/1/1990,"",IF(Main[[#This Row],[Class]]="C",WORKDAY(Main[[#This Row],[Tech Start Date]],28),IF(Main[[#This Row],[Class]]="B", WORKDAY(Main[[#This Row],[Tech Start Date]],19),IF(Main[[#This Row],[Class]]="A",WORKDAY(Main[[#This Row],[Tech Start Date]],9),""))))</f>
        <v/>
      </c>
      <c r="Q607" s="129">
        <v>40158</v>
      </c>
      <c r="R607" s="129"/>
      <c r="S607" s="139" t="s">
        <v>11</v>
      </c>
      <c r="T607" s="115" t="s">
        <v>4</v>
      </c>
      <c r="U607" s="139" t="s">
        <v>14</v>
      </c>
      <c r="V607" s="139" t="s">
        <v>1914</v>
      </c>
      <c r="W607" s="139" t="s">
        <v>1919</v>
      </c>
      <c r="X607" s="139" t="s">
        <v>2824</v>
      </c>
      <c r="Y607" s="112" t="s">
        <v>2943</v>
      </c>
      <c r="Z607" s="112" t="s">
        <v>4</v>
      </c>
      <c r="AA607" s="139" t="s">
        <v>2824</v>
      </c>
    </row>
    <row r="608" spans="1:27" ht="17.25" customHeight="1">
      <c r="A608" s="69" t="str">
        <f>IF(priority(Main[[#This Row],[Comments]])&lt;&gt;0, priority(Main[[#This Row],[Comments]]),"")</f>
        <v/>
      </c>
      <c r="B608" s="63" t="s">
        <v>2373</v>
      </c>
      <c r="C608" s="148" t="s">
        <v>72</v>
      </c>
      <c r="D608" s="113" t="s">
        <v>2374</v>
      </c>
      <c r="E608" s="129"/>
      <c r="F608" s="129"/>
      <c r="G608" s="69" t="str">
        <f>IF(stdProdLT(Main[[#This Row],[Comments]])=0.1,"N/A",IF(stdProdLT(Main[[#This Row],[Comments]])=0,"",stdProdLT(Main[[#This Row],[Comments]])))</f>
        <v/>
      </c>
      <c r="H608" s="138" t="str">
        <f>IF(Main[[#This Row],[In Stock Date]]="N/A", "N/A",IF(AND(Main[[#This Row],[In Stock Date]]&lt;&gt;"",Main[[#This Row],[Revised Due Date]]&lt;&gt;"",Main[[#This Row],[In Stock Date]]&lt;&gt;""),Main[[#This Row],[In Stock Date]]-Main[[#This Row],[Revised Due Date]],""))</f>
        <v/>
      </c>
      <c r="I608" s="139" t="s">
        <v>4</v>
      </c>
      <c r="J608" s="139" t="s">
        <v>4</v>
      </c>
      <c r="K608" s="139" t="s">
        <v>4</v>
      </c>
      <c r="L608" s="129"/>
      <c r="M608" s="114" t="str">
        <f>IF(Main[[#This Row],[Tech Start Date]]&lt;1/1/1990,"",IF(Main[[#This Row],[Class]]="C",WORKDAY(Main[[#This Row],[Tech Start Date]],9),IF(Main[[#This Row],[Class]]="B", WORKDAY(Main[[#This Row],[Tech Start Date]],6),IF(Main[[#This Row],[Class]]="A",WORKDAY(Main[[#This Row],[Tech Start Date]],2),""))))</f>
        <v/>
      </c>
      <c r="N608" s="114" t="str">
        <f>IF(Main[[#This Row],[Tech Start Date]]&lt;1/1/1990,"",IF(Main[[#This Row],[Class]]="C",WORKDAY(Main[[#This Row],[Tech Start Date]],19),IF(Main[[#This Row],[Class]]="B", WORKDAY(Main[[#This Row],[Tech Start Date]],12),IF(Main[[#This Row],[Class]]="A",WORKDAY(Main[[#This Row],[Tech Start Date]],4),""))))</f>
        <v/>
      </c>
      <c r="O608" s="114" t="str">
        <f>IF(Main[[#This Row],[Tech Start Date]]&lt;1/1/1990,"",IF(Main[[#This Row],[Class]]="C",WORKDAY(Main[[#This Row],[Tech Start Date]],23),IF(Main[[#This Row],[Class]]="B", WORKDAY(Main[[#This Row],[Tech Start Date]],15),IF(Main[[#This Row],[Class]]="A",WORKDAY(Main[[#This Row],[Tech Start Date]],5),""))))</f>
        <v/>
      </c>
      <c r="P608" s="114" t="str">
        <f>IF(Main[[#This Row],[Tech Start Date]]&lt;1/1/1990,"",IF(Main[[#This Row],[Class]]="C",WORKDAY(Main[[#This Row],[Tech Start Date]],28),IF(Main[[#This Row],[Class]]="B", WORKDAY(Main[[#This Row],[Tech Start Date]],19),IF(Main[[#This Row],[Class]]="A",WORKDAY(Main[[#This Row],[Tech Start Date]],9),""))))</f>
        <v/>
      </c>
      <c r="Q608" s="129"/>
      <c r="R608" s="129"/>
      <c r="S608" s="139" t="s">
        <v>17</v>
      </c>
      <c r="T608" s="115" t="s">
        <v>4</v>
      </c>
      <c r="U608" s="139" t="s">
        <v>14</v>
      </c>
      <c r="V608" s="139" t="s">
        <v>1915</v>
      </c>
      <c r="W608" s="139" t="s">
        <v>1916</v>
      </c>
      <c r="X608" s="139" t="s">
        <v>2890</v>
      </c>
      <c r="Y608" s="112" t="s">
        <v>3047</v>
      </c>
      <c r="Z608" s="112" t="s">
        <v>4</v>
      </c>
      <c r="AA608" s="139" t="s">
        <v>2890</v>
      </c>
    </row>
    <row r="609" spans="1:27" ht="17.25" customHeight="1">
      <c r="A609" s="69" t="str">
        <f>IF(priority(Main[[#This Row],[Comments]])&lt;&gt;0, priority(Main[[#This Row],[Comments]]),"")</f>
        <v/>
      </c>
      <c r="B609" s="63" t="s">
        <v>1439</v>
      </c>
      <c r="C609" s="148" t="s">
        <v>113</v>
      </c>
      <c r="D609" s="113" t="s">
        <v>522</v>
      </c>
      <c r="E609" s="129"/>
      <c r="F609" s="129"/>
      <c r="G609" s="69" t="str">
        <f>IF(stdProdLT(Main[[#This Row],[Comments]])=0.1,"N/A",IF(stdProdLT(Main[[#This Row],[Comments]])=0,"",stdProdLT(Main[[#This Row],[Comments]])))</f>
        <v/>
      </c>
      <c r="H609" s="138" t="str">
        <f>IF(Main[[#This Row],[In Stock Date]]="N/A", "N/A",IF(AND(Main[[#This Row],[In Stock Date]]&lt;&gt;"",Main[[#This Row],[Revised Due Date]]&lt;&gt;"",Main[[#This Row],[In Stock Date]]&lt;&gt;""),Main[[#This Row],[In Stock Date]]-Main[[#This Row],[Revised Due Date]],""))</f>
        <v/>
      </c>
      <c r="I609" s="139" t="s">
        <v>4</v>
      </c>
      <c r="J609" s="139" t="s">
        <v>4</v>
      </c>
      <c r="K609" s="139" t="s">
        <v>4</v>
      </c>
      <c r="L609" s="129"/>
      <c r="M609" s="114" t="str">
        <f>IF(Main[[#This Row],[Tech Start Date]]&lt;1/1/1990,"",IF(Main[[#This Row],[Class]]="C",WORKDAY(Main[[#This Row],[Tech Start Date]],9),IF(Main[[#This Row],[Class]]="B", WORKDAY(Main[[#This Row],[Tech Start Date]],6),IF(Main[[#This Row],[Class]]="A",WORKDAY(Main[[#This Row],[Tech Start Date]],2),""))))</f>
        <v/>
      </c>
      <c r="N609" s="114" t="str">
        <f>IF(Main[[#This Row],[Tech Start Date]]&lt;1/1/1990,"",IF(Main[[#This Row],[Class]]="C",WORKDAY(Main[[#This Row],[Tech Start Date]],19),IF(Main[[#This Row],[Class]]="B", WORKDAY(Main[[#This Row],[Tech Start Date]],12),IF(Main[[#This Row],[Class]]="A",WORKDAY(Main[[#This Row],[Tech Start Date]],4),""))))</f>
        <v/>
      </c>
      <c r="O609" s="114" t="str">
        <f>IF(Main[[#This Row],[Tech Start Date]]&lt;1/1/1990,"",IF(Main[[#This Row],[Class]]="C",WORKDAY(Main[[#This Row],[Tech Start Date]],23),IF(Main[[#This Row],[Class]]="B", WORKDAY(Main[[#This Row],[Tech Start Date]],15),IF(Main[[#This Row],[Class]]="A",WORKDAY(Main[[#This Row],[Tech Start Date]],5),""))))</f>
        <v/>
      </c>
      <c r="P609" s="114" t="str">
        <f>IF(Main[[#This Row],[Tech Start Date]]&lt;1/1/1990,"",IF(Main[[#This Row],[Class]]="C",WORKDAY(Main[[#This Row],[Tech Start Date]],28),IF(Main[[#This Row],[Class]]="B", WORKDAY(Main[[#This Row],[Tech Start Date]],19),IF(Main[[#This Row],[Class]]="A",WORKDAY(Main[[#This Row],[Tech Start Date]],9),""))))</f>
        <v/>
      </c>
      <c r="Q609" s="129">
        <v>40505</v>
      </c>
      <c r="R609" s="129"/>
      <c r="S609" s="139" t="s">
        <v>49</v>
      </c>
      <c r="T609" s="115" t="s">
        <v>4</v>
      </c>
      <c r="U609" s="139" t="s">
        <v>12</v>
      </c>
      <c r="V609" s="139" t="s">
        <v>1915</v>
      </c>
      <c r="W609" s="139" t="s">
        <v>1919</v>
      </c>
      <c r="X609" s="139" t="s">
        <v>2891</v>
      </c>
      <c r="Y609" s="112" t="s">
        <v>2981</v>
      </c>
      <c r="Z609" s="112" t="s">
        <v>4</v>
      </c>
      <c r="AA609" s="139" t="s">
        <v>2839</v>
      </c>
    </row>
    <row r="610" spans="1:27" ht="17.25" customHeight="1">
      <c r="A610" s="69" t="str">
        <f>IF(priority(Main[[#This Row],[Comments]])&lt;&gt;0, priority(Main[[#This Row],[Comments]]),"")</f>
        <v/>
      </c>
      <c r="B610" s="63" t="s">
        <v>2259</v>
      </c>
      <c r="C610" s="148" t="s">
        <v>4</v>
      </c>
      <c r="D610" s="113" t="s">
        <v>2293</v>
      </c>
      <c r="E610" s="129">
        <v>40806.662407407406</v>
      </c>
      <c r="F610" s="129"/>
      <c r="G610" s="69" t="str">
        <f>IF(stdProdLT(Main[[#This Row],[Comments]])=0.1,"N/A",IF(stdProdLT(Main[[#This Row],[Comments]])=0,"",stdProdLT(Main[[#This Row],[Comments]])))</f>
        <v/>
      </c>
      <c r="H610" s="138" t="str">
        <f>IF(Main[[#This Row],[In Stock Date]]="N/A", "N/A",IF(AND(Main[[#This Row],[In Stock Date]]&lt;&gt;"",Main[[#This Row],[Revised Due Date]]&lt;&gt;"",Main[[#This Row],[In Stock Date]]&lt;&gt;""),Main[[#This Row],[In Stock Date]]-Main[[#This Row],[Revised Due Date]],""))</f>
        <v/>
      </c>
      <c r="I610" s="139" t="s">
        <v>30</v>
      </c>
      <c r="J610" s="139" t="s">
        <v>21</v>
      </c>
      <c r="K610" s="140" t="s">
        <v>1923</v>
      </c>
      <c r="L610" s="129"/>
      <c r="M610" s="114" t="str">
        <f>IF(Main[[#This Row],[Tech Start Date]]&lt;1/1/1990,"",IF(Main[[#This Row],[Class]]="C",WORKDAY(Main[[#This Row],[Tech Start Date]],9),IF(Main[[#This Row],[Class]]="B", WORKDAY(Main[[#This Row],[Tech Start Date]],6),IF(Main[[#This Row],[Class]]="A",WORKDAY(Main[[#This Row],[Tech Start Date]],2),""))))</f>
        <v/>
      </c>
      <c r="N610" s="114" t="str">
        <f>IF(Main[[#This Row],[Tech Start Date]]&lt;1/1/1990,"",IF(Main[[#This Row],[Class]]="C",WORKDAY(Main[[#This Row],[Tech Start Date]],19),IF(Main[[#This Row],[Class]]="B", WORKDAY(Main[[#This Row],[Tech Start Date]],12),IF(Main[[#This Row],[Class]]="A",WORKDAY(Main[[#This Row],[Tech Start Date]],4),""))))</f>
        <v/>
      </c>
      <c r="O610" s="114" t="str">
        <f>IF(Main[[#This Row],[Tech Start Date]]&lt;1/1/1990,"",IF(Main[[#This Row],[Class]]="C",WORKDAY(Main[[#This Row],[Tech Start Date]],23),IF(Main[[#This Row],[Class]]="B", WORKDAY(Main[[#This Row],[Tech Start Date]],15),IF(Main[[#This Row],[Class]]="A",WORKDAY(Main[[#This Row],[Tech Start Date]],5),""))))</f>
        <v/>
      </c>
      <c r="P610" s="114" t="str">
        <f>IF(Main[[#This Row],[Tech Start Date]]&lt;1/1/1990,"",IF(Main[[#This Row],[Class]]="C",WORKDAY(Main[[#This Row],[Tech Start Date]],28),IF(Main[[#This Row],[Class]]="B", WORKDAY(Main[[#This Row],[Tech Start Date]],19),IF(Main[[#This Row],[Class]]="A",WORKDAY(Main[[#This Row],[Tech Start Date]],9),""))))</f>
        <v/>
      </c>
      <c r="Q610" s="129"/>
      <c r="R610" s="129"/>
      <c r="S610" s="139" t="s">
        <v>6</v>
      </c>
      <c r="T610" s="115" t="s">
        <v>4</v>
      </c>
      <c r="U610" s="139" t="s">
        <v>29</v>
      </c>
      <c r="V610" s="139" t="s">
        <v>1917</v>
      </c>
      <c r="W610" s="139" t="s">
        <v>1918</v>
      </c>
      <c r="X610" s="139" t="s">
        <v>306</v>
      </c>
      <c r="Y610" s="112" t="s">
        <v>4</v>
      </c>
      <c r="Z610" s="112" t="s">
        <v>30</v>
      </c>
      <c r="AA610" s="139" t="s">
        <v>3386</v>
      </c>
    </row>
    <row r="611" spans="1:27" ht="17.25" customHeight="1">
      <c r="A611" s="69" t="str">
        <f>IF(priority(Main[[#This Row],[Comments]])&lt;&gt;0, priority(Main[[#This Row],[Comments]]),"")</f>
        <v/>
      </c>
      <c r="B611" s="63" t="s">
        <v>2540</v>
      </c>
      <c r="C611" s="148" t="s">
        <v>2354</v>
      </c>
      <c r="D611" s="113" t="s">
        <v>2355</v>
      </c>
      <c r="E611" s="129"/>
      <c r="F611" s="129">
        <v>41008</v>
      </c>
      <c r="G611" s="69" t="str">
        <f>IF(stdProdLT(Main[[#This Row],[Comments]])=0.1,"N/A",IF(stdProdLT(Main[[#This Row],[Comments]])=0,"",stdProdLT(Main[[#This Row],[Comments]])))</f>
        <v/>
      </c>
      <c r="H611" s="138" t="str">
        <f>IF(Main[[#This Row],[In Stock Date]]="N/A", "N/A",IF(AND(Main[[#This Row],[In Stock Date]]&lt;&gt;"",Main[[#This Row],[Revised Due Date]]&lt;&gt;"",Main[[#This Row],[In Stock Date]]&lt;&gt;""),Main[[#This Row],[In Stock Date]]-Main[[#This Row],[Revised Due Date]],""))</f>
        <v/>
      </c>
      <c r="I611" s="139" t="s">
        <v>4</v>
      </c>
      <c r="J611" s="139" t="s">
        <v>4</v>
      </c>
      <c r="K611" s="139" t="s">
        <v>4</v>
      </c>
      <c r="L611" s="129"/>
      <c r="M611" s="114" t="str">
        <f>IF(Main[[#This Row],[Tech Start Date]]&lt;1/1/1990,"",IF(Main[[#This Row],[Class]]="C",WORKDAY(Main[[#This Row],[Tech Start Date]],9),IF(Main[[#This Row],[Class]]="B", WORKDAY(Main[[#This Row],[Tech Start Date]],6),IF(Main[[#This Row],[Class]]="A",WORKDAY(Main[[#This Row],[Tech Start Date]],2),""))))</f>
        <v/>
      </c>
      <c r="N611" s="114" t="str">
        <f>IF(Main[[#This Row],[Tech Start Date]]&lt;1/1/1990,"",IF(Main[[#This Row],[Class]]="C",WORKDAY(Main[[#This Row],[Tech Start Date]],19),IF(Main[[#This Row],[Class]]="B", WORKDAY(Main[[#This Row],[Tech Start Date]],12),IF(Main[[#This Row],[Class]]="A",WORKDAY(Main[[#This Row],[Tech Start Date]],4),""))))</f>
        <v/>
      </c>
      <c r="O611" s="114" t="str">
        <f>IF(Main[[#This Row],[Tech Start Date]]&lt;1/1/1990,"",IF(Main[[#This Row],[Class]]="C",WORKDAY(Main[[#This Row],[Tech Start Date]],23),IF(Main[[#This Row],[Class]]="B", WORKDAY(Main[[#This Row],[Tech Start Date]],15),IF(Main[[#This Row],[Class]]="A",WORKDAY(Main[[#This Row],[Tech Start Date]],5),""))))</f>
        <v/>
      </c>
      <c r="P611" s="114" t="str">
        <f>IF(Main[[#This Row],[Tech Start Date]]&lt;1/1/1990,"",IF(Main[[#This Row],[Class]]="C",WORKDAY(Main[[#This Row],[Tech Start Date]],28),IF(Main[[#This Row],[Class]]="B", WORKDAY(Main[[#This Row],[Tech Start Date]],19),IF(Main[[#This Row],[Class]]="A",WORKDAY(Main[[#This Row],[Tech Start Date]],9),""))))</f>
        <v/>
      </c>
      <c r="Q611" s="129">
        <v>40826</v>
      </c>
      <c r="R611" s="129"/>
      <c r="S611" s="139" t="s">
        <v>11</v>
      </c>
      <c r="T611" s="115" t="s">
        <v>4</v>
      </c>
      <c r="U611" s="139" t="s">
        <v>12</v>
      </c>
      <c r="V611" s="139" t="s">
        <v>1917</v>
      </c>
      <c r="W611" s="139" t="s">
        <v>1920</v>
      </c>
      <c r="X611" s="139" t="s">
        <v>2843</v>
      </c>
      <c r="Y611" s="112" t="s">
        <v>4</v>
      </c>
      <c r="Z611" s="112" t="s">
        <v>4</v>
      </c>
      <c r="AA611" s="139" t="s">
        <v>2843</v>
      </c>
    </row>
    <row r="612" spans="1:27" ht="17.25" customHeight="1">
      <c r="A612" s="69" t="str">
        <f>IF(priority(Main[[#This Row],[Comments]])&lt;&gt;0, priority(Main[[#This Row],[Comments]]),"")</f>
        <v/>
      </c>
      <c r="B612" s="63" t="s">
        <v>1456</v>
      </c>
      <c r="C612" s="148" t="s">
        <v>4</v>
      </c>
      <c r="D612" s="113" t="s">
        <v>523</v>
      </c>
      <c r="E612" s="129">
        <v>40371.58488425926</v>
      </c>
      <c r="F612" s="129"/>
      <c r="G612" s="69" t="str">
        <f>IF(stdProdLT(Main[[#This Row],[Comments]])=0.1,"N/A",IF(stdProdLT(Main[[#This Row],[Comments]])=0,"",stdProdLT(Main[[#This Row],[Comments]])))</f>
        <v/>
      </c>
      <c r="H612" s="138" t="str">
        <f>IF(Main[[#This Row],[In Stock Date]]="N/A", "N/A",IF(AND(Main[[#This Row],[In Stock Date]]&lt;&gt;"",Main[[#This Row],[Revised Due Date]]&lt;&gt;"",Main[[#This Row],[In Stock Date]]&lt;&gt;""),Main[[#This Row],[In Stock Date]]-Main[[#This Row],[Revised Due Date]],""))</f>
        <v/>
      </c>
      <c r="I612" s="139" t="s">
        <v>4</v>
      </c>
      <c r="J612" s="139" t="s">
        <v>4</v>
      </c>
      <c r="K612" s="139" t="s">
        <v>4</v>
      </c>
      <c r="L612" s="129"/>
      <c r="M612" s="114" t="str">
        <f>IF(Main[[#This Row],[Tech Start Date]]&lt;1/1/1990,"",IF(Main[[#This Row],[Class]]="C",WORKDAY(Main[[#This Row],[Tech Start Date]],9),IF(Main[[#This Row],[Class]]="B", WORKDAY(Main[[#This Row],[Tech Start Date]],6),IF(Main[[#This Row],[Class]]="A",WORKDAY(Main[[#This Row],[Tech Start Date]],2),""))))</f>
        <v/>
      </c>
      <c r="N612" s="114" t="str">
        <f>IF(Main[[#This Row],[Tech Start Date]]&lt;1/1/1990,"",IF(Main[[#This Row],[Class]]="C",WORKDAY(Main[[#This Row],[Tech Start Date]],19),IF(Main[[#This Row],[Class]]="B", WORKDAY(Main[[#This Row],[Tech Start Date]],12),IF(Main[[#This Row],[Class]]="A",WORKDAY(Main[[#This Row],[Tech Start Date]],4),""))))</f>
        <v/>
      </c>
      <c r="O612" s="114" t="str">
        <f>IF(Main[[#This Row],[Tech Start Date]]&lt;1/1/1990,"",IF(Main[[#This Row],[Class]]="C",WORKDAY(Main[[#This Row],[Tech Start Date]],23),IF(Main[[#This Row],[Class]]="B", WORKDAY(Main[[#This Row],[Tech Start Date]],15),IF(Main[[#This Row],[Class]]="A",WORKDAY(Main[[#This Row],[Tech Start Date]],5),""))))</f>
        <v/>
      </c>
      <c r="P612" s="114" t="str">
        <f>IF(Main[[#This Row],[Tech Start Date]]&lt;1/1/1990,"",IF(Main[[#This Row],[Class]]="C",WORKDAY(Main[[#This Row],[Tech Start Date]],28),IF(Main[[#This Row],[Class]]="B", WORKDAY(Main[[#This Row],[Tech Start Date]],19),IF(Main[[#This Row],[Class]]="A",WORKDAY(Main[[#This Row],[Tech Start Date]],9),""))))</f>
        <v/>
      </c>
      <c r="Q612" s="129">
        <v>40385</v>
      </c>
      <c r="R612" s="129"/>
      <c r="S612" s="139" t="s">
        <v>6</v>
      </c>
      <c r="T612" s="115" t="s">
        <v>4</v>
      </c>
      <c r="U612" s="139" t="s">
        <v>7</v>
      </c>
      <c r="V612" s="139" t="s">
        <v>1914</v>
      </c>
      <c r="W612" s="139" t="s">
        <v>1919</v>
      </c>
      <c r="X612" s="139" t="s">
        <v>102</v>
      </c>
      <c r="Y612" s="112" t="s">
        <v>3048</v>
      </c>
      <c r="Z612" s="112" t="s">
        <v>4</v>
      </c>
      <c r="AA612" s="139" t="s">
        <v>3415</v>
      </c>
    </row>
    <row r="613" spans="1:27" ht="17.25" customHeight="1">
      <c r="A613" s="69" t="str">
        <f>IF(priority(Main[[#This Row],[Comments]])&lt;&gt;0, priority(Main[[#This Row],[Comments]]),"")</f>
        <v/>
      </c>
      <c r="B613" s="63" t="s">
        <v>1459</v>
      </c>
      <c r="C613" s="148" t="s">
        <v>525</v>
      </c>
      <c r="D613" s="113" t="s">
        <v>526</v>
      </c>
      <c r="E613" s="129"/>
      <c r="F613" s="129">
        <v>40276</v>
      </c>
      <c r="G613" s="69" t="str">
        <f>IF(stdProdLT(Main[[#This Row],[Comments]])=0.1,"N/A",IF(stdProdLT(Main[[#This Row],[Comments]])=0,"",stdProdLT(Main[[#This Row],[Comments]])))</f>
        <v/>
      </c>
      <c r="H613" s="138" t="str">
        <f>IF(Main[[#This Row],[In Stock Date]]="N/A", "N/A",IF(AND(Main[[#This Row],[In Stock Date]]&lt;&gt;"",Main[[#This Row],[Revised Due Date]]&lt;&gt;"",Main[[#This Row],[In Stock Date]]&lt;&gt;""),Main[[#This Row],[In Stock Date]]-Main[[#This Row],[Revised Due Date]],""))</f>
        <v/>
      </c>
      <c r="I613" s="139" t="s">
        <v>4</v>
      </c>
      <c r="J613" s="139" t="s">
        <v>4</v>
      </c>
      <c r="K613" s="139" t="s">
        <v>4</v>
      </c>
      <c r="L613" s="129"/>
      <c r="M613" s="114" t="str">
        <f>IF(Main[[#This Row],[Tech Start Date]]&lt;1/1/1990,"",IF(Main[[#This Row],[Class]]="C",WORKDAY(Main[[#This Row],[Tech Start Date]],9),IF(Main[[#This Row],[Class]]="B", WORKDAY(Main[[#This Row],[Tech Start Date]],6),IF(Main[[#This Row],[Class]]="A",WORKDAY(Main[[#This Row],[Tech Start Date]],2),""))))</f>
        <v/>
      </c>
      <c r="N613" s="114" t="str">
        <f>IF(Main[[#This Row],[Tech Start Date]]&lt;1/1/1990,"",IF(Main[[#This Row],[Class]]="C",WORKDAY(Main[[#This Row],[Tech Start Date]],19),IF(Main[[#This Row],[Class]]="B", WORKDAY(Main[[#This Row],[Tech Start Date]],12),IF(Main[[#This Row],[Class]]="A",WORKDAY(Main[[#This Row],[Tech Start Date]],4),""))))</f>
        <v/>
      </c>
      <c r="O613" s="114" t="str">
        <f>IF(Main[[#This Row],[Tech Start Date]]&lt;1/1/1990,"",IF(Main[[#This Row],[Class]]="C",WORKDAY(Main[[#This Row],[Tech Start Date]],23),IF(Main[[#This Row],[Class]]="B", WORKDAY(Main[[#This Row],[Tech Start Date]],15),IF(Main[[#This Row],[Class]]="A",WORKDAY(Main[[#This Row],[Tech Start Date]],5),""))))</f>
        <v/>
      </c>
      <c r="P613" s="114" t="str">
        <f>IF(Main[[#This Row],[Tech Start Date]]&lt;1/1/1990,"",IF(Main[[#This Row],[Class]]="C",WORKDAY(Main[[#This Row],[Tech Start Date]],28),IF(Main[[#This Row],[Class]]="B", WORKDAY(Main[[#This Row],[Tech Start Date]],19),IF(Main[[#This Row],[Class]]="A",WORKDAY(Main[[#This Row],[Tech Start Date]],9),""))))</f>
        <v/>
      </c>
      <c r="Q613" s="129">
        <v>40164</v>
      </c>
      <c r="R613" s="129"/>
      <c r="S613" s="139" t="s">
        <v>11</v>
      </c>
      <c r="T613" s="115" t="s">
        <v>4</v>
      </c>
      <c r="U613" s="139" t="s">
        <v>14</v>
      </c>
      <c r="V613" s="139" t="s">
        <v>1917</v>
      </c>
      <c r="W613" s="139" t="s">
        <v>1920</v>
      </c>
      <c r="X613" s="139" t="s">
        <v>2892</v>
      </c>
      <c r="Y613" s="112" t="s">
        <v>4</v>
      </c>
      <c r="Z613" s="112" t="s">
        <v>4</v>
      </c>
      <c r="AA613" s="139" t="s">
        <v>2892</v>
      </c>
    </row>
    <row r="614" spans="1:27" ht="17.25" customHeight="1">
      <c r="A614" s="69" t="str">
        <f>IF(priority(Main[[#This Row],[Comments]])&lt;&gt;0, priority(Main[[#This Row],[Comments]]),"")</f>
        <v/>
      </c>
      <c r="B614" s="63" t="s">
        <v>1696</v>
      </c>
      <c r="C614" s="148" t="s">
        <v>4</v>
      </c>
      <c r="D614" s="113" t="s">
        <v>752</v>
      </c>
      <c r="E614" s="129">
        <v>40700.558032407411</v>
      </c>
      <c r="F614" s="129"/>
      <c r="G614" s="69" t="str">
        <f>IF(stdProdLT(Main[[#This Row],[Comments]])=0.1,"N/A",IF(stdProdLT(Main[[#This Row],[Comments]])=0,"",stdProdLT(Main[[#This Row],[Comments]])))</f>
        <v/>
      </c>
      <c r="H614" s="138" t="str">
        <f>IF(Main[[#This Row],[In Stock Date]]="N/A", "N/A",IF(AND(Main[[#This Row],[In Stock Date]]&lt;&gt;"",Main[[#This Row],[Revised Due Date]]&lt;&gt;"",Main[[#This Row],[In Stock Date]]&lt;&gt;""),Main[[#This Row],[In Stock Date]]-Main[[#This Row],[Revised Due Date]],""))</f>
        <v/>
      </c>
      <c r="I614" s="139" t="s">
        <v>4</v>
      </c>
      <c r="J614" s="139" t="s">
        <v>4</v>
      </c>
      <c r="K614" s="139" t="s">
        <v>4</v>
      </c>
      <c r="L614" s="129"/>
      <c r="M614" s="114" t="str">
        <f>IF(Main[[#This Row],[Tech Start Date]]&lt;1/1/1990,"",IF(Main[[#This Row],[Class]]="C",WORKDAY(Main[[#This Row],[Tech Start Date]],9),IF(Main[[#This Row],[Class]]="B", WORKDAY(Main[[#This Row],[Tech Start Date]],6),IF(Main[[#This Row],[Class]]="A",WORKDAY(Main[[#This Row],[Tech Start Date]],2),""))))</f>
        <v/>
      </c>
      <c r="N614" s="114" t="str">
        <f>IF(Main[[#This Row],[Tech Start Date]]&lt;1/1/1990,"",IF(Main[[#This Row],[Class]]="C",WORKDAY(Main[[#This Row],[Tech Start Date]],19),IF(Main[[#This Row],[Class]]="B", WORKDAY(Main[[#This Row],[Tech Start Date]],12),IF(Main[[#This Row],[Class]]="A",WORKDAY(Main[[#This Row],[Tech Start Date]],4),""))))</f>
        <v/>
      </c>
      <c r="O614" s="114" t="str">
        <f>IF(Main[[#This Row],[Tech Start Date]]&lt;1/1/1990,"",IF(Main[[#This Row],[Class]]="C",WORKDAY(Main[[#This Row],[Tech Start Date]],23),IF(Main[[#This Row],[Class]]="B", WORKDAY(Main[[#This Row],[Tech Start Date]],15),IF(Main[[#This Row],[Class]]="A",WORKDAY(Main[[#This Row],[Tech Start Date]],5),""))))</f>
        <v/>
      </c>
      <c r="P614" s="114" t="str">
        <f>IF(Main[[#This Row],[Tech Start Date]]&lt;1/1/1990,"",IF(Main[[#This Row],[Class]]="C",WORKDAY(Main[[#This Row],[Tech Start Date]],28),IF(Main[[#This Row],[Class]]="B", WORKDAY(Main[[#This Row],[Tech Start Date]],19),IF(Main[[#This Row],[Class]]="A",WORKDAY(Main[[#This Row],[Tech Start Date]],9),""))))</f>
        <v/>
      </c>
      <c r="Q614" s="129">
        <v>40714</v>
      </c>
      <c r="R614" s="129"/>
      <c r="S614" s="139" t="s">
        <v>6</v>
      </c>
      <c r="T614" s="115" t="s">
        <v>4</v>
      </c>
      <c r="U614" s="139" t="s">
        <v>694</v>
      </c>
      <c r="V614" s="139" t="s">
        <v>1914</v>
      </c>
      <c r="W614" s="139" t="s">
        <v>4</v>
      </c>
      <c r="X614" s="139" t="s">
        <v>2836</v>
      </c>
      <c r="Y614" s="112" t="s">
        <v>2965</v>
      </c>
      <c r="Z614" s="112" t="s">
        <v>4</v>
      </c>
      <c r="AA614" s="139" t="s">
        <v>2836</v>
      </c>
    </row>
    <row r="615" spans="1:27" ht="17.25" customHeight="1">
      <c r="A615" s="69" t="str">
        <f>IF(priority(Main[[#This Row],[Comments]])&lt;&gt;0, priority(Main[[#This Row],[Comments]]),"")</f>
        <v/>
      </c>
      <c r="B615" s="63" t="s">
        <v>1461</v>
      </c>
      <c r="C615" s="148" t="s">
        <v>4</v>
      </c>
      <c r="D615" s="113" t="s">
        <v>527</v>
      </c>
      <c r="E615" s="129"/>
      <c r="F615" s="129">
        <v>40431</v>
      </c>
      <c r="G615" s="69" t="str">
        <f>IF(stdProdLT(Main[[#This Row],[Comments]])=0.1,"N/A",IF(stdProdLT(Main[[#This Row],[Comments]])=0,"",stdProdLT(Main[[#This Row],[Comments]])))</f>
        <v/>
      </c>
      <c r="H615" s="138" t="str">
        <f>IF(Main[[#This Row],[In Stock Date]]="N/A", "N/A",IF(AND(Main[[#This Row],[In Stock Date]]&lt;&gt;"",Main[[#This Row],[Revised Due Date]]&lt;&gt;"",Main[[#This Row],[In Stock Date]]&lt;&gt;""),Main[[#This Row],[In Stock Date]]-Main[[#This Row],[Revised Due Date]],""))</f>
        <v/>
      </c>
      <c r="I615" s="139" t="s">
        <v>4</v>
      </c>
      <c r="J615" s="139" t="s">
        <v>28</v>
      </c>
      <c r="K615" s="139" t="s">
        <v>4</v>
      </c>
      <c r="L615" s="129"/>
      <c r="M615" s="114" t="str">
        <f>IF(Main[[#This Row],[Tech Start Date]]&lt;1/1/1990,"",IF(Main[[#This Row],[Class]]="C",WORKDAY(Main[[#This Row],[Tech Start Date]],9),IF(Main[[#This Row],[Class]]="B", WORKDAY(Main[[#This Row],[Tech Start Date]],6),IF(Main[[#This Row],[Class]]="A",WORKDAY(Main[[#This Row],[Tech Start Date]],2),""))))</f>
        <v/>
      </c>
      <c r="N615" s="114" t="str">
        <f>IF(Main[[#This Row],[Tech Start Date]]&lt;1/1/1990,"",IF(Main[[#This Row],[Class]]="C",WORKDAY(Main[[#This Row],[Tech Start Date]],19),IF(Main[[#This Row],[Class]]="B", WORKDAY(Main[[#This Row],[Tech Start Date]],12),IF(Main[[#This Row],[Class]]="A",WORKDAY(Main[[#This Row],[Tech Start Date]],4),""))))</f>
        <v/>
      </c>
      <c r="O615" s="114" t="str">
        <f>IF(Main[[#This Row],[Tech Start Date]]&lt;1/1/1990,"",IF(Main[[#This Row],[Class]]="C",WORKDAY(Main[[#This Row],[Tech Start Date]],23),IF(Main[[#This Row],[Class]]="B", WORKDAY(Main[[#This Row],[Tech Start Date]],15),IF(Main[[#This Row],[Class]]="A",WORKDAY(Main[[#This Row],[Tech Start Date]],5),""))))</f>
        <v/>
      </c>
      <c r="P615" s="114" t="str">
        <f>IF(Main[[#This Row],[Tech Start Date]]&lt;1/1/1990,"",IF(Main[[#This Row],[Class]]="C",WORKDAY(Main[[#This Row],[Tech Start Date]],28),IF(Main[[#This Row],[Class]]="B", WORKDAY(Main[[#This Row],[Tech Start Date]],19),IF(Main[[#This Row],[Class]]="A",WORKDAY(Main[[#This Row],[Tech Start Date]],9),""))))</f>
        <v/>
      </c>
      <c r="Q615" s="129">
        <v>40410</v>
      </c>
      <c r="R615" s="129"/>
      <c r="S615" s="139" t="s">
        <v>11</v>
      </c>
      <c r="T615" s="115" t="s">
        <v>4</v>
      </c>
      <c r="U615" s="139" t="s">
        <v>14</v>
      </c>
      <c r="V615" s="139" t="s">
        <v>1915</v>
      </c>
      <c r="W615" s="139" t="s">
        <v>1922</v>
      </c>
      <c r="X615" s="139" t="s">
        <v>2824</v>
      </c>
      <c r="Y615" s="112" t="s">
        <v>2943</v>
      </c>
      <c r="Z615" s="112" t="s">
        <v>108</v>
      </c>
      <c r="AA615" s="139" t="s">
        <v>2824</v>
      </c>
    </row>
    <row r="616" spans="1:27" ht="17.25" customHeight="1">
      <c r="A616" s="69" t="str">
        <f>IF(priority(Main[[#This Row],[Comments]])&lt;&gt;0, priority(Main[[#This Row],[Comments]]),"")</f>
        <v/>
      </c>
      <c r="B616" s="63" t="s">
        <v>1462</v>
      </c>
      <c r="C616" s="148" t="s">
        <v>4</v>
      </c>
      <c r="D616" s="113" t="s">
        <v>528</v>
      </c>
      <c r="E616" s="129"/>
      <c r="F616" s="129">
        <v>40786</v>
      </c>
      <c r="G616" s="69" t="str">
        <f>IF(stdProdLT(Main[[#This Row],[Comments]])=0.1,"N/A",IF(stdProdLT(Main[[#This Row],[Comments]])=0,"",stdProdLT(Main[[#This Row],[Comments]])))</f>
        <v/>
      </c>
      <c r="H616" s="138" t="str">
        <f>IF(Main[[#This Row],[In Stock Date]]="N/A", "N/A",IF(AND(Main[[#This Row],[In Stock Date]]&lt;&gt;"",Main[[#This Row],[Revised Due Date]]&lt;&gt;"",Main[[#This Row],[In Stock Date]]&lt;&gt;""),Main[[#This Row],[In Stock Date]]-Main[[#This Row],[Revised Due Date]],""))</f>
        <v/>
      </c>
      <c r="I616" s="139" t="s">
        <v>4</v>
      </c>
      <c r="J616" s="139" t="s">
        <v>4</v>
      </c>
      <c r="K616" s="139" t="s">
        <v>4</v>
      </c>
      <c r="L616" s="129"/>
      <c r="M616" s="114" t="str">
        <f>IF(Main[[#This Row],[Tech Start Date]]&lt;1/1/1990,"",IF(Main[[#This Row],[Class]]="C",WORKDAY(Main[[#This Row],[Tech Start Date]],9),IF(Main[[#This Row],[Class]]="B", WORKDAY(Main[[#This Row],[Tech Start Date]],6),IF(Main[[#This Row],[Class]]="A",WORKDAY(Main[[#This Row],[Tech Start Date]],2),""))))</f>
        <v/>
      </c>
      <c r="N616" s="114" t="str">
        <f>IF(Main[[#This Row],[Tech Start Date]]&lt;1/1/1990,"",IF(Main[[#This Row],[Class]]="C",WORKDAY(Main[[#This Row],[Tech Start Date]],19),IF(Main[[#This Row],[Class]]="B", WORKDAY(Main[[#This Row],[Tech Start Date]],12),IF(Main[[#This Row],[Class]]="A",WORKDAY(Main[[#This Row],[Tech Start Date]],4),""))))</f>
        <v/>
      </c>
      <c r="O616" s="114" t="str">
        <f>IF(Main[[#This Row],[Tech Start Date]]&lt;1/1/1990,"",IF(Main[[#This Row],[Class]]="C",WORKDAY(Main[[#This Row],[Tech Start Date]],23),IF(Main[[#This Row],[Class]]="B", WORKDAY(Main[[#This Row],[Tech Start Date]],15),IF(Main[[#This Row],[Class]]="A",WORKDAY(Main[[#This Row],[Tech Start Date]],5),""))))</f>
        <v/>
      </c>
      <c r="P616" s="114" t="str">
        <f>IF(Main[[#This Row],[Tech Start Date]]&lt;1/1/1990,"",IF(Main[[#This Row],[Class]]="C",WORKDAY(Main[[#This Row],[Tech Start Date]],28),IF(Main[[#This Row],[Class]]="B", WORKDAY(Main[[#This Row],[Tech Start Date]],19),IF(Main[[#This Row],[Class]]="A",WORKDAY(Main[[#This Row],[Tech Start Date]],9),""))))</f>
        <v/>
      </c>
      <c r="Q616" s="129">
        <v>40749</v>
      </c>
      <c r="R616" s="129"/>
      <c r="S616" s="139" t="s">
        <v>11</v>
      </c>
      <c r="T616" s="115" t="s">
        <v>4</v>
      </c>
      <c r="U616" s="139" t="s">
        <v>14</v>
      </c>
      <c r="V616" s="139" t="s">
        <v>1917</v>
      </c>
      <c r="W616" s="139" t="s">
        <v>1922</v>
      </c>
      <c r="X616" s="139" t="s">
        <v>553</v>
      </c>
      <c r="Y616" s="112" t="s">
        <v>3050</v>
      </c>
      <c r="Z616" s="112" t="s">
        <v>4</v>
      </c>
      <c r="AA616" s="139" t="s">
        <v>2860</v>
      </c>
    </row>
    <row r="617" spans="1:27" ht="17.25" customHeight="1">
      <c r="A617" s="69" t="str">
        <f>IF(priority(Main[[#This Row],[Comments]])&lt;&gt;0, priority(Main[[#This Row],[Comments]]),"")</f>
        <v/>
      </c>
      <c r="B617" s="63" t="s">
        <v>1440</v>
      </c>
      <c r="C617" s="148" t="s">
        <v>95</v>
      </c>
      <c r="D617" s="113" t="s">
        <v>529</v>
      </c>
      <c r="E617" s="129"/>
      <c r="F617" s="129"/>
      <c r="G617" s="69" t="str">
        <f>IF(stdProdLT(Main[[#This Row],[Comments]])=0.1,"N/A",IF(stdProdLT(Main[[#This Row],[Comments]])=0,"",stdProdLT(Main[[#This Row],[Comments]])))</f>
        <v/>
      </c>
      <c r="H617" s="138" t="str">
        <f>IF(Main[[#This Row],[In Stock Date]]="N/A", "N/A",IF(AND(Main[[#This Row],[In Stock Date]]&lt;&gt;"",Main[[#This Row],[Revised Due Date]]&lt;&gt;"",Main[[#This Row],[In Stock Date]]&lt;&gt;""),Main[[#This Row],[In Stock Date]]-Main[[#This Row],[Revised Due Date]],""))</f>
        <v/>
      </c>
      <c r="I617" s="139" t="s">
        <v>530</v>
      </c>
      <c r="J617" s="139" t="s">
        <v>4</v>
      </c>
      <c r="K617" s="139" t="s">
        <v>4</v>
      </c>
      <c r="L617" s="129"/>
      <c r="M617" s="114" t="str">
        <f>IF(Main[[#This Row],[Tech Start Date]]&lt;1/1/1990,"",IF(Main[[#This Row],[Class]]="C",WORKDAY(Main[[#This Row],[Tech Start Date]],9),IF(Main[[#This Row],[Class]]="B", WORKDAY(Main[[#This Row],[Tech Start Date]],6),IF(Main[[#This Row],[Class]]="A",WORKDAY(Main[[#This Row],[Tech Start Date]],2),""))))</f>
        <v/>
      </c>
      <c r="N617" s="114" t="str">
        <f>IF(Main[[#This Row],[Tech Start Date]]&lt;1/1/1990,"",IF(Main[[#This Row],[Class]]="C",WORKDAY(Main[[#This Row],[Tech Start Date]],19),IF(Main[[#This Row],[Class]]="B", WORKDAY(Main[[#This Row],[Tech Start Date]],12),IF(Main[[#This Row],[Class]]="A",WORKDAY(Main[[#This Row],[Tech Start Date]],4),""))))</f>
        <v/>
      </c>
      <c r="O617" s="114" t="str">
        <f>IF(Main[[#This Row],[Tech Start Date]]&lt;1/1/1990,"",IF(Main[[#This Row],[Class]]="C",WORKDAY(Main[[#This Row],[Tech Start Date]],23),IF(Main[[#This Row],[Class]]="B", WORKDAY(Main[[#This Row],[Tech Start Date]],15),IF(Main[[#This Row],[Class]]="A",WORKDAY(Main[[#This Row],[Tech Start Date]],5),""))))</f>
        <v/>
      </c>
      <c r="P617" s="114" t="str">
        <f>IF(Main[[#This Row],[Tech Start Date]]&lt;1/1/1990,"",IF(Main[[#This Row],[Class]]="C",WORKDAY(Main[[#This Row],[Tech Start Date]],28),IF(Main[[#This Row],[Class]]="B", WORKDAY(Main[[#This Row],[Tech Start Date]],19),IF(Main[[#This Row],[Class]]="A",WORKDAY(Main[[#This Row],[Tech Start Date]],9),""))))</f>
        <v/>
      </c>
      <c r="Q617" s="129">
        <v>40352</v>
      </c>
      <c r="R617" s="129"/>
      <c r="S617" s="139" t="s">
        <v>11</v>
      </c>
      <c r="T617" s="115" t="s">
        <v>4</v>
      </c>
      <c r="U617" s="139" t="s">
        <v>14</v>
      </c>
      <c r="V617" s="139" t="s">
        <v>1917</v>
      </c>
      <c r="W617" s="139" t="s">
        <v>1916</v>
      </c>
      <c r="X617" s="139" t="s">
        <v>2837</v>
      </c>
      <c r="Y617" s="112" t="s">
        <v>3051</v>
      </c>
      <c r="Z617" s="112" t="s">
        <v>4</v>
      </c>
      <c r="AA617" s="139" t="s">
        <v>3406</v>
      </c>
    </row>
    <row r="618" spans="1:27" ht="17.25" customHeight="1">
      <c r="A618" s="69" t="str">
        <f>IF(priority(Main[[#This Row],[Comments]])&lt;&gt;0, priority(Main[[#This Row],[Comments]]),"")</f>
        <v/>
      </c>
      <c r="B618" s="63" t="s">
        <v>1442</v>
      </c>
      <c r="C618" s="148" t="s">
        <v>169</v>
      </c>
      <c r="D618" s="113" t="s">
        <v>532</v>
      </c>
      <c r="E618" s="129"/>
      <c r="F618" s="129">
        <v>40237</v>
      </c>
      <c r="G618" s="69" t="str">
        <f>IF(stdProdLT(Main[[#This Row],[Comments]])=0.1,"N/A",IF(stdProdLT(Main[[#This Row],[Comments]])=0,"",stdProdLT(Main[[#This Row],[Comments]])))</f>
        <v/>
      </c>
      <c r="H618" s="138" t="str">
        <f>IF(Main[[#This Row],[In Stock Date]]="N/A", "N/A",IF(AND(Main[[#This Row],[In Stock Date]]&lt;&gt;"",Main[[#This Row],[Revised Due Date]]&lt;&gt;"",Main[[#This Row],[In Stock Date]]&lt;&gt;""),Main[[#This Row],[In Stock Date]]-Main[[#This Row],[Revised Due Date]],""))</f>
        <v/>
      </c>
      <c r="I618" s="139" t="s">
        <v>4</v>
      </c>
      <c r="J618" s="139" t="s">
        <v>4</v>
      </c>
      <c r="K618" s="139" t="s">
        <v>4</v>
      </c>
      <c r="L618" s="129"/>
      <c r="M618" s="114" t="str">
        <f>IF(Main[[#This Row],[Tech Start Date]]&lt;1/1/1990,"",IF(Main[[#This Row],[Class]]="C",WORKDAY(Main[[#This Row],[Tech Start Date]],9),IF(Main[[#This Row],[Class]]="B", WORKDAY(Main[[#This Row],[Tech Start Date]],6),IF(Main[[#This Row],[Class]]="A",WORKDAY(Main[[#This Row],[Tech Start Date]],2),""))))</f>
        <v/>
      </c>
      <c r="N618" s="114" t="str">
        <f>IF(Main[[#This Row],[Tech Start Date]]&lt;1/1/1990,"",IF(Main[[#This Row],[Class]]="C",WORKDAY(Main[[#This Row],[Tech Start Date]],19),IF(Main[[#This Row],[Class]]="B", WORKDAY(Main[[#This Row],[Tech Start Date]],12),IF(Main[[#This Row],[Class]]="A",WORKDAY(Main[[#This Row],[Tech Start Date]],4),""))))</f>
        <v/>
      </c>
      <c r="O618" s="114" t="str">
        <f>IF(Main[[#This Row],[Tech Start Date]]&lt;1/1/1990,"",IF(Main[[#This Row],[Class]]="C",WORKDAY(Main[[#This Row],[Tech Start Date]],23),IF(Main[[#This Row],[Class]]="B", WORKDAY(Main[[#This Row],[Tech Start Date]],15),IF(Main[[#This Row],[Class]]="A",WORKDAY(Main[[#This Row],[Tech Start Date]],5),""))))</f>
        <v/>
      </c>
      <c r="P618" s="114" t="str">
        <f>IF(Main[[#This Row],[Tech Start Date]]&lt;1/1/1990,"",IF(Main[[#This Row],[Class]]="C",WORKDAY(Main[[#This Row],[Tech Start Date]],28),IF(Main[[#This Row],[Class]]="B", WORKDAY(Main[[#This Row],[Tech Start Date]],19),IF(Main[[#This Row],[Class]]="A",WORKDAY(Main[[#This Row],[Tech Start Date]],9),""))))</f>
        <v/>
      </c>
      <c r="Q618" s="129">
        <v>40132</v>
      </c>
      <c r="R618" s="129"/>
      <c r="S618" s="139" t="s">
        <v>11</v>
      </c>
      <c r="T618" s="115" t="s">
        <v>4</v>
      </c>
      <c r="U618" s="139" t="s">
        <v>14</v>
      </c>
      <c r="V618" s="139" t="s">
        <v>1914</v>
      </c>
      <c r="W618" s="139" t="s">
        <v>1919</v>
      </c>
      <c r="X618" s="139" t="s">
        <v>2858</v>
      </c>
      <c r="Y618" s="112" t="s">
        <v>4</v>
      </c>
      <c r="Z618" s="112" t="s">
        <v>4</v>
      </c>
      <c r="AA618" s="139" t="s">
        <v>2858</v>
      </c>
    </row>
    <row r="619" spans="1:27" ht="17.25" customHeight="1">
      <c r="A619" s="69" t="str">
        <f>IF(priority(Main[[#This Row],[Comments]])&lt;&gt;0, priority(Main[[#This Row],[Comments]]),"")</f>
        <v/>
      </c>
      <c r="B619" s="63" t="s">
        <v>3261</v>
      </c>
      <c r="C619" s="148" t="s">
        <v>3262</v>
      </c>
      <c r="D619" s="113" t="s">
        <v>3360</v>
      </c>
      <c r="E619" s="129"/>
      <c r="F619" s="129">
        <v>41090</v>
      </c>
      <c r="G619" s="69" t="str">
        <f>IF(stdProdLT(Main[[#This Row],[Comments]])=0.1,"N/A",IF(stdProdLT(Main[[#This Row],[Comments]])=0,"",stdProdLT(Main[[#This Row],[Comments]])))</f>
        <v/>
      </c>
      <c r="H619" s="138" t="str">
        <f>IF(Main[[#This Row],[In Stock Date]]="N/A", "N/A",IF(AND(Main[[#This Row],[In Stock Date]]&lt;&gt;"",Main[[#This Row],[Revised Due Date]]&lt;&gt;"",Main[[#This Row],[In Stock Date]]&lt;&gt;""),Main[[#This Row],[In Stock Date]]-Main[[#This Row],[Revised Due Date]],""))</f>
        <v/>
      </c>
      <c r="I619" s="139" t="s">
        <v>4</v>
      </c>
      <c r="J619" s="139" t="s">
        <v>4</v>
      </c>
      <c r="K619" s="139" t="s">
        <v>4</v>
      </c>
      <c r="L619" s="129"/>
      <c r="M619" s="114" t="str">
        <f>IF(Main[[#This Row],[Tech Start Date]]&lt;1/1/1990,"",IF(Main[[#This Row],[Class]]="C",WORKDAY(Main[[#This Row],[Tech Start Date]],9),IF(Main[[#This Row],[Class]]="B", WORKDAY(Main[[#This Row],[Tech Start Date]],6),IF(Main[[#This Row],[Class]]="A",WORKDAY(Main[[#This Row],[Tech Start Date]],2),""))))</f>
        <v/>
      </c>
      <c r="N619" s="114" t="str">
        <f>IF(Main[[#This Row],[Tech Start Date]]&lt;1/1/1990,"",IF(Main[[#This Row],[Class]]="C",WORKDAY(Main[[#This Row],[Tech Start Date]],19),IF(Main[[#This Row],[Class]]="B", WORKDAY(Main[[#This Row],[Tech Start Date]],12),IF(Main[[#This Row],[Class]]="A",WORKDAY(Main[[#This Row],[Tech Start Date]],4),""))))</f>
        <v/>
      </c>
      <c r="O619" s="114" t="str">
        <f>IF(Main[[#This Row],[Tech Start Date]]&lt;1/1/1990,"",IF(Main[[#This Row],[Class]]="C",WORKDAY(Main[[#This Row],[Tech Start Date]],23),IF(Main[[#This Row],[Class]]="B", WORKDAY(Main[[#This Row],[Tech Start Date]],15),IF(Main[[#This Row],[Class]]="A",WORKDAY(Main[[#This Row],[Tech Start Date]],5),""))))</f>
        <v/>
      </c>
      <c r="P619" s="114" t="str">
        <f>IF(Main[[#This Row],[Tech Start Date]]&lt;1/1/1990,"",IF(Main[[#This Row],[Class]]="C",WORKDAY(Main[[#This Row],[Tech Start Date]],28),IF(Main[[#This Row],[Class]]="B", WORKDAY(Main[[#This Row],[Tech Start Date]],19),IF(Main[[#This Row],[Class]]="A",WORKDAY(Main[[#This Row],[Tech Start Date]],9),""))))</f>
        <v/>
      </c>
      <c r="Q619" s="129"/>
      <c r="R619" s="129"/>
      <c r="S619" s="139" t="s">
        <v>11</v>
      </c>
      <c r="T619" s="115" t="s">
        <v>3263</v>
      </c>
      <c r="U619" s="139" t="s">
        <v>14</v>
      </c>
      <c r="V619" s="139" t="s">
        <v>1915</v>
      </c>
      <c r="W619" s="139" t="s">
        <v>1922</v>
      </c>
      <c r="X619" s="139" t="s">
        <v>2852</v>
      </c>
      <c r="Y619" s="112" t="s">
        <v>2990</v>
      </c>
      <c r="Z619" s="112" t="s">
        <v>4</v>
      </c>
      <c r="AA619" s="139" t="s">
        <v>2852</v>
      </c>
    </row>
    <row r="620" spans="1:27" ht="17.25" customHeight="1">
      <c r="A620" s="69" t="str">
        <f>IF(priority(Main[[#This Row],[Comments]])&lt;&gt;0, priority(Main[[#This Row],[Comments]]),"")</f>
        <v/>
      </c>
      <c r="B620" s="63" t="s">
        <v>1443</v>
      </c>
      <c r="C620" s="148" t="s">
        <v>4</v>
      </c>
      <c r="D620" s="113" t="s">
        <v>533</v>
      </c>
      <c r="E620" s="129">
        <v>40108.684525462966</v>
      </c>
      <c r="F620" s="129"/>
      <c r="G620" s="69" t="str">
        <f>IF(stdProdLT(Main[[#This Row],[Comments]])=0.1,"N/A",IF(stdProdLT(Main[[#This Row],[Comments]])=0,"",stdProdLT(Main[[#This Row],[Comments]])))</f>
        <v/>
      </c>
      <c r="H620" s="138" t="str">
        <f>IF(Main[[#This Row],[In Stock Date]]="N/A", "N/A",IF(AND(Main[[#This Row],[In Stock Date]]&lt;&gt;"",Main[[#This Row],[Revised Due Date]]&lt;&gt;"",Main[[#This Row],[In Stock Date]]&lt;&gt;""),Main[[#This Row],[In Stock Date]]-Main[[#This Row],[Revised Due Date]],""))</f>
        <v/>
      </c>
      <c r="I620" s="139" t="s">
        <v>4</v>
      </c>
      <c r="J620" s="139" t="s">
        <v>4</v>
      </c>
      <c r="K620" s="140" t="s">
        <v>4</v>
      </c>
      <c r="L620" s="129"/>
      <c r="M620" s="114" t="str">
        <f>IF(Main[[#This Row],[Tech Start Date]]&lt;1/1/1990,"",IF(Main[[#This Row],[Class]]="C",WORKDAY(Main[[#This Row],[Tech Start Date]],9),IF(Main[[#This Row],[Class]]="B", WORKDAY(Main[[#This Row],[Tech Start Date]],6),IF(Main[[#This Row],[Class]]="A",WORKDAY(Main[[#This Row],[Tech Start Date]],2),""))))</f>
        <v/>
      </c>
      <c r="N620" s="114" t="str">
        <f>IF(Main[[#This Row],[Tech Start Date]]&lt;1/1/1990,"",IF(Main[[#This Row],[Class]]="C",WORKDAY(Main[[#This Row],[Tech Start Date]],19),IF(Main[[#This Row],[Class]]="B", WORKDAY(Main[[#This Row],[Tech Start Date]],12),IF(Main[[#This Row],[Class]]="A",WORKDAY(Main[[#This Row],[Tech Start Date]],4),""))))</f>
        <v/>
      </c>
      <c r="O620" s="114" t="str">
        <f>IF(Main[[#This Row],[Tech Start Date]]&lt;1/1/1990,"",IF(Main[[#This Row],[Class]]="C",WORKDAY(Main[[#This Row],[Tech Start Date]],23),IF(Main[[#This Row],[Class]]="B", WORKDAY(Main[[#This Row],[Tech Start Date]],15),IF(Main[[#This Row],[Class]]="A",WORKDAY(Main[[#This Row],[Tech Start Date]],5),""))))</f>
        <v/>
      </c>
      <c r="P620" s="114" t="str">
        <f>IF(Main[[#This Row],[Tech Start Date]]&lt;1/1/1990,"",IF(Main[[#This Row],[Class]]="C",WORKDAY(Main[[#This Row],[Tech Start Date]],28),IF(Main[[#This Row],[Class]]="B", WORKDAY(Main[[#This Row],[Tech Start Date]],19),IF(Main[[#This Row],[Class]]="A",WORKDAY(Main[[#This Row],[Tech Start Date]],9),""))))</f>
        <v/>
      </c>
      <c r="Q620" s="129">
        <v>40208</v>
      </c>
      <c r="R620" s="129"/>
      <c r="S620" s="139" t="s">
        <v>17</v>
      </c>
      <c r="T620" s="115" t="s">
        <v>4</v>
      </c>
      <c r="U620" s="139" t="s">
        <v>534</v>
      </c>
      <c r="V620" s="139" t="s">
        <v>1915</v>
      </c>
      <c r="W620" s="139" t="s">
        <v>4</v>
      </c>
      <c r="X620" s="139" t="s">
        <v>2862</v>
      </c>
      <c r="Y620" s="112" t="s">
        <v>3006</v>
      </c>
      <c r="Z620" s="112" t="s">
        <v>4</v>
      </c>
      <c r="AA620" s="139" t="s">
        <v>2862</v>
      </c>
    </row>
    <row r="621" spans="1:27" ht="17.25" customHeight="1">
      <c r="A621" s="69" t="str">
        <f>IF(priority(Main[[#This Row],[Comments]])&lt;&gt;0, priority(Main[[#This Row],[Comments]]),"")</f>
        <v/>
      </c>
      <c r="B621" s="63" t="s">
        <v>1444</v>
      </c>
      <c r="C621" s="148" t="s">
        <v>79</v>
      </c>
      <c r="D621" s="113" t="s">
        <v>535</v>
      </c>
      <c r="E621" s="129"/>
      <c r="F621" s="129"/>
      <c r="G621" s="69" t="str">
        <f>IF(stdProdLT(Main[[#This Row],[Comments]])=0.1,"N/A",IF(stdProdLT(Main[[#This Row],[Comments]])=0,"",stdProdLT(Main[[#This Row],[Comments]])))</f>
        <v/>
      </c>
      <c r="H621" s="138" t="str">
        <f>IF(Main[[#This Row],[In Stock Date]]="N/A", "N/A",IF(AND(Main[[#This Row],[In Stock Date]]&lt;&gt;"",Main[[#This Row],[Revised Due Date]]&lt;&gt;"",Main[[#This Row],[In Stock Date]]&lt;&gt;""),Main[[#This Row],[In Stock Date]]-Main[[#This Row],[Revised Due Date]],""))</f>
        <v/>
      </c>
      <c r="I621" s="139" t="s">
        <v>4</v>
      </c>
      <c r="J621" s="139" t="s">
        <v>4</v>
      </c>
      <c r="K621" s="139" t="s">
        <v>4</v>
      </c>
      <c r="L621" s="129"/>
      <c r="M621" s="114" t="str">
        <f>IF(Main[[#This Row],[Tech Start Date]]&lt;1/1/1990,"",IF(Main[[#This Row],[Class]]="C",WORKDAY(Main[[#This Row],[Tech Start Date]],9),IF(Main[[#This Row],[Class]]="B", WORKDAY(Main[[#This Row],[Tech Start Date]],6),IF(Main[[#This Row],[Class]]="A",WORKDAY(Main[[#This Row],[Tech Start Date]],2),""))))</f>
        <v/>
      </c>
      <c r="N621" s="114" t="str">
        <f>IF(Main[[#This Row],[Tech Start Date]]&lt;1/1/1990,"",IF(Main[[#This Row],[Class]]="C",WORKDAY(Main[[#This Row],[Tech Start Date]],19),IF(Main[[#This Row],[Class]]="B", WORKDAY(Main[[#This Row],[Tech Start Date]],12),IF(Main[[#This Row],[Class]]="A",WORKDAY(Main[[#This Row],[Tech Start Date]],4),""))))</f>
        <v/>
      </c>
      <c r="O621" s="114" t="str">
        <f>IF(Main[[#This Row],[Tech Start Date]]&lt;1/1/1990,"",IF(Main[[#This Row],[Class]]="C",WORKDAY(Main[[#This Row],[Tech Start Date]],23),IF(Main[[#This Row],[Class]]="B", WORKDAY(Main[[#This Row],[Tech Start Date]],15),IF(Main[[#This Row],[Class]]="A",WORKDAY(Main[[#This Row],[Tech Start Date]],5),""))))</f>
        <v/>
      </c>
      <c r="P621" s="114" t="str">
        <f>IF(Main[[#This Row],[Tech Start Date]]&lt;1/1/1990,"",IF(Main[[#This Row],[Class]]="C",WORKDAY(Main[[#This Row],[Tech Start Date]],28),IF(Main[[#This Row],[Class]]="B", WORKDAY(Main[[#This Row],[Tech Start Date]],19),IF(Main[[#This Row],[Class]]="A",WORKDAY(Main[[#This Row],[Tech Start Date]],9),""))))</f>
        <v/>
      </c>
      <c r="Q621" s="129">
        <v>40044</v>
      </c>
      <c r="R621" s="129"/>
      <c r="S621" s="139" t="s">
        <v>11</v>
      </c>
      <c r="T621" s="115" t="s">
        <v>4</v>
      </c>
      <c r="U621" s="139" t="s">
        <v>12</v>
      </c>
      <c r="V621" s="139" t="s">
        <v>1924</v>
      </c>
      <c r="W621" s="139" t="s">
        <v>1925</v>
      </c>
      <c r="X621" s="139" t="s">
        <v>2820</v>
      </c>
      <c r="Y621" s="112" t="s">
        <v>2956</v>
      </c>
      <c r="Z621" s="112" t="s">
        <v>81</v>
      </c>
      <c r="AA621" s="139" t="s">
        <v>2861</v>
      </c>
    </row>
    <row r="622" spans="1:27" ht="17.25" customHeight="1">
      <c r="A622" s="69" t="str">
        <f>IF(priority(Main[[#This Row],[Comments]])&lt;&gt;0, priority(Main[[#This Row],[Comments]]),"")</f>
        <v/>
      </c>
      <c r="B622" s="63" t="s">
        <v>1445</v>
      </c>
      <c r="C622" s="148" t="s">
        <v>4</v>
      </c>
      <c r="D622" s="113" t="s">
        <v>536</v>
      </c>
      <c r="E622" s="129"/>
      <c r="F622" s="129"/>
      <c r="G622" s="69" t="str">
        <f>IF(stdProdLT(Main[[#This Row],[Comments]])=0.1,"N/A",IF(stdProdLT(Main[[#This Row],[Comments]])=0,"",stdProdLT(Main[[#This Row],[Comments]])))</f>
        <v/>
      </c>
      <c r="H622" s="138" t="str">
        <f>IF(Main[[#This Row],[In Stock Date]]="N/A", "N/A",IF(AND(Main[[#This Row],[In Stock Date]]&lt;&gt;"",Main[[#This Row],[Revised Due Date]]&lt;&gt;"",Main[[#This Row],[In Stock Date]]&lt;&gt;""),Main[[#This Row],[In Stock Date]]-Main[[#This Row],[Revised Due Date]],""))</f>
        <v/>
      </c>
      <c r="I622" s="139" t="s">
        <v>4</v>
      </c>
      <c r="J622" s="139" t="s">
        <v>4</v>
      </c>
      <c r="K622" s="140" t="s">
        <v>4</v>
      </c>
      <c r="L622" s="129"/>
      <c r="M622" s="114" t="str">
        <f>IF(Main[[#This Row],[Tech Start Date]]&lt;1/1/1990,"",IF(Main[[#This Row],[Class]]="C",WORKDAY(Main[[#This Row],[Tech Start Date]],9),IF(Main[[#This Row],[Class]]="B", WORKDAY(Main[[#This Row],[Tech Start Date]],6),IF(Main[[#This Row],[Class]]="A",WORKDAY(Main[[#This Row],[Tech Start Date]],2),""))))</f>
        <v/>
      </c>
      <c r="N622" s="114" t="str">
        <f>IF(Main[[#This Row],[Tech Start Date]]&lt;1/1/1990,"",IF(Main[[#This Row],[Class]]="C",WORKDAY(Main[[#This Row],[Tech Start Date]],19),IF(Main[[#This Row],[Class]]="B", WORKDAY(Main[[#This Row],[Tech Start Date]],12),IF(Main[[#This Row],[Class]]="A",WORKDAY(Main[[#This Row],[Tech Start Date]],4),""))))</f>
        <v/>
      </c>
      <c r="O622" s="114" t="str">
        <f>IF(Main[[#This Row],[Tech Start Date]]&lt;1/1/1990,"",IF(Main[[#This Row],[Class]]="C",WORKDAY(Main[[#This Row],[Tech Start Date]],23),IF(Main[[#This Row],[Class]]="B", WORKDAY(Main[[#This Row],[Tech Start Date]],15),IF(Main[[#This Row],[Class]]="A",WORKDAY(Main[[#This Row],[Tech Start Date]],5),""))))</f>
        <v/>
      </c>
      <c r="P622" s="114" t="str">
        <f>IF(Main[[#This Row],[Tech Start Date]]&lt;1/1/1990,"",IF(Main[[#This Row],[Class]]="C",WORKDAY(Main[[#This Row],[Tech Start Date]],28),IF(Main[[#This Row],[Class]]="B", WORKDAY(Main[[#This Row],[Tech Start Date]],19),IF(Main[[#This Row],[Class]]="A",WORKDAY(Main[[#This Row],[Tech Start Date]],9),""))))</f>
        <v/>
      </c>
      <c r="Q622" s="129"/>
      <c r="R622" s="129"/>
      <c r="S622" s="139" t="s">
        <v>6</v>
      </c>
      <c r="T622" s="115" t="s">
        <v>4</v>
      </c>
      <c r="U622" s="139" t="s">
        <v>14</v>
      </c>
      <c r="V622" s="139" t="s">
        <v>1917</v>
      </c>
      <c r="W622" s="139" t="s">
        <v>4</v>
      </c>
      <c r="X622" s="139" t="s">
        <v>2887</v>
      </c>
      <c r="Y622" s="112" t="s">
        <v>3043</v>
      </c>
      <c r="Z622" s="112" t="s">
        <v>4</v>
      </c>
      <c r="AA622" s="139" t="s">
        <v>2887</v>
      </c>
    </row>
    <row r="623" spans="1:27" ht="17.25" customHeight="1">
      <c r="A623" s="69" t="str">
        <f>IF(priority(Main[[#This Row],[Comments]])&lt;&gt;0, priority(Main[[#This Row],[Comments]]),"")</f>
        <v/>
      </c>
      <c r="B623" s="63" t="s">
        <v>1448</v>
      </c>
      <c r="C623" s="148" t="s">
        <v>4</v>
      </c>
      <c r="D623" s="113" t="s">
        <v>538</v>
      </c>
      <c r="E623" s="129"/>
      <c r="F623" s="129">
        <v>40390</v>
      </c>
      <c r="G623" s="69" t="str">
        <f>IF(stdProdLT(Main[[#This Row],[Comments]])=0.1,"N/A",IF(stdProdLT(Main[[#This Row],[Comments]])=0,"",stdProdLT(Main[[#This Row],[Comments]])))</f>
        <v/>
      </c>
      <c r="H623" s="138" t="str">
        <f>IF(Main[[#This Row],[In Stock Date]]="N/A", "N/A",IF(AND(Main[[#This Row],[In Stock Date]]&lt;&gt;"",Main[[#This Row],[Revised Due Date]]&lt;&gt;"",Main[[#This Row],[In Stock Date]]&lt;&gt;""),Main[[#This Row],[In Stock Date]]-Main[[#This Row],[Revised Due Date]],""))</f>
        <v/>
      </c>
      <c r="I623" s="139" t="s">
        <v>4</v>
      </c>
      <c r="J623" s="139" t="s">
        <v>4</v>
      </c>
      <c r="K623" s="139" t="s">
        <v>4</v>
      </c>
      <c r="L623" s="129"/>
      <c r="M623" s="114" t="str">
        <f>IF(Main[[#This Row],[Tech Start Date]]&lt;1/1/1990,"",IF(Main[[#This Row],[Class]]="C",WORKDAY(Main[[#This Row],[Tech Start Date]],9),IF(Main[[#This Row],[Class]]="B", WORKDAY(Main[[#This Row],[Tech Start Date]],6),IF(Main[[#This Row],[Class]]="A",WORKDAY(Main[[#This Row],[Tech Start Date]],2),""))))</f>
        <v/>
      </c>
      <c r="N623" s="114" t="str">
        <f>IF(Main[[#This Row],[Tech Start Date]]&lt;1/1/1990,"",IF(Main[[#This Row],[Class]]="C",WORKDAY(Main[[#This Row],[Tech Start Date]],19),IF(Main[[#This Row],[Class]]="B", WORKDAY(Main[[#This Row],[Tech Start Date]],12),IF(Main[[#This Row],[Class]]="A",WORKDAY(Main[[#This Row],[Tech Start Date]],4),""))))</f>
        <v/>
      </c>
      <c r="O623" s="114" t="str">
        <f>IF(Main[[#This Row],[Tech Start Date]]&lt;1/1/1990,"",IF(Main[[#This Row],[Class]]="C",WORKDAY(Main[[#This Row],[Tech Start Date]],23),IF(Main[[#This Row],[Class]]="B", WORKDAY(Main[[#This Row],[Tech Start Date]],15),IF(Main[[#This Row],[Class]]="A",WORKDAY(Main[[#This Row],[Tech Start Date]],5),""))))</f>
        <v/>
      </c>
      <c r="P623" s="114" t="str">
        <f>IF(Main[[#This Row],[Tech Start Date]]&lt;1/1/1990,"",IF(Main[[#This Row],[Class]]="C",WORKDAY(Main[[#This Row],[Tech Start Date]],28),IF(Main[[#This Row],[Class]]="B", WORKDAY(Main[[#This Row],[Tech Start Date]],19),IF(Main[[#This Row],[Class]]="A",WORKDAY(Main[[#This Row],[Tech Start Date]],9),""))))</f>
        <v/>
      </c>
      <c r="Q623" s="129">
        <v>40329</v>
      </c>
      <c r="R623" s="129"/>
      <c r="S623" s="139" t="s">
        <v>11</v>
      </c>
      <c r="T623" s="115" t="s">
        <v>4</v>
      </c>
      <c r="U623" s="139" t="s">
        <v>12</v>
      </c>
      <c r="V623" s="139" t="s">
        <v>1924</v>
      </c>
      <c r="W623" s="139" t="s">
        <v>1920</v>
      </c>
      <c r="X623" s="139" t="s">
        <v>2872</v>
      </c>
      <c r="Y623" s="112" t="s">
        <v>2996</v>
      </c>
      <c r="Z623" s="112" t="s">
        <v>4</v>
      </c>
      <c r="AA623" s="139" t="s">
        <v>2872</v>
      </c>
    </row>
    <row r="624" spans="1:27" ht="17.25" customHeight="1">
      <c r="A624" s="69" t="str">
        <f>IF(priority(Main[[#This Row],[Comments]])&lt;&gt;0, priority(Main[[#This Row],[Comments]]),"")</f>
        <v/>
      </c>
      <c r="B624" s="63" t="s">
        <v>2717</v>
      </c>
      <c r="C624" s="148" t="s">
        <v>4</v>
      </c>
      <c r="D624" s="113" t="s">
        <v>2718</v>
      </c>
      <c r="E624" s="129">
        <v>40884.602025462962</v>
      </c>
      <c r="F624" s="129"/>
      <c r="G624" s="69" t="str">
        <f>IF(stdProdLT(Main[[#This Row],[Comments]])=0.1,"N/A",IF(stdProdLT(Main[[#This Row],[Comments]])=0,"",stdProdLT(Main[[#This Row],[Comments]])))</f>
        <v/>
      </c>
      <c r="H624" s="138" t="str">
        <f>IF(Main[[#This Row],[In Stock Date]]="N/A", "N/A",IF(AND(Main[[#This Row],[In Stock Date]]&lt;&gt;"",Main[[#This Row],[Revised Due Date]]&lt;&gt;"",Main[[#This Row],[In Stock Date]]&lt;&gt;""),Main[[#This Row],[In Stock Date]]-Main[[#This Row],[Revised Due Date]],""))</f>
        <v/>
      </c>
      <c r="I624" s="139" t="s">
        <v>4</v>
      </c>
      <c r="J624" s="139" t="s">
        <v>4</v>
      </c>
      <c r="K624" s="139" t="s">
        <v>4</v>
      </c>
      <c r="L624" s="129"/>
      <c r="M624" s="114" t="str">
        <f>IF(Main[[#This Row],[Tech Start Date]]&lt;1/1/1990,"",IF(Main[[#This Row],[Class]]="C",WORKDAY(Main[[#This Row],[Tech Start Date]],9),IF(Main[[#This Row],[Class]]="B", WORKDAY(Main[[#This Row],[Tech Start Date]],6),IF(Main[[#This Row],[Class]]="A",WORKDAY(Main[[#This Row],[Tech Start Date]],2),""))))</f>
        <v/>
      </c>
      <c r="N624" s="114" t="str">
        <f>IF(Main[[#This Row],[Tech Start Date]]&lt;1/1/1990,"",IF(Main[[#This Row],[Class]]="C",WORKDAY(Main[[#This Row],[Tech Start Date]],19),IF(Main[[#This Row],[Class]]="B", WORKDAY(Main[[#This Row],[Tech Start Date]],12),IF(Main[[#This Row],[Class]]="A",WORKDAY(Main[[#This Row],[Tech Start Date]],4),""))))</f>
        <v/>
      </c>
      <c r="O624" s="114" t="str">
        <f>IF(Main[[#This Row],[Tech Start Date]]&lt;1/1/1990,"",IF(Main[[#This Row],[Class]]="C",WORKDAY(Main[[#This Row],[Tech Start Date]],23),IF(Main[[#This Row],[Class]]="B", WORKDAY(Main[[#This Row],[Tech Start Date]],15),IF(Main[[#This Row],[Class]]="A",WORKDAY(Main[[#This Row],[Tech Start Date]],5),""))))</f>
        <v/>
      </c>
      <c r="P624" s="114" t="str">
        <f>IF(Main[[#This Row],[Tech Start Date]]&lt;1/1/1990,"",IF(Main[[#This Row],[Class]]="C",WORKDAY(Main[[#This Row],[Tech Start Date]],28),IF(Main[[#This Row],[Class]]="B", WORKDAY(Main[[#This Row],[Tech Start Date]],19),IF(Main[[#This Row],[Class]]="A",WORKDAY(Main[[#This Row],[Tech Start Date]],9),""))))</f>
        <v/>
      </c>
      <c r="Q624" s="129"/>
      <c r="R624" s="129"/>
      <c r="S624" s="139" t="s">
        <v>17</v>
      </c>
      <c r="T624" s="115" t="s">
        <v>4</v>
      </c>
      <c r="U624" s="139" t="s">
        <v>7</v>
      </c>
      <c r="V624" s="139" t="s">
        <v>1929</v>
      </c>
      <c r="W624" s="139" t="s">
        <v>1919</v>
      </c>
      <c r="X624" s="139" t="s">
        <v>922</v>
      </c>
      <c r="Y624" s="112" t="s">
        <v>3017</v>
      </c>
      <c r="Z624" s="112" t="s">
        <v>4</v>
      </c>
      <c r="AA624" s="139" t="s">
        <v>907</v>
      </c>
    </row>
    <row r="625" spans="1:27" ht="17.25" customHeight="1">
      <c r="A625" s="69" t="str">
        <f>IF(priority(Main[[#This Row],[Comments]])&lt;&gt;0, priority(Main[[#This Row],[Comments]]),"")</f>
        <v/>
      </c>
      <c r="B625" s="63" t="s">
        <v>1449</v>
      </c>
      <c r="C625" s="148" t="s">
        <v>4</v>
      </c>
      <c r="D625" s="113" t="s">
        <v>539</v>
      </c>
      <c r="E625" s="129"/>
      <c r="F625" s="129"/>
      <c r="G625" s="69" t="str">
        <f>IF(stdProdLT(Main[[#This Row],[Comments]])=0.1,"N/A",IF(stdProdLT(Main[[#This Row],[Comments]])=0,"",stdProdLT(Main[[#This Row],[Comments]])))</f>
        <v/>
      </c>
      <c r="H625" s="138" t="str">
        <f>IF(Main[[#This Row],[In Stock Date]]="N/A", "N/A",IF(AND(Main[[#This Row],[In Stock Date]]&lt;&gt;"",Main[[#This Row],[Revised Due Date]]&lt;&gt;"",Main[[#This Row],[In Stock Date]]&lt;&gt;""),Main[[#This Row],[In Stock Date]]-Main[[#This Row],[Revised Due Date]],""))</f>
        <v/>
      </c>
      <c r="I625" s="139" t="s">
        <v>4</v>
      </c>
      <c r="J625" s="139" t="s">
        <v>4</v>
      </c>
      <c r="K625" s="139" t="s">
        <v>4</v>
      </c>
      <c r="L625" s="129"/>
      <c r="M625" s="114" t="str">
        <f>IF(Main[[#This Row],[Tech Start Date]]&lt;1/1/1990,"",IF(Main[[#This Row],[Class]]="C",WORKDAY(Main[[#This Row],[Tech Start Date]],9),IF(Main[[#This Row],[Class]]="B", WORKDAY(Main[[#This Row],[Tech Start Date]],6),IF(Main[[#This Row],[Class]]="A",WORKDAY(Main[[#This Row],[Tech Start Date]],2),""))))</f>
        <v/>
      </c>
      <c r="N625" s="114" t="str">
        <f>IF(Main[[#This Row],[Tech Start Date]]&lt;1/1/1990,"",IF(Main[[#This Row],[Class]]="C",WORKDAY(Main[[#This Row],[Tech Start Date]],19),IF(Main[[#This Row],[Class]]="B", WORKDAY(Main[[#This Row],[Tech Start Date]],12),IF(Main[[#This Row],[Class]]="A",WORKDAY(Main[[#This Row],[Tech Start Date]],4),""))))</f>
        <v/>
      </c>
      <c r="O625" s="114" t="str">
        <f>IF(Main[[#This Row],[Tech Start Date]]&lt;1/1/1990,"",IF(Main[[#This Row],[Class]]="C",WORKDAY(Main[[#This Row],[Tech Start Date]],23),IF(Main[[#This Row],[Class]]="B", WORKDAY(Main[[#This Row],[Tech Start Date]],15),IF(Main[[#This Row],[Class]]="A",WORKDAY(Main[[#This Row],[Tech Start Date]],5),""))))</f>
        <v/>
      </c>
      <c r="P625" s="114" t="str">
        <f>IF(Main[[#This Row],[Tech Start Date]]&lt;1/1/1990,"",IF(Main[[#This Row],[Class]]="C",WORKDAY(Main[[#This Row],[Tech Start Date]],28),IF(Main[[#This Row],[Class]]="B", WORKDAY(Main[[#This Row],[Tech Start Date]],19),IF(Main[[#This Row],[Class]]="A",WORKDAY(Main[[#This Row],[Tech Start Date]],9),""))))</f>
        <v/>
      </c>
      <c r="Q625" s="129"/>
      <c r="R625" s="129"/>
      <c r="S625" s="139" t="s">
        <v>11</v>
      </c>
      <c r="T625" s="115" t="s">
        <v>4</v>
      </c>
      <c r="U625" s="139" t="s">
        <v>12</v>
      </c>
      <c r="V625" s="139" t="s">
        <v>1914</v>
      </c>
      <c r="W625" s="139" t="s">
        <v>1922</v>
      </c>
      <c r="X625" s="139" t="s">
        <v>907</v>
      </c>
      <c r="Y625" s="112" t="s">
        <v>4</v>
      </c>
      <c r="Z625" s="112" t="s">
        <v>4</v>
      </c>
      <c r="AA625" s="139" t="s">
        <v>4</v>
      </c>
    </row>
    <row r="626" spans="1:27" ht="17.25" customHeight="1">
      <c r="A626" s="69" t="str">
        <f>IF(priority(Main[[#This Row],[Comments]])&lt;&gt;0, priority(Main[[#This Row],[Comments]]),"")</f>
        <v/>
      </c>
      <c r="B626" s="63" t="s">
        <v>1450</v>
      </c>
      <c r="C626" s="148" t="s">
        <v>284</v>
      </c>
      <c r="D626" s="113" t="s">
        <v>540</v>
      </c>
      <c r="E626" s="129"/>
      <c r="F626" s="129"/>
      <c r="G626" s="69" t="str">
        <f>IF(stdProdLT(Main[[#This Row],[Comments]])=0.1,"N/A",IF(stdProdLT(Main[[#This Row],[Comments]])=0,"",stdProdLT(Main[[#This Row],[Comments]])))</f>
        <v/>
      </c>
      <c r="H626" s="138" t="str">
        <f>IF(Main[[#This Row],[In Stock Date]]="N/A", "N/A",IF(AND(Main[[#This Row],[In Stock Date]]&lt;&gt;"",Main[[#This Row],[Revised Due Date]]&lt;&gt;"",Main[[#This Row],[In Stock Date]]&lt;&gt;""),Main[[#This Row],[In Stock Date]]-Main[[#This Row],[Revised Due Date]],""))</f>
        <v/>
      </c>
      <c r="I626" s="139" t="s">
        <v>4</v>
      </c>
      <c r="J626" s="139" t="s">
        <v>4</v>
      </c>
      <c r="K626" s="139" t="s">
        <v>4</v>
      </c>
      <c r="L626" s="129"/>
      <c r="M626" s="114" t="str">
        <f>IF(Main[[#This Row],[Tech Start Date]]&lt;1/1/1990,"",IF(Main[[#This Row],[Class]]="C",WORKDAY(Main[[#This Row],[Tech Start Date]],9),IF(Main[[#This Row],[Class]]="B", WORKDAY(Main[[#This Row],[Tech Start Date]],6),IF(Main[[#This Row],[Class]]="A",WORKDAY(Main[[#This Row],[Tech Start Date]],2),""))))</f>
        <v/>
      </c>
      <c r="N626" s="114" t="str">
        <f>IF(Main[[#This Row],[Tech Start Date]]&lt;1/1/1990,"",IF(Main[[#This Row],[Class]]="C",WORKDAY(Main[[#This Row],[Tech Start Date]],19),IF(Main[[#This Row],[Class]]="B", WORKDAY(Main[[#This Row],[Tech Start Date]],12),IF(Main[[#This Row],[Class]]="A",WORKDAY(Main[[#This Row],[Tech Start Date]],4),""))))</f>
        <v/>
      </c>
      <c r="O626" s="114" t="str">
        <f>IF(Main[[#This Row],[Tech Start Date]]&lt;1/1/1990,"",IF(Main[[#This Row],[Class]]="C",WORKDAY(Main[[#This Row],[Tech Start Date]],23),IF(Main[[#This Row],[Class]]="B", WORKDAY(Main[[#This Row],[Tech Start Date]],15),IF(Main[[#This Row],[Class]]="A",WORKDAY(Main[[#This Row],[Tech Start Date]],5),""))))</f>
        <v/>
      </c>
      <c r="P626" s="114" t="str">
        <f>IF(Main[[#This Row],[Tech Start Date]]&lt;1/1/1990,"",IF(Main[[#This Row],[Class]]="C",WORKDAY(Main[[#This Row],[Tech Start Date]],28),IF(Main[[#This Row],[Class]]="B", WORKDAY(Main[[#This Row],[Tech Start Date]],19),IF(Main[[#This Row],[Class]]="A",WORKDAY(Main[[#This Row],[Tech Start Date]],9),""))))</f>
        <v/>
      </c>
      <c r="Q626" s="129">
        <v>40147</v>
      </c>
      <c r="R626" s="129"/>
      <c r="S626" s="139" t="s">
        <v>11</v>
      </c>
      <c r="T626" s="115" t="s">
        <v>4</v>
      </c>
      <c r="U626" s="139" t="s">
        <v>14</v>
      </c>
      <c r="V626" s="139" t="s">
        <v>1924</v>
      </c>
      <c r="W626" s="139" t="s">
        <v>1922</v>
      </c>
      <c r="X626" s="139" t="s">
        <v>2817</v>
      </c>
      <c r="Y626" s="112" t="s">
        <v>4</v>
      </c>
      <c r="Z626" s="112" t="s">
        <v>4</v>
      </c>
      <c r="AA626" s="139" t="s">
        <v>2817</v>
      </c>
    </row>
    <row r="627" spans="1:27" ht="17.25" customHeight="1">
      <c r="A627" s="69" t="str">
        <f>IF(priority(Main[[#This Row],[Comments]])&lt;&gt;0, priority(Main[[#This Row],[Comments]]),"")</f>
        <v/>
      </c>
      <c r="B627" s="63" t="s">
        <v>1451</v>
      </c>
      <c r="C627" s="148" t="s">
        <v>31</v>
      </c>
      <c r="D627" s="113" t="s">
        <v>541</v>
      </c>
      <c r="E627" s="129"/>
      <c r="F627" s="129">
        <v>40512</v>
      </c>
      <c r="G627" s="69" t="str">
        <f>IF(stdProdLT(Main[[#This Row],[Comments]])=0.1,"N/A",IF(stdProdLT(Main[[#This Row],[Comments]])=0,"",stdProdLT(Main[[#This Row],[Comments]])))</f>
        <v/>
      </c>
      <c r="H627" s="138" t="str">
        <f>IF(Main[[#This Row],[In Stock Date]]="N/A", "N/A",IF(AND(Main[[#This Row],[In Stock Date]]&lt;&gt;"",Main[[#This Row],[Revised Due Date]]&lt;&gt;"",Main[[#This Row],[In Stock Date]]&lt;&gt;""),Main[[#This Row],[In Stock Date]]-Main[[#This Row],[Revised Due Date]],""))</f>
        <v/>
      </c>
      <c r="I627" s="139" t="s">
        <v>4</v>
      </c>
      <c r="J627" s="139" t="s">
        <v>4</v>
      </c>
      <c r="K627" s="139" t="s">
        <v>4</v>
      </c>
      <c r="L627" s="129"/>
      <c r="M627" s="114" t="str">
        <f>IF(Main[[#This Row],[Tech Start Date]]&lt;1/1/1990,"",IF(Main[[#This Row],[Class]]="C",WORKDAY(Main[[#This Row],[Tech Start Date]],9),IF(Main[[#This Row],[Class]]="B", WORKDAY(Main[[#This Row],[Tech Start Date]],6),IF(Main[[#This Row],[Class]]="A",WORKDAY(Main[[#This Row],[Tech Start Date]],2),""))))</f>
        <v/>
      </c>
      <c r="N627" s="114" t="str">
        <f>IF(Main[[#This Row],[Tech Start Date]]&lt;1/1/1990,"",IF(Main[[#This Row],[Class]]="C",WORKDAY(Main[[#This Row],[Tech Start Date]],19),IF(Main[[#This Row],[Class]]="B", WORKDAY(Main[[#This Row],[Tech Start Date]],12),IF(Main[[#This Row],[Class]]="A",WORKDAY(Main[[#This Row],[Tech Start Date]],4),""))))</f>
        <v/>
      </c>
      <c r="O627" s="114" t="str">
        <f>IF(Main[[#This Row],[Tech Start Date]]&lt;1/1/1990,"",IF(Main[[#This Row],[Class]]="C",WORKDAY(Main[[#This Row],[Tech Start Date]],23),IF(Main[[#This Row],[Class]]="B", WORKDAY(Main[[#This Row],[Tech Start Date]],15),IF(Main[[#This Row],[Class]]="A",WORKDAY(Main[[#This Row],[Tech Start Date]],5),""))))</f>
        <v/>
      </c>
      <c r="P627" s="114" t="str">
        <f>IF(Main[[#This Row],[Tech Start Date]]&lt;1/1/1990,"",IF(Main[[#This Row],[Class]]="C",WORKDAY(Main[[#This Row],[Tech Start Date]],28),IF(Main[[#This Row],[Class]]="B", WORKDAY(Main[[#This Row],[Tech Start Date]],19),IF(Main[[#This Row],[Class]]="A",WORKDAY(Main[[#This Row],[Tech Start Date]],9),""))))</f>
        <v/>
      </c>
      <c r="Q627" s="129">
        <v>40415</v>
      </c>
      <c r="R627" s="129"/>
      <c r="S627" s="139" t="s">
        <v>11</v>
      </c>
      <c r="T627" s="115" t="s">
        <v>4</v>
      </c>
      <c r="U627" s="139" t="s">
        <v>14</v>
      </c>
      <c r="V627" s="139" t="s">
        <v>1917</v>
      </c>
      <c r="W627" s="139" t="s">
        <v>1920</v>
      </c>
      <c r="X627" s="139" t="s">
        <v>2830</v>
      </c>
      <c r="Y627" s="112" t="s">
        <v>2953</v>
      </c>
      <c r="Z627" s="112" t="s">
        <v>4</v>
      </c>
      <c r="AA627" s="139" t="s">
        <v>2830</v>
      </c>
    </row>
    <row r="628" spans="1:27" ht="17.25" customHeight="1">
      <c r="A628" s="69" t="str">
        <f>IF(priority(Main[[#This Row],[Comments]])&lt;&gt;0, priority(Main[[#This Row],[Comments]]),"")</f>
        <v/>
      </c>
      <c r="B628" s="63" t="s">
        <v>1452</v>
      </c>
      <c r="C628" s="148" t="s">
        <v>542</v>
      </c>
      <c r="D628" s="113" t="s">
        <v>543</v>
      </c>
      <c r="E628" s="129"/>
      <c r="F628" s="129">
        <v>40179</v>
      </c>
      <c r="G628" s="69" t="str">
        <f>IF(stdProdLT(Main[[#This Row],[Comments]])=0.1,"N/A",IF(stdProdLT(Main[[#This Row],[Comments]])=0,"",stdProdLT(Main[[#This Row],[Comments]])))</f>
        <v/>
      </c>
      <c r="H628" s="138" t="str">
        <f>IF(Main[[#This Row],[In Stock Date]]="N/A", "N/A",IF(AND(Main[[#This Row],[In Stock Date]]&lt;&gt;"",Main[[#This Row],[Revised Due Date]]&lt;&gt;"",Main[[#This Row],[In Stock Date]]&lt;&gt;""),Main[[#This Row],[In Stock Date]]-Main[[#This Row],[Revised Due Date]],""))</f>
        <v/>
      </c>
      <c r="I628" s="139" t="s">
        <v>4</v>
      </c>
      <c r="J628" s="139" t="s">
        <v>4</v>
      </c>
      <c r="K628" s="139" t="s">
        <v>4</v>
      </c>
      <c r="L628" s="129"/>
      <c r="M628" s="114" t="str">
        <f>IF(Main[[#This Row],[Tech Start Date]]&lt;1/1/1990,"",IF(Main[[#This Row],[Class]]="C",WORKDAY(Main[[#This Row],[Tech Start Date]],9),IF(Main[[#This Row],[Class]]="B", WORKDAY(Main[[#This Row],[Tech Start Date]],6),IF(Main[[#This Row],[Class]]="A",WORKDAY(Main[[#This Row],[Tech Start Date]],2),""))))</f>
        <v/>
      </c>
      <c r="N628" s="114" t="str">
        <f>IF(Main[[#This Row],[Tech Start Date]]&lt;1/1/1990,"",IF(Main[[#This Row],[Class]]="C",WORKDAY(Main[[#This Row],[Tech Start Date]],19),IF(Main[[#This Row],[Class]]="B", WORKDAY(Main[[#This Row],[Tech Start Date]],12),IF(Main[[#This Row],[Class]]="A",WORKDAY(Main[[#This Row],[Tech Start Date]],4),""))))</f>
        <v/>
      </c>
      <c r="O628" s="114" t="str">
        <f>IF(Main[[#This Row],[Tech Start Date]]&lt;1/1/1990,"",IF(Main[[#This Row],[Class]]="C",WORKDAY(Main[[#This Row],[Tech Start Date]],23),IF(Main[[#This Row],[Class]]="B", WORKDAY(Main[[#This Row],[Tech Start Date]],15),IF(Main[[#This Row],[Class]]="A",WORKDAY(Main[[#This Row],[Tech Start Date]],5),""))))</f>
        <v/>
      </c>
      <c r="P628" s="114" t="str">
        <f>IF(Main[[#This Row],[Tech Start Date]]&lt;1/1/1990,"",IF(Main[[#This Row],[Class]]="C",WORKDAY(Main[[#This Row],[Tech Start Date]],28),IF(Main[[#This Row],[Class]]="B", WORKDAY(Main[[#This Row],[Tech Start Date]],19),IF(Main[[#This Row],[Class]]="A",WORKDAY(Main[[#This Row],[Tech Start Date]],9),""))))</f>
        <v/>
      </c>
      <c r="Q628" s="129">
        <v>40179</v>
      </c>
      <c r="R628" s="129"/>
      <c r="S628" s="139" t="s">
        <v>11</v>
      </c>
      <c r="T628" s="115" t="s">
        <v>4</v>
      </c>
      <c r="U628" s="139" t="s">
        <v>14</v>
      </c>
      <c r="V628" s="139" t="s">
        <v>1914</v>
      </c>
      <c r="W628" s="139" t="s">
        <v>1922</v>
      </c>
      <c r="X628" s="139" t="s">
        <v>2850</v>
      </c>
      <c r="Y628" s="112" t="s">
        <v>4</v>
      </c>
      <c r="Z628" s="112" t="s">
        <v>4</v>
      </c>
      <c r="AA628" s="139" t="s">
        <v>2850</v>
      </c>
    </row>
    <row r="629" spans="1:27" ht="17.25" customHeight="1">
      <c r="A629" s="69" t="str">
        <f>IF(priority(Main[[#This Row],[Comments]])&lt;&gt;0, priority(Main[[#This Row],[Comments]]),"")</f>
        <v/>
      </c>
      <c r="B629" s="63" t="s">
        <v>1453</v>
      </c>
      <c r="C629" s="148" t="s">
        <v>4</v>
      </c>
      <c r="D629" s="113" t="s">
        <v>544</v>
      </c>
      <c r="E629" s="129">
        <v>40675.613807870373</v>
      </c>
      <c r="F629" s="129"/>
      <c r="G629" s="69" t="str">
        <f>IF(stdProdLT(Main[[#This Row],[Comments]])=0.1,"N/A",IF(stdProdLT(Main[[#This Row],[Comments]])=0,"",stdProdLT(Main[[#This Row],[Comments]])))</f>
        <v/>
      </c>
      <c r="H629" s="138" t="str">
        <f>IF(Main[[#This Row],[In Stock Date]]="N/A", "N/A",IF(AND(Main[[#This Row],[In Stock Date]]&lt;&gt;"",Main[[#This Row],[Revised Due Date]]&lt;&gt;"",Main[[#This Row],[In Stock Date]]&lt;&gt;""),Main[[#This Row],[In Stock Date]]-Main[[#This Row],[Revised Due Date]],""))</f>
        <v/>
      </c>
      <c r="I629" s="139" t="s">
        <v>4</v>
      </c>
      <c r="J629" s="139" t="s">
        <v>4</v>
      </c>
      <c r="K629" s="140" t="s">
        <v>4</v>
      </c>
      <c r="L629" s="129"/>
      <c r="M629" s="114" t="str">
        <f>IF(Main[[#This Row],[Tech Start Date]]&lt;1/1/1990,"",IF(Main[[#This Row],[Class]]="C",WORKDAY(Main[[#This Row],[Tech Start Date]],9),IF(Main[[#This Row],[Class]]="B", WORKDAY(Main[[#This Row],[Tech Start Date]],6),IF(Main[[#This Row],[Class]]="A",WORKDAY(Main[[#This Row],[Tech Start Date]],2),""))))</f>
        <v/>
      </c>
      <c r="N629" s="114" t="str">
        <f>IF(Main[[#This Row],[Tech Start Date]]&lt;1/1/1990,"",IF(Main[[#This Row],[Class]]="C",WORKDAY(Main[[#This Row],[Tech Start Date]],19),IF(Main[[#This Row],[Class]]="B", WORKDAY(Main[[#This Row],[Tech Start Date]],12),IF(Main[[#This Row],[Class]]="A",WORKDAY(Main[[#This Row],[Tech Start Date]],4),""))))</f>
        <v/>
      </c>
      <c r="O629" s="114" t="str">
        <f>IF(Main[[#This Row],[Tech Start Date]]&lt;1/1/1990,"",IF(Main[[#This Row],[Class]]="C",WORKDAY(Main[[#This Row],[Tech Start Date]],23),IF(Main[[#This Row],[Class]]="B", WORKDAY(Main[[#This Row],[Tech Start Date]],15),IF(Main[[#This Row],[Class]]="A",WORKDAY(Main[[#This Row],[Tech Start Date]],5),""))))</f>
        <v/>
      </c>
      <c r="P629" s="114" t="str">
        <f>IF(Main[[#This Row],[Tech Start Date]]&lt;1/1/1990,"",IF(Main[[#This Row],[Class]]="C",WORKDAY(Main[[#This Row],[Tech Start Date]],28),IF(Main[[#This Row],[Class]]="B", WORKDAY(Main[[#This Row],[Tech Start Date]],19),IF(Main[[#This Row],[Class]]="A",WORKDAY(Main[[#This Row],[Tech Start Date]],9),""))))</f>
        <v/>
      </c>
      <c r="Q629" s="129">
        <v>40676</v>
      </c>
      <c r="R629" s="129"/>
      <c r="S629" s="139" t="s">
        <v>6</v>
      </c>
      <c r="T629" s="115" t="s">
        <v>4</v>
      </c>
      <c r="U629" s="139" t="s">
        <v>7</v>
      </c>
      <c r="V629" s="139" t="s">
        <v>1914</v>
      </c>
      <c r="W629" s="139" t="s">
        <v>1918</v>
      </c>
      <c r="X629" s="139" t="s">
        <v>126</v>
      </c>
      <c r="Y629" s="112" t="s">
        <v>3033</v>
      </c>
      <c r="Z629" s="112" t="s">
        <v>4</v>
      </c>
      <c r="AA629" s="139" t="s">
        <v>126</v>
      </c>
    </row>
    <row r="630" spans="1:27" ht="17.25" customHeight="1">
      <c r="A630" s="69" t="str">
        <f>IF(priority(Main[[#This Row],[Comments]])&lt;&gt;0, priority(Main[[#This Row],[Comments]]),"")</f>
        <v/>
      </c>
      <c r="B630" s="63" t="s">
        <v>1454</v>
      </c>
      <c r="C630" s="148" t="s">
        <v>4</v>
      </c>
      <c r="D630" s="113" t="s">
        <v>545</v>
      </c>
      <c r="E630" s="129">
        <v>40519.5781712963</v>
      </c>
      <c r="F630" s="129"/>
      <c r="G630" s="69" t="str">
        <f>IF(stdProdLT(Main[[#This Row],[Comments]])=0.1,"N/A",IF(stdProdLT(Main[[#This Row],[Comments]])=0,"",stdProdLT(Main[[#This Row],[Comments]])))</f>
        <v/>
      </c>
      <c r="H630" s="138" t="str">
        <f>IF(Main[[#This Row],[In Stock Date]]="N/A", "N/A",IF(AND(Main[[#This Row],[In Stock Date]]&lt;&gt;"",Main[[#This Row],[Revised Due Date]]&lt;&gt;"",Main[[#This Row],[In Stock Date]]&lt;&gt;""),Main[[#This Row],[In Stock Date]]-Main[[#This Row],[Revised Due Date]],""))</f>
        <v/>
      </c>
      <c r="I630" s="139" t="s">
        <v>4</v>
      </c>
      <c r="J630" s="139" t="s">
        <v>28</v>
      </c>
      <c r="K630" s="139" t="s">
        <v>4</v>
      </c>
      <c r="L630" s="129"/>
      <c r="M630" s="114" t="str">
        <f>IF(Main[[#This Row],[Tech Start Date]]&lt;1/1/1990,"",IF(Main[[#This Row],[Class]]="C",WORKDAY(Main[[#This Row],[Tech Start Date]],9),IF(Main[[#This Row],[Class]]="B", WORKDAY(Main[[#This Row],[Tech Start Date]],6),IF(Main[[#This Row],[Class]]="A",WORKDAY(Main[[#This Row],[Tech Start Date]],2),""))))</f>
        <v/>
      </c>
      <c r="N630" s="114" t="str">
        <f>IF(Main[[#This Row],[Tech Start Date]]&lt;1/1/1990,"",IF(Main[[#This Row],[Class]]="C",WORKDAY(Main[[#This Row],[Tech Start Date]],19),IF(Main[[#This Row],[Class]]="B", WORKDAY(Main[[#This Row],[Tech Start Date]],12),IF(Main[[#This Row],[Class]]="A",WORKDAY(Main[[#This Row],[Tech Start Date]],4),""))))</f>
        <v/>
      </c>
      <c r="O630" s="114" t="str">
        <f>IF(Main[[#This Row],[Tech Start Date]]&lt;1/1/1990,"",IF(Main[[#This Row],[Class]]="C",WORKDAY(Main[[#This Row],[Tech Start Date]],23),IF(Main[[#This Row],[Class]]="B", WORKDAY(Main[[#This Row],[Tech Start Date]],15),IF(Main[[#This Row],[Class]]="A",WORKDAY(Main[[#This Row],[Tech Start Date]],5),""))))</f>
        <v/>
      </c>
      <c r="P630" s="114" t="str">
        <f>IF(Main[[#This Row],[Tech Start Date]]&lt;1/1/1990,"",IF(Main[[#This Row],[Class]]="C",WORKDAY(Main[[#This Row],[Tech Start Date]],28),IF(Main[[#This Row],[Class]]="B", WORKDAY(Main[[#This Row],[Tech Start Date]],19),IF(Main[[#This Row],[Class]]="A",WORKDAY(Main[[#This Row],[Tech Start Date]],9),""))))</f>
        <v/>
      </c>
      <c r="Q630" s="129"/>
      <c r="R630" s="129"/>
      <c r="S630" s="139" t="s">
        <v>6</v>
      </c>
      <c r="T630" s="115" t="s">
        <v>4</v>
      </c>
      <c r="U630" s="139" t="s">
        <v>7</v>
      </c>
      <c r="V630" s="139" t="s">
        <v>1914</v>
      </c>
      <c r="W630" s="139" t="s">
        <v>1916</v>
      </c>
      <c r="X630" s="139" t="s">
        <v>2819</v>
      </c>
      <c r="Y630" s="112" t="s">
        <v>2932</v>
      </c>
      <c r="Z630" s="112" t="s">
        <v>129</v>
      </c>
      <c r="AA630" s="139" t="s">
        <v>2819</v>
      </c>
    </row>
    <row r="631" spans="1:27" ht="17.25" customHeight="1">
      <c r="A631" s="69" t="str">
        <f>IF(priority(Main[[#This Row],[Comments]])&lt;&gt;0, priority(Main[[#This Row],[Comments]]),"")</f>
        <v/>
      </c>
      <c r="B631" s="63" t="s">
        <v>1455</v>
      </c>
      <c r="C631" s="148" t="s">
        <v>546</v>
      </c>
      <c r="D631" s="113" t="s">
        <v>547</v>
      </c>
      <c r="E631" s="129"/>
      <c r="F631" s="129">
        <v>40549</v>
      </c>
      <c r="G631" s="69" t="str">
        <f>IF(stdProdLT(Main[[#This Row],[Comments]])=0.1,"N/A",IF(stdProdLT(Main[[#This Row],[Comments]])=0,"",stdProdLT(Main[[#This Row],[Comments]])))</f>
        <v/>
      </c>
      <c r="H631" s="138" t="str">
        <f>IF(Main[[#This Row],[In Stock Date]]="N/A", "N/A",IF(AND(Main[[#This Row],[In Stock Date]]&lt;&gt;"",Main[[#This Row],[Revised Due Date]]&lt;&gt;"",Main[[#This Row],[In Stock Date]]&lt;&gt;""),Main[[#This Row],[In Stock Date]]-Main[[#This Row],[Revised Due Date]],""))</f>
        <v/>
      </c>
      <c r="I631" s="139" t="s">
        <v>4</v>
      </c>
      <c r="J631" s="139" t="s">
        <v>4</v>
      </c>
      <c r="K631" s="139" t="s">
        <v>4</v>
      </c>
      <c r="L631" s="129"/>
      <c r="M631" s="114" t="str">
        <f>IF(Main[[#This Row],[Tech Start Date]]&lt;1/1/1990,"",IF(Main[[#This Row],[Class]]="C",WORKDAY(Main[[#This Row],[Tech Start Date]],9),IF(Main[[#This Row],[Class]]="B", WORKDAY(Main[[#This Row],[Tech Start Date]],6),IF(Main[[#This Row],[Class]]="A",WORKDAY(Main[[#This Row],[Tech Start Date]],2),""))))</f>
        <v/>
      </c>
      <c r="N631" s="114" t="str">
        <f>IF(Main[[#This Row],[Tech Start Date]]&lt;1/1/1990,"",IF(Main[[#This Row],[Class]]="C",WORKDAY(Main[[#This Row],[Tech Start Date]],19),IF(Main[[#This Row],[Class]]="B", WORKDAY(Main[[#This Row],[Tech Start Date]],12),IF(Main[[#This Row],[Class]]="A",WORKDAY(Main[[#This Row],[Tech Start Date]],4),""))))</f>
        <v/>
      </c>
      <c r="O631" s="114" t="str">
        <f>IF(Main[[#This Row],[Tech Start Date]]&lt;1/1/1990,"",IF(Main[[#This Row],[Class]]="C",WORKDAY(Main[[#This Row],[Tech Start Date]],23),IF(Main[[#This Row],[Class]]="B", WORKDAY(Main[[#This Row],[Tech Start Date]],15),IF(Main[[#This Row],[Class]]="A",WORKDAY(Main[[#This Row],[Tech Start Date]],5),""))))</f>
        <v/>
      </c>
      <c r="P631" s="114" t="str">
        <f>IF(Main[[#This Row],[Tech Start Date]]&lt;1/1/1990,"",IF(Main[[#This Row],[Class]]="C",WORKDAY(Main[[#This Row],[Tech Start Date]],28),IF(Main[[#This Row],[Class]]="B", WORKDAY(Main[[#This Row],[Tech Start Date]],19),IF(Main[[#This Row],[Class]]="A",WORKDAY(Main[[#This Row],[Tech Start Date]],9),""))))</f>
        <v/>
      </c>
      <c r="Q631" s="129">
        <v>40464</v>
      </c>
      <c r="R631" s="129"/>
      <c r="S631" s="139" t="s">
        <v>11</v>
      </c>
      <c r="T631" s="115" t="s">
        <v>4</v>
      </c>
      <c r="U631" s="139" t="s">
        <v>14</v>
      </c>
      <c r="V631" s="139" t="s">
        <v>1917</v>
      </c>
      <c r="W631" s="139" t="s">
        <v>1920</v>
      </c>
      <c r="X631" s="139" t="s">
        <v>2830</v>
      </c>
      <c r="Y631" s="112" t="s">
        <v>2953</v>
      </c>
      <c r="Z631" s="112" t="s">
        <v>4</v>
      </c>
      <c r="AA631" s="139" t="s">
        <v>2830</v>
      </c>
    </row>
    <row r="632" spans="1:27" ht="17.25" customHeight="1">
      <c r="A632" s="69" t="str">
        <f>IF(priority(Main[[#This Row],[Comments]])&lt;&gt;0, priority(Main[[#This Row],[Comments]]),"")</f>
        <v/>
      </c>
      <c r="B632" s="63" t="s">
        <v>1467</v>
      </c>
      <c r="C632" s="148" t="s">
        <v>72</v>
      </c>
      <c r="D632" s="113" t="s">
        <v>548</v>
      </c>
      <c r="E632" s="129"/>
      <c r="F632" s="129">
        <v>40030</v>
      </c>
      <c r="G632" s="69" t="str">
        <f>IF(stdProdLT(Main[[#This Row],[Comments]])=0.1,"N/A",IF(stdProdLT(Main[[#This Row],[Comments]])=0,"",stdProdLT(Main[[#This Row],[Comments]])))</f>
        <v/>
      </c>
      <c r="H632" s="138" t="str">
        <f>IF(Main[[#This Row],[In Stock Date]]="N/A", "N/A",IF(AND(Main[[#This Row],[In Stock Date]]&lt;&gt;"",Main[[#This Row],[Revised Due Date]]&lt;&gt;"",Main[[#This Row],[In Stock Date]]&lt;&gt;""),Main[[#This Row],[In Stock Date]]-Main[[#This Row],[Revised Due Date]],""))</f>
        <v/>
      </c>
      <c r="I632" s="139" t="s">
        <v>4</v>
      </c>
      <c r="J632" s="139" t="s">
        <v>4</v>
      </c>
      <c r="K632" s="139" t="s">
        <v>4</v>
      </c>
      <c r="L632" s="129"/>
      <c r="M632" s="114" t="str">
        <f>IF(Main[[#This Row],[Tech Start Date]]&lt;1/1/1990,"",IF(Main[[#This Row],[Class]]="C",WORKDAY(Main[[#This Row],[Tech Start Date]],9),IF(Main[[#This Row],[Class]]="B", WORKDAY(Main[[#This Row],[Tech Start Date]],6),IF(Main[[#This Row],[Class]]="A",WORKDAY(Main[[#This Row],[Tech Start Date]],2),""))))</f>
        <v/>
      </c>
      <c r="N632" s="114" t="str">
        <f>IF(Main[[#This Row],[Tech Start Date]]&lt;1/1/1990,"",IF(Main[[#This Row],[Class]]="C",WORKDAY(Main[[#This Row],[Tech Start Date]],19),IF(Main[[#This Row],[Class]]="B", WORKDAY(Main[[#This Row],[Tech Start Date]],12),IF(Main[[#This Row],[Class]]="A",WORKDAY(Main[[#This Row],[Tech Start Date]],4),""))))</f>
        <v/>
      </c>
      <c r="O632" s="114" t="str">
        <f>IF(Main[[#This Row],[Tech Start Date]]&lt;1/1/1990,"",IF(Main[[#This Row],[Class]]="C",WORKDAY(Main[[#This Row],[Tech Start Date]],23),IF(Main[[#This Row],[Class]]="B", WORKDAY(Main[[#This Row],[Tech Start Date]],15),IF(Main[[#This Row],[Class]]="A",WORKDAY(Main[[#This Row],[Tech Start Date]],5),""))))</f>
        <v/>
      </c>
      <c r="P632" s="114" t="str">
        <f>IF(Main[[#This Row],[Tech Start Date]]&lt;1/1/1990,"",IF(Main[[#This Row],[Class]]="C",WORKDAY(Main[[#This Row],[Tech Start Date]],28),IF(Main[[#This Row],[Class]]="B", WORKDAY(Main[[#This Row],[Tech Start Date]],19),IF(Main[[#This Row],[Class]]="A",WORKDAY(Main[[#This Row],[Tech Start Date]],9),""))))</f>
        <v/>
      </c>
      <c r="Q632" s="129">
        <v>39959</v>
      </c>
      <c r="R632" s="129"/>
      <c r="S632" s="139" t="s">
        <v>11</v>
      </c>
      <c r="T632" s="115" t="s">
        <v>4</v>
      </c>
      <c r="U632" s="139" t="s">
        <v>14</v>
      </c>
      <c r="V632" s="139" t="s">
        <v>1924</v>
      </c>
      <c r="W632" s="139" t="s">
        <v>4</v>
      </c>
      <c r="X632" s="139" t="s">
        <v>2824</v>
      </c>
      <c r="Y632" s="112" t="s">
        <v>2943</v>
      </c>
      <c r="Z632" s="112" t="s">
        <v>4</v>
      </c>
      <c r="AA632" s="139" t="s">
        <v>2824</v>
      </c>
    </row>
    <row r="633" spans="1:27" ht="17.25" customHeight="1">
      <c r="A633" s="69" t="str">
        <f>IF(priority(Main[[#This Row],[Comments]])&lt;&gt;0, priority(Main[[#This Row],[Comments]]),"")</f>
        <v/>
      </c>
      <c r="B633" s="63" t="s">
        <v>1469</v>
      </c>
      <c r="C633" s="148" t="s">
        <v>4</v>
      </c>
      <c r="D633" s="113" t="s">
        <v>549</v>
      </c>
      <c r="E633" s="129"/>
      <c r="F633" s="129"/>
      <c r="G633" s="69" t="str">
        <f>IF(stdProdLT(Main[[#This Row],[Comments]])=0.1,"N/A",IF(stdProdLT(Main[[#This Row],[Comments]])=0,"",stdProdLT(Main[[#This Row],[Comments]])))</f>
        <v/>
      </c>
      <c r="H633" s="138" t="str">
        <f>IF(Main[[#This Row],[In Stock Date]]="N/A", "N/A",IF(AND(Main[[#This Row],[In Stock Date]]&lt;&gt;"",Main[[#This Row],[Revised Due Date]]&lt;&gt;"",Main[[#This Row],[In Stock Date]]&lt;&gt;""),Main[[#This Row],[In Stock Date]]-Main[[#This Row],[Revised Due Date]],""))</f>
        <v/>
      </c>
      <c r="I633" s="139" t="s">
        <v>4</v>
      </c>
      <c r="J633" s="139" t="s">
        <v>4</v>
      </c>
      <c r="K633" s="139" t="s">
        <v>4</v>
      </c>
      <c r="L633" s="129"/>
      <c r="M633" s="114" t="str">
        <f>IF(Main[[#This Row],[Tech Start Date]]&lt;1/1/1990,"",IF(Main[[#This Row],[Class]]="C",WORKDAY(Main[[#This Row],[Tech Start Date]],9),IF(Main[[#This Row],[Class]]="B", WORKDAY(Main[[#This Row],[Tech Start Date]],6),IF(Main[[#This Row],[Class]]="A",WORKDAY(Main[[#This Row],[Tech Start Date]],2),""))))</f>
        <v/>
      </c>
      <c r="N633" s="114" t="str">
        <f>IF(Main[[#This Row],[Tech Start Date]]&lt;1/1/1990,"",IF(Main[[#This Row],[Class]]="C",WORKDAY(Main[[#This Row],[Tech Start Date]],19),IF(Main[[#This Row],[Class]]="B", WORKDAY(Main[[#This Row],[Tech Start Date]],12),IF(Main[[#This Row],[Class]]="A",WORKDAY(Main[[#This Row],[Tech Start Date]],4),""))))</f>
        <v/>
      </c>
      <c r="O633" s="114" t="str">
        <f>IF(Main[[#This Row],[Tech Start Date]]&lt;1/1/1990,"",IF(Main[[#This Row],[Class]]="C",WORKDAY(Main[[#This Row],[Tech Start Date]],23),IF(Main[[#This Row],[Class]]="B", WORKDAY(Main[[#This Row],[Tech Start Date]],15),IF(Main[[#This Row],[Class]]="A",WORKDAY(Main[[#This Row],[Tech Start Date]],5),""))))</f>
        <v/>
      </c>
      <c r="P633" s="114" t="str">
        <f>IF(Main[[#This Row],[Tech Start Date]]&lt;1/1/1990,"",IF(Main[[#This Row],[Class]]="C",WORKDAY(Main[[#This Row],[Tech Start Date]],28),IF(Main[[#This Row],[Class]]="B", WORKDAY(Main[[#This Row],[Tech Start Date]],19),IF(Main[[#This Row],[Class]]="A",WORKDAY(Main[[#This Row],[Tech Start Date]],9),""))))</f>
        <v/>
      </c>
      <c r="Q633" s="129"/>
      <c r="R633" s="129"/>
      <c r="S633" s="139" t="s">
        <v>6</v>
      </c>
      <c r="T633" s="124" t="s">
        <v>4</v>
      </c>
      <c r="U633" s="139" t="s">
        <v>14</v>
      </c>
      <c r="V633" s="139" t="s">
        <v>1917</v>
      </c>
      <c r="W633" s="139" t="s">
        <v>4</v>
      </c>
      <c r="X633" s="139" t="s">
        <v>2887</v>
      </c>
      <c r="Y633" s="112" t="s">
        <v>3043</v>
      </c>
      <c r="Z633" s="112" t="s">
        <v>4</v>
      </c>
      <c r="AA633" s="139" t="s">
        <v>2887</v>
      </c>
    </row>
    <row r="634" spans="1:27" ht="17.25" customHeight="1">
      <c r="A634" s="69" t="str">
        <f>IF(priority(Main[[#This Row],[Comments]])&lt;&gt;0, priority(Main[[#This Row],[Comments]]),"")</f>
        <v/>
      </c>
      <c r="B634" s="63" t="s">
        <v>1470</v>
      </c>
      <c r="C634" s="148" t="s">
        <v>33</v>
      </c>
      <c r="D634" s="113" t="s">
        <v>550</v>
      </c>
      <c r="E634" s="129"/>
      <c r="F634" s="129"/>
      <c r="G634" s="69" t="str">
        <f>IF(stdProdLT(Main[[#This Row],[Comments]])=0.1,"N/A",IF(stdProdLT(Main[[#This Row],[Comments]])=0,"",stdProdLT(Main[[#This Row],[Comments]])))</f>
        <v/>
      </c>
      <c r="H634" s="138" t="str">
        <f>IF(Main[[#This Row],[In Stock Date]]="N/A", "N/A",IF(AND(Main[[#This Row],[In Stock Date]]&lt;&gt;"",Main[[#This Row],[Revised Due Date]]&lt;&gt;"",Main[[#This Row],[In Stock Date]]&lt;&gt;""),Main[[#This Row],[In Stock Date]]-Main[[#This Row],[Revised Due Date]],""))</f>
        <v/>
      </c>
      <c r="I634" s="139" t="s">
        <v>4</v>
      </c>
      <c r="J634" s="139" t="s">
        <v>4</v>
      </c>
      <c r="K634" s="139" t="s">
        <v>4</v>
      </c>
      <c r="L634" s="129"/>
      <c r="M634" s="114" t="str">
        <f>IF(Main[[#This Row],[Tech Start Date]]&lt;1/1/1990,"",IF(Main[[#This Row],[Class]]="C",WORKDAY(Main[[#This Row],[Tech Start Date]],9),IF(Main[[#This Row],[Class]]="B", WORKDAY(Main[[#This Row],[Tech Start Date]],6),IF(Main[[#This Row],[Class]]="A",WORKDAY(Main[[#This Row],[Tech Start Date]],2),""))))</f>
        <v/>
      </c>
      <c r="N634" s="114" t="str">
        <f>IF(Main[[#This Row],[Tech Start Date]]&lt;1/1/1990,"",IF(Main[[#This Row],[Class]]="C",WORKDAY(Main[[#This Row],[Tech Start Date]],19),IF(Main[[#This Row],[Class]]="B", WORKDAY(Main[[#This Row],[Tech Start Date]],12),IF(Main[[#This Row],[Class]]="A",WORKDAY(Main[[#This Row],[Tech Start Date]],4),""))))</f>
        <v/>
      </c>
      <c r="O634" s="114" t="str">
        <f>IF(Main[[#This Row],[Tech Start Date]]&lt;1/1/1990,"",IF(Main[[#This Row],[Class]]="C",WORKDAY(Main[[#This Row],[Tech Start Date]],23),IF(Main[[#This Row],[Class]]="B", WORKDAY(Main[[#This Row],[Tech Start Date]],15),IF(Main[[#This Row],[Class]]="A",WORKDAY(Main[[#This Row],[Tech Start Date]],5),""))))</f>
        <v/>
      </c>
      <c r="P634" s="114" t="str">
        <f>IF(Main[[#This Row],[Tech Start Date]]&lt;1/1/1990,"",IF(Main[[#This Row],[Class]]="C",WORKDAY(Main[[#This Row],[Tech Start Date]],28),IF(Main[[#This Row],[Class]]="B", WORKDAY(Main[[#This Row],[Tech Start Date]],19),IF(Main[[#This Row],[Class]]="A",WORKDAY(Main[[#This Row],[Tech Start Date]],9),""))))</f>
        <v/>
      </c>
      <c r="Q634" s="129">
        <v>40004</v>
      </c>
      <c r="R634" s="129"/>
      <c r="S634" s="139" t="s">
        <v>11</v>
      </c>
      <c r="T634" s="115" t="s">
        <v>4</v>
      </c>
      <c r="U634" s="139" t="s">
        <v>14</v>
      </c>
      <c r="V634" s="139" t="s">
        <v>1914</v>
      </c>
      <c r="W634" s="139" t="s">
        <v>1922</v>
      </c>
      <c r="X634" s="139" t="s">
        <v>2853</v>
      </c>
      <c r="Y634" s="112" t="s">
        <v>2991</v>
      </c>
      <c r="Z634" s="112" t="s">
        <v>4</v>
      </c>
      <c r="AA634" s="139" t="s">
        <v>2853</v>
      </c>
    </row>
    <row r="635" spans="1:27" ht="17.25" customHeight="1">
      <c r="A635" s="69" t="str">
        <f>IF(priority(Main[[#This Row],[Comments]])&lt;&gt;0, priority(Main[[#This Row],[Comments]]),"")</f>
        <v/>
      </c>
      <c r="B635" s="63" t="s">
        <v>1471</v>
      </c>
      <c r="C635" s="148" t="s">
        <v>551</v>
      </c>
      <c r="D635" s="113" t="s">
        <v>552</v>
      </c>
      <c r="E635" s="129"/>
      <c r="F635" s="129"/>
      <c r="G635" s="69" t="str">
        <f>IF(stdProdLT(Main[[#This Row],[Comments]])=0.1,"N/A",IF(stdProdLT(Main[[#This Row],[Comments]])=0,"",stdProdLT(Main[[#This Row],[Comments]])))</f>
        <v/>
      </c>
      <c r="H635" s="138" t="str">
        <f>IF(Main[[#This Row],[In Stock Date]]="N/A", "N/A",IF(AND(Main[[#This Row],[In Stock Date]]&lt;&gt;"",Main[[#This Row],[Revised Due Date]]&lt;&gt;"",Main[[#This Row],[In Stock Date]]&lt;&gt;""),Main[[#This Row],[In Stock Date]]-Main[[#This Row],[Revised Due Date]],""))</f>
        <v/>
      </c>
      <c r="I635" s="139" t="s">
        <v>553</v>
      </c>
      <c r="J635" s="139" t="s">
        <v>28</v>
      </c>
      <c r="K635" s="139" t="s">
        <v>4</v>
      </c>
      <c r="L635" s="129"/>
      <c r="M635" s="114" t="str">
        <f>IF(Main[[#This Row],[Tech Start Date]]&lt;1/1/1990,"",IF(Main[[#This Row],[Class]]="C",WORKDAY(Main[[#This Row],[Tech Start Date]],9),IF(Main[[#This Row],[Class]]="B", WORKDAY(Main[[#This Row],[Tech Start Date]],6),IF(Main[[#This Row],[Class]]="A",WORKDAY(Main[[#This Row],[Tech Start Date]],2),""))))</f>
        <v/>
      </c>
      <c r="N635" s="114" t="str">
        <f>IF(Main[[#This Row],[Tech Start Date]]&lt;1/1/1990,"",IF(Main[[#This Row],[Class]]="C",WORKDAY(Main[[#This Row],[Tech Start Date]],19),IF(Main[[#This Row],[Class]]="B", WORKDAY(Main[[#This Row],[Tech Start Date]],12),IF(Main[[#This Row],[Class]]="A",WORKDAY(Main[[#This Row],[Tech Start Date]],4),""))))</f>
        <v/>
      </c>
      <c r="O635" s="114" t="str">
        <f>IF(Main[[#This Row],[Tech Start Date]]&lt;1/1/1990,"",IF(Main[[#This Row],[Class]]="C",WORKDAY(Main[[#This Row],[Tech Start Date]],23),IF(Main[[#This Row],[Class]]="B", WORKDAY(Main[[#This Row],[Tech Start Date]],15),IF(Main[[#This Row],[Class]]="A",WORKDAY(Main[[#This Row],[Tech Start Date]],5),""))))</f>
        <v/>
      </c>
      <c r="P635" s="114" t="str">
        <f>IF(Main[[#This Row],[Tech Start Date]]&lt;1/1/1990,"",IF(Main[[#This Row],[Class]]="C",WORKDAY(Main[[#This Row],[Tech Start Date]],28),IF(Main[[#This Row],[Class]]="B", WORKDAY(Main[[#This Row],[Tech Start Date]],19),IF(Main[[#This Row],[Class]]="A",WORKDAY(Main[[#This Row],[Tech Start Date]],9),""))))</f>
        <v/>
      </c>
      <c r="Q635" s="129">
        <v>40401</v>
      </c>
      <c r="R635" s="129"/>
      <c r="S635" s="139" t="s">
        <v>11</v>
      </c>
      <c r="T635" s="115" t="s">
        <v>4</v>
      </c>
      <c r="U635" s="139" t="s">
        <v>14</v>
      </c>
      <c r="V635" s="139" t="s">
        <v>1924</v>
      </c>
      <c r="W635" s="139" t="s">
        <v>1916</v>
      </c>
      <c r="X635" s="139" t="s">
        <v>2854</v>
      </c>
      <c r="Y635" s="112" t="s">
        <v>3054</v>
      </c>
      <c r="Z635" s="112" t="s">
        <v>530</v>
      </c>
      <c r="AA635" s="139" t="s">
        <v>2854</v>
      </c>
    </row>
    <row r="636" spans="1:27" ht="17.25" customHeight="1">
      <c r="A636" s="69" t="str">
        <f>IF(priority(Main[[#This Row],[Comments]])&lt;&gt;0, priority(Main[[#This Row],[Comments]]),"")</f>
        <v/>
      </c>
      <c r="B636" s="63" t="s">
        <v>1472</v>
      </c>
      <c r="C636" s="148" t="s">
        <v>4</v>
      </c>
      <c r="D636" s="113" t="s">
        <v>554</v>
      </c>
      <c r="E636" s="129"/>
      <c r="F636" s="129"/>
      <c r="G636" s="69" t="str">
        <f>IF(stdProdLT(Main[[#This Row],[Comments]])=0.1,"N/A",IF(stdProdLT(Main[[#This Row],[Comments]])=0,"",stdProdLT(Main[[#This Row],[Comments]])))</f>
        <v/>
      </c>
      <c r="H636" s="138" t="str">
        <f>IF(Main[[#This Row],[In Stock Date]]="N/A", "N/A",IF(AND(Main[[#This Row],[In Stock Date]]&lt;&gt;"",Main[[#This Row],[Revised Due Date]]&lt;&gt;"",Main[[#This Row],[In Stock Date]]&lt;&gt;""),Main[[#This Row],[In Stock Date]]-Main[[#This Row],[Revised Due Date]],""))</f>
        <v/>
      </c>
      <c r="I636" s="139" t="s">
        <v>4</v>
      </c>
      <c r="J636" s="139" t="s">
        <v>4</v>
      </c>
      <c r="K636" s="139" t="s">
        <v>4</v>
      </c>
      <c r="L636" s="129"/>
      <c r="M636" s="114" t="str">
        <f>IF(Main[[#This Row],[Tech Start Date]]&lt;1/1/1990,"",IF(Main[[#This Row],[Class]]="C",WORKDAY(Main[[#This Row],[Tech Start Date]],9),IF(Main[[#This Row],[Class]]="B", WORKDAY(Main[[#This Row],[Tech Start Date]],6),IF(Main[[#This Row],[Class]]="A",WORKDAY(Main[[#This Row],[Tech Start Date]],2),""))))</f>
        <v/>
      </c>
      <c r="N636" s="114" t="str">
        <f>IF(Main[[#This Row],[Tech Start Date]]&lt;1/1/1990,"",IF(Main[[#This Row],[Class]]="C",WORKDAY(Main[[#This Row],[Tech Start Date]],19),IF(Main[[#This Row],[Class]]="B", WORKDAY(Main[[#This Row],[Tech Start Date]],12),IF(Main[[#This Row],[Class]]="A",WORKDAY(Main[[#This Row],[Tech Start Date]],4),""))))</f>
        <v/>
      </c>
      <c r="O636" s="114" t="str">
        <f>IF(Main[[#This Row],[Tech Start Date]]&lt;1/1/1990,"",IF(Main[[#This Row],[Class]]="C",WORKDAY(Main[[#This Row],[Tech Start Date]],23),IF(Main[[#This Row],[Class]]="B", WORKDAY(Main[[#This Row],[Tech Start Date]],15),IF(Main[[#This Row],[Class]]="A",WORKDAY(Main[[#This Row],[Tech Start Date]],5),""))))</f>
        <v/>
      </c>
      <c r="P636" s="114" t="str">
        <f>IF(Main[[#This Row],[Tech Start Date]]&lt;1/1/1990,"",IF(Main[[#This Row],[Class]]="C",WORKDAY(Main[[#This Row],[Tech Start Date]],28),IF(Main[[#This Row],[Class]]="B", WORKDAY(Main[[#This Row],[Tech Start Date]],19),IF(Main[[#This Row],[Class]]="A",WORKDAY(Main[[#This Row],[Tech Start Date]],9),""))))</f>
        <v/>
      </c>
      <c r="Q636" s="129">
        <v>40385</v>
      </c>
      <c r="R636" s="129"/>
      <c r="S636" s="139" t="s">
        <v>6</v>
      </c>
      <c r="T636" s="115" t="s">
        <v>4</v>
      </c>
      <c r="U636" s="139" t="s">
        <v>14</v>
      </c>
      <c r="V636" s="139" t="s">
        <v>1914</v>
      </c>
      <c r="W636" s="139" t="s">
        <v>1916</v>
      </c>
      <c r="X636" s="139" t="s">
        <v>102</v>
      </c>
      <c r="Y636" s="112" t="s">
        <v>3032</v>
      </c>
      <c r="Z636" s="112" t="s">
        <v>4</v>
      </c>
      <c r="AA636" s="139" t="s">
        <v>3396</v>
      </c>
    </row>
    <row r="637" spans="1:27" ht="17.25" customHeight="1">
      <c r="A637" s="69" t="str">
        <f>IF(priority(Main[[#This Row],[Comments]])&lt;&gt;0, priority(Main[[#This Row],[Comments]]),"")</f>
        <v/>
      </c>
      <c r="B637" s="63" t="s">
        <v>1474</v>
      </c>
      <c r="C637" s="148" t="s">
        <v>4</v>
      </c>
      <c r="D637" s="113" t="s">
        <v>97</v>
      </c>
      <c r="E637" s="129"/>
      <c r="F637" s="129"/>
      <c r="G637" s="69" t="str">
        <f>IF(stdProdLT(Main[[#This Row],[Comments]])=0.1,"N/A",IF(stdProdLT(Main[[#This Row],[Comments]])=0,"",stdProdLT(Main[[#This Row],[Comments]])))</f>
        <v/>
      </c>
      <c r="H637" s="138" t="str">
        <f>IF(Main[[#This Row],[In Stock Date]]="N/A", "N/A",IF(AND(Main[[#This Row],[In Stock Date]]&lt;&gt;"",Main[[#This Row],[Revised Due Date]]&lt;&gt;"",Main[[#This Row],[In Stock Date]]&lt;&gt;""),Main[[#This Row],[In Stock Date]]-Main[[#This Row],[Revised Due Date]],""))</f>
        <v/>
      </c>
      <c r="I637" s="139" t="s">
        <v>4</v>
      </c>
      <c r="J637" s="139" t="s">
        <v>4</v>
      </c>
      <c r="K637" s="139" t="s">
        <v>4</v>
      </c>
      <c r="L637" s="129"/>
      <c r="M637" s="114" t="str">
        <f>IF(Main[[#This Row],[Tech Start Date]]&lt;1/1/1990,"",IF(Main[[#This Row],[Class]]="C",WORKDAY(Main[[#This Row],[Tech Start Date]],9),IF(Main[[#This Row],[Class]]="B", WORKDAY(Main[[#This Row],[Tech Start Date]],6),IF(Main[[#This Row],[Class]]="A",WORKDAY(Main[[#This Row],[Tech Start Date]],2),""))))</f>
        <v/>
      </c>
      <c r="N637" s="114" t="str">
        <f>IF(Main[[#This Row],[Tech Start Date]]&lt;1/1/1990,"",IF(Main[[#This Row],[Class]]="C",WORKDAY(Main[[#This Row],[Tech Start Date]],19),IF(Main[[#This Row],[Class]]="B", WORKDAY(Main[[#This Row],[Tech Start Date]],12),IF(Main[[#This Row],[Class]]="A",WORKDAY(Main[[#This Row],[Tech Start Date]],4),""))))</f>
        <v/>
      </c>
      <c r="O637" s="114" t="str">
        <f>IF(Main[[#This Row],[Tech Start Date]]&lt;1/1/1990,"",IF(Main[[#This Row],[Class]]="C",WORKDAY(Main[[#This Row],[Tech Start Date]],23),IF(Main[[#This Row],[Class]]="B", WORKDAY(Main[[#This Row],[Tech Start Date]],15),IF(Main[[#This Row],[Class]]="A",WORKDAY(Main[[#This Row],[Tech Start Date]],5),""))))</f>
        <v/>
      </c>
      <c r="P637" s="114" t="str">
        <f>IF(Main[[#This Row],[Tech Start Date]]&lt;1/1/1990,"",IF(Main[[#This Row],[Class]]="C",WORKDAY(Main[[#This Row],[Tech Start Date]],28),IF(Main[[#This Row],[Class]]="B", WORKDAY(Main[[#This Row],[Tech Start Date]],19),IF(Main[[#This Row],[Class]]="A",WORKDAY(Main[[#This Row],[Tech Start Date]],9),""))))</f>
        <v/>
      </c>
      <c r="Q637" s="129">
        <v>40858</v>
      </c>
      <c r="R637" s="129"/>
      <c r="S637" s="139" t="s">
        <v>17</v>
      </c>
      <c r="T637" s="115" t="s">
        <v>4</v>
      </c>
      <c r="U637" s="139" t="s">
        <v>14</v>
      </c>
      <c r="V637" s="139" t="s">
        <v>1914</v>
      </c>
      <c r="W637" s="139" t="s">
        <v>1919</v>
      </c>
      <c r="X637" s="139" t="s">
        <v>50</v>
      </c>
      <c r="Y637" s="112" t="s">
        <v>2959</v>
      </c>
      <c r="Z637" s="112" t="s">
        <v>4</v>
      </c>
      <c r="AA637" s="139" t="s">
        <v>2828</v>
      </c>
    </row>
    <row r="638" spans="1:27" ht="17.25" customHeight="1">
      <c r="A638" s="69" t="str">
        <f>IF(priority(Main[[#This Row],[Comments]])&lt;&gt;0, priority(Main[[#This Row],[Comments]]),"")</f>
        <v/>
      </c>
      <c r="B638" s="63" t="s">
        <v>1475</v>
      </c>
      <c r="C638" s="148" t="s">
        <v>4</v>
      </c>
      <c r="D638" s="113" t="s">
        <v>555</v>
      </c>
      <c r="E638" s="129">
        <v>40382.376319444447</v>
      </c>
      <c r="F638" s="129"/>
      <c r="G638" s="69" t="str">
        <f>IF(stdProdLT(Main[[#This Row],[Comments]])=0.1,"N/A",IF(stdProdLT(Main[[#This Row],[Comments]])=0,"",stdProdLT(Main[[#This Row],[Comments]])))</f>
        <v/>
      </c>
      <c r="H638" s="138" t="str">
        <f>IF(Main[[#This Row],[In Stock Date]]="N/A", "N/A",IF(AND(Main[[#This Row],[In Stock Date]]&lt;&gt;"",Main[[#This Row],[Revised Due Date]]&lt;&gt;"",Main[[#This Row],[In Stock Date]]&lt;&gt;""),Main[[#This Row],[In Stock Date]]-Main[[#This Row],[Revised Due Date]],""))</f>
        <v/>
      </c>
      <c r="I638" s="139" t="s">
        <v>4</v>
      </c>
      <c r="J638" s="139" t="s">
        <v>4</v>
      </c>
      <c r="K638" s="139" t="s">
        <v>4</v>
      </c>
      <c r="L638" s="129"/>
      <c r="M638" s="114" t="str">
        <f>IF(Main[[#This Row],[Tech Start Date]]&lt;1/1/1990,"",IF(Main[[#This Row],[Class]]="C",WORKDAY(Main[[#This Row],[Tech Start Date]],9),IF(Main[[#This Row],[Class]]="B", WORKDAY(Main[[#This Row],[Tech Start Date]],6),IF(Main[[#This Row],[Class]]="A",WORKDAY(Main[[#This Row],[Tech Start Date]],2),""))))</f>
        <v/>
      </c>
      <c r="N638" s="114" t="str">
        <f>IF(Main[[#This Row],[Tech Start Date]]&lt;1/1/1990,"",IF(Main[[#This Row],[Class]]="C",WORKDAY(Main[[#This Row],[Tech Start Date]],19),IF(Main[[#This Row],[Class]]="B", WORKDAY(Main[[#This Row],[Tech Start Date]],12),IF(Main[[#This Row],[Class]]="A",WORKDAY(Main[[#This Row],[Tech Start Date]],4),""))))</f>
        <v/>
      </c>
      <c r="O638" s="114" t="str">
        <f>IF(Main[[#This Row],[Tech Start Date]]&lt;1/1/1990,"",IF(Main[[#This Row],[Class]]="C",WORKDAY(Main[[#This Row],[Tech Start Date]],23),IF(Main[[#This Row],[Class]]="B", WORKDAY(Main[[#This Row],[Tech Start Date]],15),IF(Main[[#This Row],[Class]]="A",WORKDAY(Main[[#This Row],[Tech Start Date]],5),""))))</f>
        <v/>
      </c>
      <c r="P638" s="114" t="str">
        <f>IF(Main[[#This Row],[Tech Start Date]]&lt;1/1/1990,"",IF(Main[[#This Row],[Class]]="C",WORKDAY(Main[[#This Row],[Tech Start Date]],28),IF(Main[[#This Row],[Class]]="B", WORKDAY(Main[[#This Row],[Tech Start Date]],19),IF(Main[[#This Row],[Class]]="A",WORKDAY(Main[[#This Row],[Tech Start Date]],9),""))))</f>
        <v/>
      </c>
      <c r="Q638" s="129">
        <v>40451</v>
      </c>
      <c r="R638" s="129"/>
      <c r="S638" s="139" t="s">
        <v>6</v>
      </c>
      <c r="T638" s="115" t="s">
        <v>4</v>
      </c>
      <c r="U638" s="139" t="s">
        <v>7</v>
      </c>
      <c r="V638" s="139" t="s">
        <v>1914</v>
      </c>
      <c r="W638" s="139" t="s">
        <v>4</v>
      </c>
      <c r="X638" s="139" t="s">
        <v>2887</v>
      </c>
      <c r="Y638" s="112" t="s">
        <v>3043</v>
      </c>
      <c r="Z638" s="112" t="s">
        <v>4</v>
      </c>
      <c r="AA638" s="139" t="s">
        <v>2887</v>
      </c>
    </row>
    <row r="639" spans="1:27" ht="17.25" customHeight="1">
      <c r="A639" s="69" t="str">
        <f>IF(priority(Main[[#This Row],[Comments]])&lt;&gt;0, priority(Main[[#This Row],[Comments]]),"")</f>
        <v/>
      </c>
      <c r="B639" s="63" t="s">
        <v>1476</v>
      </c>
      <c r="C639" s="148" t="s">
        <v>180</v>
      </c>
      <c r="D639" s="113" t="s">
        <v>556</v>
      </c>
      <c r="E639" s="129"/>
      <c r="F639" s="129">
        <v>40389</v>
      </c>
      <c r="G639" s="69" t="str">
        <f>IF(stdProdLT(Main[[#This Row],[Comments]])=0.1,"N/A",IF(stdProdLT(Main[[#This Row],[Comments]])=0,"",stdProdLT(Main[[#This Row],[Comments]])))</f>
        <v/>
      </c>
      <c r="H639" s="138" t="str">
        <f>IF(Main[[#This Row],[In Stock Date]]="N/A", "N/A",IF(AND(Main[[#This Row],[In Stock Date]]&lt;&gt;"",Main[[#This Row],[Revised Due Date]]&lt;&gt;"",Main[[#This Row],[In Stock Date]]&lt;&gt;""),Main[[#This Row],[In Stock Date]]-Main[[#This Row],[Revised Due Date]],""))</f>
        <v/>
      </c>
      <c r="I639" s="139" t="s">
        <v>4</v>
      </c>
      <c r="J639" s="139" t="s">
        <v>4</v>
      </c>
      <c r="K639" s="139" t="s">
        <v>4</v>
      </c>
      <c r="L639" s="129"/>
      <c r="M639" s="114" t="str">
        <f>IF(Main[[#This Row],[Tech Start Date]]&lt;1/1/1990,"",IF(Main[[#This Row],[Class]]="C",WORKDAY(Main[[#This Row],[Tech Start Date]],9),IF(Main[[#This Row],[Class]]="B", WORKDAY(Main[[#This Row],[Tech Start Date]],6),IF(Main[[#This Row],[Class]]="A",WORKDAY(Main[[#This Row],[Tech Start Date]],2),""))))</f>
        <v/>
      </c>
      <c r="N639" s="114" t="str">
        <f>IF(Main[[#This Row],[Tech Start Date]]&lt;1/1/1990,"",IF(Main[[#This Row],[Class]]="C",WORKDAY(Main[[#This Row],[Tech Start Date]],19),IF(Main[[#This Row],[Class]]="B", WORKDAY(Main[[#This Row],[Tech Start Date]],12),IF(Main[[#This Row],[Class]]="A",WORKDAY(Main[[#This Row],[Tech Start Date]],4),""))))</f>
        <v/>
      </c>
      <c r="O639" s="114" t="str">
        <f>IF(Main[[#This Row],[Tech Start Date]]&lt;1/1/1990,"",IF(Main[[#This Row],[Class]]="C",WORKDAY(Main[[#This Row],[Tech Start Date]],23),IF(Main[[#This Row],[Class]]="B", WORKDAY(Main[[#This Row],[Tech Start Date]],15),IF(Main[[#This Row],[Class]]="A",WORKDAY(Main[[#This Row],[Tech Start Date]],5),""))))</f>
        <v/>
      </c>
      <c r="P639" s="114" t="str">
        <f>IF(Main[[#This Row],[Tech Start Date]]&lt;1/1/1990,"",IF(Main[[#This Row],[Class]]="C",WORKDAY(Main[[#This Row],[Tech Start Date]],28),IF(Main[[#This Row],[Class]]="B", WORKDAY(Main[[#This Row],[Tech Start Date]],19),IF(Main[[#This Row],[Class]]="A",WORKDAY(Main[[#This Row],[Tech Start Date]],9),""))))</f>
        <v/>
      </c>
      <c r="Q639" s="129">
        <v>40298</v>
      </c>
      <c r="R639" s="129"/>
      <c r="S639" s="139" t="s">
        <v>11</v>
      </c>
      <c r="T639" s="115" t="s">
        <v>4</v>
      </c>
      <c r="U639" s="139" t="s">
        <v>14</v>
      </c>
      <c r="V639" s="139" t="s">
        <v>1914</v>
      </c>
      <c r="W639" s="139" t="s">
        <v>1920</v>
      </c>
      <c r="X639" s="139" t="s">
        <v>2824</v>
      </c>
      <c r="Y639" s="112" t="s">
        <v>2943</v>
      </c>
      <c r="Z639" s="112" t="s">
        <v>4</v>
      </c>
      <c r="AA639" s="139" t="s">
        <v>2824</v>
      </c>
    </row>
    <row r="640" spans="1:27" ht="17.25" customHeight="1">
      <c r="A640" s="69" t="str">
        <f>IF(priority(Main[[#This Row],[Comments]])&lt;&gt;0, priority(Main[[#This Row],[Comments]]),"")</f>
        <v/>
      </c>
      <c r="B640" s="63" t="s">
        <v>1478</v>
      </c>
      <c r="C640" s="148" t="s">
        <v>572</v>
      </c>
      <c r="D640" s="113" t="s">
        <v>573</v>
      </c>
      <c r="E640" s="129"/>
      <c r="F640" s="129"/>
      <c r="G640" s="69" t="str">
        <f>IF(stdProdLT(Main[[#This Row],[Comments]])=0.1,"N/A",IF(stdProdLT(Main[[#This Row],[Comments]])=0,"",stdProdLT(Main[[#This Row],[Comments]])))</f>
        <v/>
      </c>
      <c r="H640" s="138" t="str">
        <f>IF(Main[[#This Row],[In Stock Date]]="N/A", "N/A",IF(AND(Main[[#This Row],[In Stock Date]]&lt;&gt;"",Main[[#This Row],[Revised Due Date]]&lt;&gt;"",Main[[#This Row],[In Stock Date]]&lt;&gt;""),Main[[#This Row],[In Stock Date]]-Main[[#This Row],[Revised Due Date]],""))</f>
        <v/>
      </c>
      <c r="I640" s="139" t="s">
        <v>4</v>
      </c>
      <c r="J640" s="139" t="s">
        <v>4</v>
      </c>
      <c r="K640" s="139" t="s">
        <v>4</v>
      </c>
      <c r="L640" s="129"/>
      <c r="M640" s="114" t="str">
        <f>IF(Main[[#This Row],[Tech Start Date]]&lt;1/1/1990,"",IF(Main[[#This Row],[Class]]="C",WORKDAY(Main[[#This Row],[Tech Start Date]],9),IF(Main[[#This Row],[Class]]="B", WORKDAY(Main[[#This Row],[Tech Start Date]],6),IF(Main[[#This Row],[Class]]="A",WORKDAY(Main[[#This Row],[Tech Start Date]],2),""))))</f>
        <v/>
      </c>
      <c r="N640" s="114" t="str">
        <f>IF(Main[[#This Row],[Tech Start Date]]&lt;1/1/1990,"",IF(Main[[#This Row],[Class]]="C",WORKDAY(Main[[#This Row],[Tech Start Date]],19),IF(Main[[#This Row],[Class]]="B", WORKDAY(Main[[#This Row],[Tech Start Date]],12),IF(Main[[#This Row],[Class]]="A",WORKDAY(Main[[#This Row],[Tech Start Date]],4),""))))</f>
        <v/>
      </c>
      <c r="O640" s="114" t="str">
        <f>IF(Main[[#This Row],[Tech Start Date]]&lt;1/1/1990,"",IF(Main[[#This Row],[Class]]="C",WORKDAY(Main[[#This Row],[Tech Start Date]],23),IF(Main[[#This Row],[Class]]="B", WORKDAY(Main[[#This Row],[Tech Start Date]],15),IF(Main[[#This Row],[Class]]="A",WORKDAY(Main[[#This Row],[Tech Start Date]],5),""))))</f>
        <v/>
      </c>
      <c r="P640" s="114" t="str">
        <f>IF(Main[[#This Row],[Tech Start Date]]&lt;1/1/1990,"",IF(Main[[#This Row],[Class]]="C",WORKDAY(Main[[#This Row],[Tech Start Date]],28),IF(Main[[#This Row],[Class]]="B", WORKDAY(Main[[#This Row],[Tech Start Date]],19),IF(Main[[#This Row],[Class]]="A",WORKDAY(Main[[#This Row],[Tech Start Date]],9),""))))</f>
        <v/>
      </c>
      <c r="Q640" s="129">
        <v>40473</v>
      </c>
      <c r="R640" s="129"/>
      <c r="S640" s="139" t="s">
        <v>11</v>
      </c>
      <c r="T640" s="115" t="s">
        <v>4</v>
      </c>
      <c r="U640" s="139" t="s">
        <v>14</v>
      </c>
      <c r="V640" s="139" t="s">
        <v>1917</v>
      </c>
      <c r="W640" s="139" t="s">
        <v>1916</v>
      </c>
      <c r="X640" s="139" t="s">
        <v>553</v>
      </c>
      <c r="Y640" s="112" t="s">
        <v>4</v>
      </c>
      <c r="Z640" s="112" t="s">
        <v>4</v>
      </c>
      <c r="AA640" s="139" t="s">
        <v>553</v>
      </c>
    </row>
    <row r="641" spans="1:27" ht="17.25" customHeight="1">
      <c r="A641" s="69" t="str">
        <f>IF(priority(Main[[#This Row],[Comments]])&lt;&gt;0, priority(Main[[#This Row],[Comments]]),"")</f>
        <v/>
      </c>
      <c r="B641" s="63" t="s">
        <v>1479</v>
      </c>
      <c r="C641" s="148" t="s">
        <v>4</v>
      </c>
      <c r="D641" s="113" t="s">
        <v>574</v>
      </c>
      <c r="E641" s="129">
        <v>40463.687627314815</v>
      </c>
      <c r="F641" s="129"/>
      <c r="G641" s="69" t="str">
        <f>IF(stdProdLT(Main[[#This Row],[Comments]])=0.1,"N/A",IF(stdProdLT(Main[[#This Row],[Comments]])=0,"",stdProdLT(Main[[#This Row],[Comments]])))</f>
        <v/>
      </c>
      <c r="H641" s="138" t="str">
        <f>IF(Main[[#This Row],[In Stock Date]]="N/A", "N/A",IF(AND(Main[[#This Row],[In Stock Date]]&lt;&gt;"",Main[[#This Row],[Revised Due Date]]&lt;&gt;"",Main[[#This Row],[In Stock Date]]&lt;&gt;""),Main[[#This Row],[In Stock Date]]-Main[[#This Row],[Revised Due Date]],""))</f>
        <v/>
      </c>
      <c r="I641" s="139" t="s">
        <v>4</v>
      </c>
      <c r="J641" s="139" t="s">
        <v>28</v>
      </c>
      <c r="K641" s="139" t="s">
        <v>4</v>
      </c>
      <c r="L641" s="129"/>
      <c r="M641" s="114" t="str">
        <f>IF(Main[[#This Row],[Tech Start Date]]&lt;1/1/1990,"",IF(Main[[#This Row],[Class]]="C",WORKDAY(Main[[#This Row],[Tech Start Date]],9),IF(Main[[#This Row],[Class]]="B", WORKDAY(Main[[#This Row],[Tech Start Date]],6),IF(Main[[#This Row],[Class]]="A",WORKDAY(Main[[#This Row],[Tech Start Date]],2),""))))</f>
        <v/>
      </c>
      <c r="N641" s="114" t="str">
        <f>IF(Main[[#This Row],[Tech Start Date]]&lt;1/1/1990,"",IF(Main[[#This Row],[Class]]="C",WORKDAY(Main[[#This Row],[Tech Start Date]],19),IF(Main[[#This Row],[Class]]="B", WORKDAY(Main[[#This Row],[Tech Start Date]],12),IF(Main[[#This Row],[Class]]="A",WORKDAY(Main[[#This Row],[Tech Start Date]],4),""))))</f>
        <v/>
      </c>
      <c r="O641" s="114" t="str">
        <f>IF(Main[[#This Row],[Tech Start Date]]&lt;1/1/1990,"",IF(Main[[#This Row],[Class]]="C",WORKDAY(Main[[#This Row],[Tech Start Date]],23),IF(Main[[#This Row],[Class]]="B", WORKDAY(Main[[#This Row],[Tech Start Date]],15),IF(Main[[#This Row],[Class]]="A",WORKDAY(Main[[#This Row],[Tech Start Date]],5),""))))</f>
        <v/>
      </c>
      <c r="P641" s="114" t="str">
        <f>IF(Main[[#This Row],[Tech Start Date]]&lt;1/1/1990,"",IF(Main[[#This Row],[Class]]="C",WORKDAY(Main[[#This Row],[Tech Start Date]],28),IF(Main[[#This Row],[Class]]="B", WORKDAY(Main[[#This Row],[Tech Start Date]],19),IF(Main[[#This Row],[Class]]="A",WORKDAY(Main[[#This Row],[Tech Start Date]],9),""))))</f>
        <v/>
      </c>
      <c r="Q641" s="129"/>
      <c r="R641" s="129"/>
      <c r="S641" s="139" t="s">
        <v>6</v>
      </c>
      <c r="T641" s="115" t="s">
        <v>4</v>
      </c>
      <c r="U641" s="139" t="s">
        <v>7</v>
      </c>
      <c r="V641" s="139" t="s">
        <v>1914</v>
      </c>
      <c r="W641" s="139" t="s">
        <v>1922</v>
      </c>
      <c r="X641" s="139" t="s">
        <v>883</v>
      </c>
      <c r="Y641" s="112" t="s">
        <v>2963</v>
      </c>
      <c r="Z641" s="112" t="s">
        <v>129</v>
      </c>
      <c r="AA641" s="139" t="s">
        <v>883</v>
      </c>
    </row>
    <row r="642" spans="1:27" ht="17.25" customHeight="1">
      <c r="A642" s="69" t="str">
        <f>IF(priority(Main[[#This Row],[Comments]])&lt;&gt;0, priority(Main[[#This Row],[Comments]]),"")</f>
        <v/>
      </c>
      <c r="B642" s="63" t="s">
        <v>2722</v>
      </c>
      <c r="C642" s="148" t="s">
        <v>122</v>
      </c>
      <c r="D642" s="113" t="s">
        <v>2723</v>
      </c>
      <c r="E642" s="129">
        <v>40889.572662037041</v>
      </c>
      <c r="F642" s="129"/>
      <c r="G642" s="69" t="str">
        <f>IF(stdProdLT(Main[[#This Row],[Comments]])=0.1,"N/A",IF(stdProdLT(Main[[#This Row],[Comments]])=0,"",stdProdLT(Main[[#This Row],[Comments]])))</f>
        <v/>
      </c>
      <c r="H642" s="138" t="str">
        <f>IF(Main[[#This Row],[In Stock Date]]="N/A", "N/A",IF(AND(Main[[#This Row],[In Stock Date]]&lt;&gt;"",Main[[#This Row],[Revised Due Date]]&lt;&gt;"",Main[[#This Row],[In Stock Date]]&lt;&gt;""),Main[[#This Row],[In Stock Date]]-Main[[#This Row],[Revised Due Date]],""))</f>
        <v/>
      </c>
      <c r="I642" s="139" t="s">
        <v>4</v>
      </c>
      <c r="J642" s="139" t="s">
        <v>4</v>
      </c>
      <c r="K642" s="139" t="s">
        <v>4</v>
      </c>
      <c r="L642" s="129"/>
      <c r="M642" s="114" t="str">
        <f>IF(Main[[#This Row],[Tech Start Date]]&lt;1/1/1990,"",IF(Main[[#This Row],[Class]]="C",WORKDAY(Main[[#This Row],[Tech Start Date]],9),IF(Main[[#This Row],[Class]]="B", WORKDAY(Main[[#This Row],[Tech Start Date]],6),IF(Main[[#This Row],[Class]]="A",WORKDAY(Main[[#This Row],[Tech Start Date]],2),""))))</f>
        <v/>
      </c>
      <c r="N642" s="114" t="str">
        <f>IF(Main[[#This Row],[Tech Start Date]]&lt;1/1/1990,"",IF(Main[[#This Row],[Class]]="C",WORKDAY(Main[[#This Row],[Tech Start Date]],19),IF(Main[[#This Row],[Class]]="B", WORKDAY(Main[[#This Row],[Tech Start Date]],12),IF(Main[[#This Row],[Class]]="A",WORKDAY(Main[[#This Row],[Tech Start Date]],4),""))))</f>
        <v/>
      </c>
      <c r="O642" s="114" t="str">
        <f>IF(Main[[#This Row],[Tech Start Date]]&lt;1/1/1990,"",IF(Main[[#This Row],[Class]]="C",WORKDAY(Main[[#This Row],[Tech Start Date]],23),IF(Main[[#This Row],[Class]]="B", WORKDAY(Main[[#This Row],[Tech Start Date]],15),IF(Main[[#This Row],[Class]]="A",WORKDAY(Main[[#This Row],[Tech Start Date]],5),""))))</f>
        <v/>
      </c>
      <c r="P642" s="114" t="str">
        <f>IF(Main[[#This Row],[Tech Start Date]]&lt;1/1/1990,"",IF(Main[[#This Row],[Class]]="C",WORKDAY(Main[[#This Row],[Tech Start Date]],28),IF(Main[[#This Row],[Class]]="B", WORKDAY(Main[[#This Row],[Tech Start Date]],19),IF(Main[[#This Row],[Class]]="A",WORKDAY(Main[[#This Row],[Tech Start Date]],9),""))))</f>
        <v/>
      </c>
      <c r="Q642" s="129">
        <v>40910</v>
      </c>
      <c r="R642" s="129"/>
      <c r="S642" s="139" t="s">
        <v>6</v>
      </c>
      <c r="T642" s="115" t="s">
        <v>4</v>
      </c>
      <c r="U642" s="139" t="s">
        <v>7</v>
      </c>
      <c r="V642" s="139" t="s">
        <v>1914</v>
      </c>
      <c r="W642" s="139" t="s">
        <v>1920</v>
      </c>
      <c r="X642" s="139" t="s">
        <v>883</v>
      </c>
      <c r="Y642" s="112" t="s">
        <v>2963</v>
      </c>
      <c r="Z642" s="112" t="s">
        <v>4</v>
      </c>
      <c r="AA642" s="139" t="s">
        <v>883</v>
      </c>
    </row>
    <row r="643" spans="1:27" ht="17.25" customHeight="1">
      <c r="A643" s="69" t="str">
        <f>IF(priority(Main[[#This Row],[Comments]])&lt;&gt;0, priority(Main[[#This Row],[Comments]]),"")</f>
        <v/>
      </c>
      <c r="B643" s="63" t="s">
        <v>1123</v>
      </c>
      <c r="C643" s="148" t="s">
        <v>4</v>
      </c>
      <c r="D643" s="113" t="s">
        <v>175</v>
      </c>
      <c r="E643" s="129">
        <v>40421.149710648147</v>
      </c>
      <c r="F643" s="129"/>
      <c r="G643" s="69" t="str">
        <f>IF(stdProdLT(Main[[#This Row],[Comments]])=0.1,"N/A",IF(stdProdLT(Main[[#This Row],[Comments]])=0,"",stdProdLT(Main[[#This Row],[Comments]])))</f>
        <v/>
      </c>
      <c r="H643" s="138" t="str">
        <f>IF(Main[[#This Row],[In Stock Date]]="N/A", "N/A",IF(AND(Main[[#This Row],[In Stock Date]]&lt;&gt;"",Main[[#This Row],[Revised Due Date]]&lt;&gt;"",Main[[#This Row],[In Stock Date]]&lt;&gt;""),Main[[#This Row],[In Stock Date]]-Main[[#This Row],[Revised Due Date]],""))</f>
        <v/>
      </c>
      <c r="I643" s="139" t="s">
        <v>81</v>
      </c>
      <c r="J643" s="139" t="s">
        <v>52</v>
      </c>
      <c r="K643" s="139" t="s">
        <v>4</v>
      </c>
      <c r="L643" s="129"/>
      <c r="M643" s="114" t="str">
        <f>IF(Main[[#This Row],[Tech Start Date]]&lt;1/1/1990,"",IF(Main[[#This Row],[Class]]="C",WORKDAY(Main[[#This Row],[Tech Start Date]],9),IF(Main[[#This Row],[Class]]="B", WORKDAY(Main[[#This Row],[Tech Start Date]],6),IF(Main[[#This Row],[Class]]="A",WORKDAY(Main[[#This Row],[Tech Start Date]],2),""))))</f>
        <v/>
      </c>
      <c r="N643" s="114" t="str">
        <f>IF(Main[[#This Row],[Tech Start Date]]&lt;1/1/1990,"",IF(Main[[#This Row],[Class]]="C",WORKDAY(Main[[#This Row],[Tech Start Date]],19),IF(Main[[#This Row],[Class]]="B", WORKDAY(Main[[#This Row],[Tech Start Date]],12),IF(Main[[#This Row],[Class]]="A",WORKDAY(Main[[#This Row],[Tech Start Date]],4),""))))</f>
        <v/>
      </c>
      <c r="O643" s="114" t="str">
        <f>IF(Main[[#This Row],[Tech Start Date]]&lt;1/1/1990,"",IF(Main[[#This Row],[Class]]="C",WORKDAY(Main[[#This Row],[Tech Start Date]],23),IF(Main[[#This Row],[Class]]="B", WORKDAY(Main[[#This Row],[Tech Start Date]],15),IF(Main[[#This Row],[Class]]="A",WORKDAY(Main[[#This Row],[Tech Start Date]],5),""))))</f>
        <v/>
      </c>
      <c r="P643" s="114" t="str">
        <f>IF(Main[[#This Row],[Tech Start Date]]&lt;1/1/1990,"",IF(Main[[#This Row],[Class]]="C",WORKDAY(Main[[#This Row],[Tech Start Date]],28),IF(Main[[#This Row],[Class]]="B", WORKDAY(Main[[#This Row],[Tech Start Date]],19),IF(Main[[#This Row],[Class]]="A",WORKDAY(Main[[#This Row],[Tech Start Date]],9),""))))</f>
        <v/>
      </c>
      <c r="Q643" s="129">
        <v>40451</v>
      </c>
      <c r="R643" s="129"/>
      <c r="S643" s="139" t="s">
        <v>6</v>
      </c>
      <c r="T643" s="115" t="s">
        <v>4</v>
      </c>
      <c r="U643" s="139" t="s">
        <v>29</v>
      </c>
      <c r="V643" s="139" t="s">
        <v>1924</v>
      </c>
      <c r="W643" s="139" t="s">
        <v>1916</v>
      </c>
      <c r="X643" s="139" t="s">
        <v>2822</v>
      </c>
      <c r="Y643" s="112" t="s">
        <v>2938</v>
      </c>
      <c r="Z643" s="112" t="s">
        <v>415</v>
      </c>
      <c r="AA643" s="139" t="s">
        <v>2822</v>
      </c>
    </row>
    <row r="644" spans="1:27" ht="17.25" customHeight="1">
      <c r="A644" s="69" t="str">
        <f>IF(priority(Main[[#This Row],[Comments]])&lt;&gt;0, priority(Main[[#This Row],[Comments]]),"")</f>
        <v/>
      </c>
      <c r="B644" s="63" t="s">
        <v>1480</v>
      </c>
      <c r="C644" s="148" t="s">
        <v>230</v>
      </c>
      <c r="D644" s="113" t="s">
        <v>563</v>
      </c>
      <c r="E644" s="129"/>
      <c r="F644" s="129">
        <v>40662</v>
      </c>
      <c r="G644" s="69" t="str">
        <f>IF(stdProdLT(Main[[#This Row],[Comments]])=0.1,"N/A",IF(stdProdLT(Main[[#This Row],[Comments]])=0,"",stdProdLT(Main[[#This Row],[Comments]])))</f>
        <v/>
      </c>
      <c r="H644" s="138" t="str">
        <f>IF(Main[[#This Row],[In Stock Date]]="N/A", "N/A",IF(AND(Main[[#This Row],[In Stock Date]]&lt;&gt;"",Main[[#This Row],[Revised Due Date]]&lt;&gt;"",Main[[#This Row],[In Stock Date]]&lt;&gt;""),Main[[#This Row],[In Stock Date]]-Main[[#This Row],[Revised Due Date]],""))</f>
        <v/>
      </c>
      <c r="I644" s="139" t="s">
        <v>4</v>
      </c>
      <c r="J644" s="139" t="s">
        <v>4</v>
      </c>
      <c r="K644" s="139" t="s">
        <v>4</v>
      </c>
      <c r="L644" s="129"/>
      <c r="M644" s="114" t="str">
        <f>IF(Main[[#This Row],[Tech Start Date]]&lt;1/1/1990,"",IF(Main[[#This Row],[Class]]="C",WORKDAY(Main[[#This Row],[Tech Start Date]],9),IF(Main[[#This Row],[Class]]="B", WORKDAY(Main[[#This Row],[Tech Start Date]],6),IF(Main[[#This Row],[Class]]="A",WORKDAY(Main[[#This Row],[Tech Start Date]],2),""))))</f>
        <v/>
      </c>
      <c r="N644" s="114" t="str">
        <f>IF(Main[[#This Row],[Tech Start Date]]&lt;1/1/1990,"",IF(Main[[#This Row],[Class]]="C",WORKDAY(Main[[#This Row],[Tech Start Date]],19),IF(Main[[#This Row],[Class]]="B", WORKDAY(Main[[#This Row],[Tech Start Date]],12),IF(Main[[#This Row],[Class]]="A",WORKDAY(Main[[#This Row],[Tech Start Date]],4),""))))</f>
        <v/>
      </c>
      <c r="O644" s="114" t="str">
        <f>IF(Main[[#This Row],[Tech Start Date]]&lt;1/1/1990,"",IF(Main[[#This Row],[Class]]="C",WORKDAY(Main[[#This Row],[Tech Start Date]],23),IF(Main[[#This Row],[Class]]="B", WORKDAY(Main[[#This Row],[Tech Start Date]],15),IF(Main[[#This Row],[Class]]="A",WORKDAY(Main[[#This Row],[Tech Start Date]],5),""))))</f>
        <v/>
      </c>
      <c r="P644" s="114" t="str">
        <f>IF(Main[[#This Row],[Tech Start Date]]&lt;1/1/1990,"",IF(Main[[#This Row],[Class]]="C",WORKDAY(Main[[#This Row],[Tech Start Date]],28),IF(Main[[#This Row],[Class]]="B", WORKDAY(Main[[#This Row],[Tech Start Date]],19),IF(Main[[#This Row],[Class]]="A",WORKDAY(Main[[#This Row],[Tech Start Date]],9),""))))</f>
        <v/>
      </c>
      <c r="Q644" s="129">
        <v>40480</v>
      </c>
      <c r="R644" s="129"/>
      <c r="S644" s="139" t="s">
        <v>11</v>
      </c>
      <c r="T644" s="115" t="s">
        <v>4</v>
      </c>
      <c r="U644" s="139" t="s">
        <v>14</v>
      </c>
      <c r="V644" s="139" t="s">
        <v>1917</v>
      </c>
      <c r="W644" s="139" t="s">
        <v>1922</v>
      </c>
      <c r="X644" s="139" t="s">
        <v>2860</v>
      </c>
      <c r="Y644" s="112" t="s">
        <v>4</v>
      </c>
      <c r="Z644" s="112" t="s">
        <v>4</v>
      </c>
      <c r="AA644" s="139" t="s">
        <v>2860</v>
      </c>
    </row>
    <row r="645" spans="1:27" ht="17.25" customHeight="1">
      <c r="A645" s="69" t="str">
        <f>IF(priority(Main[[#This Row],[Comments]])&lt;&gt;0, priority(Main[[#This Row],[Comments]]),"")</f>
        <v/>
      </c>
      <c r="B645" s="63" t="s">
        <v>1481</v>
      </c>
      <c r="C645" s="148" t="s">
        <v>4</v>
      </c>
      <c r="D645" s="113" t="s">
        <v>39</v>
      </c>
      <c r="E645" s="129"/>
      <c r="F645" s="129"/>
      <c r="G645" s="69" t="str">
        <f>IF(stdProdLT(Main[[#This Row],[Comments]])=0.1,"N/A",IF(stdProdLT(Main[[#This Row],[Comments]])=0,"",stdProdLT(Main[[#This Row],[Comments]])))</f>
        <v/>
      </c>
      <c r="H645" s="138" t="str">
        <f>IF(Main[[#This Row],[In Stock Date]]="N/A", "N/A",IF(AND(Main[[#This Row],[In Stock Date]]&lt;&gt;"",Main[[#This Row],[Revised Due Date]]&lt;&gt;"",Main[[#This Row],[In Stock Date]]&lt;&gt;""),Main[[#This Row],[In Stock Date]]-Main[[#This Row],[Revised Due Date]],""))</f>
        <v/>
      </c>
      <c r="I645" s="139" t="s">
        <v>4</v>
      </c>
      <c r="J645" s="139" t="s">
        <v>4</v>
      </c>
      <c r="K645" s="139" t="s">
        <v>4</v>
      </c>
      <c r="L645" s="129"/>
      <c r="M645" s="114" t="str">
        <f>IF(Main[[#This Row],[Tech Start Date]]&lt;1/1/1990,"",IF(Main[[#This Row],[Class]]="C",WORKDAY(Main[[#This Row],[Tech Start Date]],9),IF(Main[[#This Row],[Class]]="B", WORKDAY(Main[[#This Row],[Tech Start Date]],6),IF(Main[[#This Row],[Class]]="A",WORKDAY(Main[[#This Row],[Tech Start Date]],2),""))))</f>
        <v/>
      </c>
      <c r="N645" s="114" t="str">
        <f>IF(Main[[#This Row],[Tech Start Date]]&lt;1/1/1990,"",IF(Main[[#This Row],[Class]]="C",WORKDAY(Main[[#This Row],[Tech Start Date]],19),IF(Main[[#This Row],[Class]]="B", WORKDAY(Main[[#This Row],[Tech Start Date]],12),IF(Main[[#This Row],[Class]]="A",WORKDAY(Main[[#This Row],[Tech Start Date]],4),""))))</f>
        <v/>
      </c>
      <c r="O645" s="114" t="str">
        <f>IF(Main[[#This Row],[Tech Start Date]]&lt;1/1/1990,"",IF(Main[[#This Row],[Class]]="C",WORKDAY(Main[[#This Row],[Tech Start Date]],23),IF(Main[[#This Row],[Class]]="B", WORKDAY(Main[[#This Row],[Tech Start Date]],15),IF(Main[[#This Row],[Class]]="A",WORKDAY(Main[[#This Row],[Tech Start Date]],5),""))))</f>
        <v/>
      </c>
      <c r="P645" s="114" t="str">
        <f>IF(Main[[#This Row],[Tech Start Date]]&lt;1/1/1990,"",IF(Main[[#This Row],[Class]]="C",WORKDAY(Main[[#This Row],[Tech Start Date]],28),IF(Main[[#This Row],[Class]]="B", WORKDAY(Main[[#This Row],[Tech Start Date]],19),IF(Main[[#This Row],[Class]]="A",WORKDAY(Main[[#This Row],[Tech Start Date]],9),""))))</f>
        <v/>
      </c>
      <c r="Q645" s="129">
        <v>40669</v>
      </c>
      <c r="R645" s="129"/>
      <c r="S645" s="139" t="s">
        <v>6</v>
      </c>
      <c r="T645" s="115" t="s">
        <v>4</v>
      </c>
      <c r="U645" s="139" t="s">
        <v>14</v>
      </c>
      <c r="V645" s="139" t="s">
        <v>1917</v>
      </c>
      <c r="W645" s="139" t="s">
        <v>4</v>
      </c>
      <c r="X645" s="139" t="s">
        <v>2818</v>
      </c>
      <c r="Y645" s="112" t="s">
        <v>2929</v>
      </c>
      <c r="Z645" s="112" t="s">
        <v>4</v>
      </c>
      <c r="AA645" s="139" t="s">
        <v>2818</v>
      </c>
    </row>
    <row r="646" spans="1:27" ht="17.25" customHeight="1">
      <c r="A646" s="69" t="str">
        <f>IF(priority(Main[[#This Row],[Comments]])&lt;&gt;0, priority(Main[[#This Row],[Comments]]),"")</f>
        <v/>
      </c>
      <c r="B646" s="63" t="s">
        <v>1482</v>
      </c>
      <c r="C646" s="148" t="s">
        <v>564</v>
      </c>
      <c r="D646" s="113" t="s">
        <v>565</v>
      </c>
      <c r="E646" s="129"/>
      <c r="F646" s="129">
        <v>40168</v>
      </c>
      <c r="G646" s="69" t="str">
        <f>IF(stdProdLT(Main[[#This Row],[Comments]])=0.1,"N/A",IF(stdProdLT(Main[[#This Row],[Comments]])=0,"",stdProdLT(Main[[#This Row],[Comments]])))</f>
        <v/>
      </c>
      <c r="H646" s="138" t="str">
        <f>IF(Main[[#This Row],[In Stock Date]]="N/A", "N/A",IF(AND(Main[[#This Row],[In Stock Date]]&lt;&gt;"",Main[[#This Row],[Revised Due Date]]&lt;&gt;"",Main[[#This Row],[In Stock Date]]&lt;&gt;""),Main[[#This Row],[In Stock Date]]-Main[[#This Row],[Revised Due Date]],""))</f>
        <v/>
      </c>
      <c r="I646" s="139" t="s">
        <v>4</v>
      </c>
      <c r="J646" s="139" t="s">
        <v>4</v>
      </c>
      <c r="K646" s="139" t="s">
        <v>4</v>
      </c>
      <c r="L646" s="129"/>
      <c r="M646" s="114" t="str">
        <f>IF(Main[[#This Row],[Tech Start Date]]&lt;1/1/1990,"",IF(Main[[#This Row],[Class]]="C",WORKDAY(Main[[#This Row],[Tech Start Date]],9),IF(Main[[#This Row],[Class]]="B", WORKDAY(Main[[#This Row],[Tech Start Date]],6),IF(Main[[#This Row],[Class]]="A",WORKDAY(Main[[#This Row],[Tech Start Date]],2),""))))</f>
        <v/>
      </c>
      <c r="N646" s="114" t="str">
        <f>IF(Main[[#This Row],[Tech Start Date]]&lt;1/1/1990,"",IF(Main[[#This Row],[Class]]="C",WORKDAY(Main[[#This Row],[Tech Start Date]],19),IF(Main[[#This Row],[Class]]="B", WORKDAY(Main[[#This Row],[Tech Start Date]],12),IF(Main[[#This Row],[Class]]="A",WORKDAY(Main[[#This Row],[Tech Start Date]],4),""))))</f>
        <v/>
      </c>
      <c r="O646" s="114" t="str">
        <f>IF(Main[[#This Row],[Tech Start Date]]&lt;1/1/1990,"",IF(Main[[#This Row],[Class]]="C",WORKDAY(Main[[#This Row],[Tech Start Date]],23),IF(Main[[#This Row],[Class]]="B", WORKDAY(Main[[#This Row],[Tech Start Date]],15),IF(Main[[#This Row],[Class]]="A",WORKDAY(Main[[#This Row],[Tech Start Date]],5),""))))</f>
        <v/>
      </c>
      <c r="P646" s="114" t="str">
        <f>IF(Main[[#This Row],[Tech Start Date]]&lt;1/1/1990,"",IF(Main[[#This Row],[Class]]="C",WORKDAY(Main[[#This Row],[Tech Start Date]],28),IF(Main[[#This Row],[Class]]="B", WORKDAY(Main[[#This Row],[Tech Start Date]],19),IF(Main[[#This Row],[Class]]="A",WORKDAY(Main[[#This Row],[Tech Start Date]],9),""))))</f>
        <v/>
      </c>
      <c r="Q646" s="129"/>
      <c r="R646" s="129"/>
      <c r="S646" s="139" t="s">
        <v>17</v>
      </c>
      <c r="T646" s="115" t="s">
        <v>4</v>
      </c>
      <c r="U646" s="139" t="s">
        <v>14</v>
      </c>
      <c r="V646" s="139" t="s">
        <v>1915</v>
      </c>
      <c r="W646" s="139" t="s">
        <v>4</v>
      </c>
      <c r="X646" s="139" t="s">
        <v>2861</v>
      </c>
      <c r="Y646" s="112" t="s">
        <v>4</v>
      </c>
      <c r="Z646" s="112" t="s">
        <v>4</v>
      </c>
      <c r="AA646" s="139" t="s">
        <v>4</v>
      </c>
    </row>
    <row r="647" spans="1:27" ht="17.25" customHeight="1">
      <c r="A647" s="69" t="str">
        <f>IF(priority(Main[[#This Row],[Comments]])&lt;&gt;0, priority(Main[[#This Row],[Comments]]),"")</f>
        <v/>
      </c>
      <c r="B647" s="63" t="s">
        <v>1483</v>
      </c>
      <c r="C647" s="148" t="s">
        <v>566</v>
      </c>
      <c r="D647" s="113" t="s">
        <v>567</v>
      </c>
      <c r="E647" s="129"/>
      <c r="F647" s="129">
        <v>40389</v>
      </c>
      <c r="G647" s="69" t="str">
        <f>IF(stdProdLT(Main[[#This Row],[Comments]])=0.1,"N/A",IF(stdProdLT(Main[[#This Row],[Comments]])=0,"",stdProdLT(Main[[#This Row],[Comments]])))</f>
        <v/>
      </c>
      <c r="H647" s="138" t="str">
        <f>IF(Main[[#This Row],[In Stock Date]]="N/A", "N/A",IF(AND(Main[[#This Row],[In Stock Date]]&lt;&gt;"",Main[[#This Row],[Revised Due Date]]&lt;&gt;"",Main[[#This Row],[In Stock Date]]&lt;&gt;""),Main[[#This Row],[In Stock Date]]-Main[[#This Row],[Revised Due Date]],""))</f>
        <v/>
      </c>
      <c r="I647" s="139" t="s">
        <v>4</v>
      </c>
      <c r="J647" s="139" t="s">
        <v>75</v>
      </c>
      <c r="K647" s="139" t="s">
        <v>4</v>
      </c>
      <c r="L647" s="129"/>
      <c r="M647" s="114" t="str">
        <f>IF(Main[[#This Row],[Tech Start Date]]&lt;1/1/1990,"",IF(Main[[#This Row],[Class]]="C",WORKDAY(Main[[#This Row],[Tech Start Date]],9),IF(Main[[#This Row],[Class]]="B", WORKDAY(Main[[#This Row],[Tech Start Date]],6),IF(Main[[#This Row],[Class]]="A",WORKDAY(Main[[#This Row],[Tech Start Date]],2),""))))</f>
        <v/>
      </c>
      <c r="N647" s="114" t="str">
        <f>IF(Main[[#This Row],[Tech Start Date]]&lt;1/1/1990,"",IF(Main[[#This Row],[Class]]="C",WORKDAY(Main[[#This Row],[Tech Start Date]],19),IF(Main[[#This Row],[Class]]="B", WORKDAY(Main[[#This Row],[Tech Start Date]],12),IF(Main[[#This Row],[Class]]="A",WORKDAY(Main[[#This Row],[Tech Start Date]],4),""))))</f>
        <v/>
      </c>
      <c r="O647" s="114" t="str">
        <f>IF(Main[[#This Row],[Tech Start Date]]&lt;1/1/1990,"",IF(Main[[#This Row],[Class]]="C",WORKDAY(Main[[#This Row],[Tech Start Date]],23),IF(Main[[#This Row],[Class]]="B", WORKDAY(Main[[#This Row],[Tech Start Date]],15),IF(Main[[#This Row],[Class]]="A",WORKDAY(Main[[#This Row],[Tech Start Date]],5),""))))</f>
        <v/>
      </c>
      <c r="P647" s="114" t="str">
        <f>IF(Main[[#This Row],[Tech Start Date]]&lt;1/1/1990,"",IF(Main[[#This Row],[Class]]="C",WORKDAY(Main[[#This Row],[Tech Start Date]],28),IF(Main[[#This Row],[Class]]="B", WORKDAY(Main[[#This Row],[Tech Start Date]],19),IF(Main[[#This Row],[Class]]="A",WORKDAY(Main[[#This Row],[Tech Start Date]],9),""))))</f>
        <v/>
      </c>
      <c r="Q647" s="129">
        <v>40298</v>
      </c>
      <c r="R647" s="129"/>
      <c r="S647" s="139" t="s">
        <v>11</v>
      </c>
      <c r="T647" s="115" t="s">
        <v>4</v>
      </c>
      <c r="U647" s="139" t="s">
        <v>14</v>
      </c>
      <c r="V647" s="139" t="s">
        <v>1914</v>
      </c>
      <c r="W647" s="139" t="s">
        <v>1920</v>
      </c>
      <c r="X647" s="139" t="s">
        <v>2824</v>
      </c>
      <c r="Y647" s="112" t="s">
        <v>2943</v>
      </c>
      <c r="Z647" s="112" t="s">
        <v>306</v>
      </c>
      <c r="AA647" s="139" t="s">
        <v>2824</v>
      </c>
    </row>
    <row r="648" spans="1:27" ht="17.25" customHeight="1">
      <c r="A648" s="69" t="str">
        <f>IF(priority(Main[[#This Row],[Comments]])&lt;&gt;0, priority(Main[[#This Row],[Comments]]),"")</f>
        <v/>
      </c>
      <c r="B648" s="63" t="s">
        <v>1484</v>
      </c>
      <c r="C648" s="148" t="s">
        <v>93</v>
      </c>
      <c r="D648" s="113" t="s">
        <v>568</v>
      </c>
      <c r="E648" s="129"/>
      <c r="F648" s="129">
        <v>40132</v>
      </c>
      <c r="G648" s="69" t="str">
        <f>IF(stdProdLT(Main[[#This Row],[Comments]])=0.1,"N/A",IF(stdProdLT(Main[[#This Row],[Comments]])=0,"",stdProdLT(Main[[#This Row],[Comments]])))</f>
        <v/>
      </c>
      <c r="H648" s="138" t="str">
        <f>IF(Main[[#This Row],[In Stock Date]]="N/A", "N/A",IF(AND(Main[[#This Row],[In Stock Date]]&lt;&gt;"",Main[[#This Row],[Revised Due Date]]&lt;&gt;"",Main[[#This Row],[In Stock Date]]&lt;&gt;""),Main[[#This Row],[In Stock Date]]-Main[[#This Row],[Revised Due Date]],""))</f>
        <v/>
      </c>
      <c r="I648" s="139" t="s">
        <v>4</v>
      </c>
      <c r="J648" s="139" t="s">
        <v>4</v>
      </c>
      <c r="K648" s="139" t="s">
        <v>4</v>
      </c>
      <c r="L648" s="129"/>
      <c r="M648" s="114" t="str">
        <f>IF(Main[[#This Row],[Tech Start Date]]&lt;1/1/1990,"",IF(Main[[#This Row],[Class]]="C",WORKDAY(Main[[#This Row],[Tech Start Date]],9),IF(Main[[#This Row],[Class]]="B", WORKDAY(Main[[#This Row],[Tech Start Date]],6),IF(Main[[#This Row],[Class]]="A",WORKDAY(Main[[#This Row],[Tech Start Date]],2),""))))</f>
        <v/>
      </c>
      <c r="N648" s="114" t="str">
        <f>IF(Main[[#This Row],[Tech Start Date]]&lt;1/1/1990,"",IF(Main[[#This Row],[Class]]="C",WORKDAY(Main[[#This Row],[Tech Start Date]],19),IF(Main[[#This Row],[Class]]="B", WORKDAY(Main[[#This Row],[Tech Start Date]],12),IF(Main[[#This Row],[Class]]="A",WORKDAY(Main[[#This Row],[Tech Start Date]],4),""))))</f>
        <v/>
      </c>
      <c r="O648" s="114" t="str">
        <f>IF(Main[[#This Row],[Tech Start Date]]&lt;1/1/1990,"",IF(Main[[#This Row],[Class]]="C",WORKDAY(Main[[#This Row],[Tech Start Date]],23),IF(Main[[#This Row],[Class]]="B", WORKDAY(Main[[#This Row],[Tech Start Date]],15),IF(Main[[#This Row],[Class]]="A",WORKDAY(Main[[#This Row],[Tech Start Date]],5),""))))</f>
        <v/>
      </c>
      <c r="P648" s="114" t="str">
        <f>IF(Main[[#This Row],[Tech Start Date]]&lt;1/1/1990,"",IF(Main[[#This Row],[Class]]="C",WORKDAY(Main[[#This Row],[Tech Start Date]],28),IF(Main[[#This Row],[Class]]="B", WORKDAY(Main[[#This Row],[Tech Start Date]],19),IF(Main[[#This Row],[Class]]="A",WORKDAY(Main[[#This Row],[Tech Start Date]],9),""))))</f>
        <v/>
      </c>
      <c r="Q648" s="129">
        <v>40132</v>
      </c>
      <c r="R648" s="129"/>
      <c r="S648" s="139" t="s">
        <v>11</v>
      </c>
      <c r="T648" s="115" t="s">
        <v>4</v>
      </c>
      <c r="U648" s="139" t="s">
        <v>14</v>
      </c>
      <c r="V648" s="139" t="s">
        <v>1924</v>
      </c>
      <c r="W648" s="139" t="s">
        <v>1925</v>
      </c>
      <c r="X648" s="139" t="s">
        <v>2856</v>
      </c>
      <c r="Y648" s="112" t="s">
        <v>4</v>
      </c>
      <c r="Z648" s="112" t="s">
        <v>4</v>
      </c>
      <c r="AA648" s="139" t="s">
        <v>2856</v>
      </c>
    </row>
    <row r="649" spans="1:27" ht="17.25" customHeight="1">
      <c r="A649" s="69" t="str">
        <f>IF(priority(Main[[#This Row],[Comments]])&lt;&gt;0, priority(Main[[#This Row],[Comments]]),"")</f>
        <v/>
      </c>
      <c r="B649" s="63" t="s">
        <v>1485</v>
      </c>
      <c r="C649" s="148" t="s">
        <v>93</v>
      </c>
      <c r="D649" s="113" t="s">
        <v>569</v>
      </c>
      <c r="E649" s="129"/>
      <c r="F649" s="129">
        <v>40132</v>
      </c>
      <c r="G649" s="69" t="str">
        <f>IF(stdProdLT(Main[[#This Row],[Comments]])=0.1,"N/A",IF(stdProdLT(Main[[#This Row],[Comments]])=0,"",stdProdLT(Main[[#This Row],[Comments]])))</f>
        <v/>
      </c>
      <c r="H649" s="138" t="str">
        <f>IF(Main[[#This Row],[In Stock Date]]="N/A", "N/A",IF(AND(Main[[#This Row],[In Stock Date]]&lt;&gt;"",Main[[#This Row],[Revised Due Date]]&lt;&gt;"",Main[[#This Row],[In Stock Date]]&lt;&gt;""),Main[[#This Row],[In Stock Date]]-Main[[#This Row],[Revised Due Date]],""))</f>
        <v/>
      </c>
      <c r="I649" s="139" t="s">
        <v>4</v>
      </c>
      <c r="J649" s="139" t="s">
        <v>4</v>
      </c>
      <c r="K649" s="139" t="s">
        <v>4</v>
      </c>
      <c r="L649" s="129"/>
      <c r="M649" s="114" t="str">
        <f>IF(Main[[#This Row],[Tech Start Date]]&lt;1/1/1990,"",IF(Main[[#This Row],[Class]]="C",WORKDAY(Main[[#This Row],[Tech Start Date]],9),IF(Main[[#This Row],[Class]]="B", WORKDAY(Main[[#This Row],[Tech Start Date]],6),IF(Main[[#This Row],[Class]]="A",WORKDAY(Main[[#This Row],[Tech Start Date]],2),""))))</f>
        <v/>
      </c>
      <c r="N649" s="114" t="str">
        <f>IF(Main[[#This Row],[Tech Start Date]]&lt;1/1/1990,"",IF(Main[[#This Row],[Class]]="C",WORKDAY(Main[[#This Row],[Tech Start Date]],19),IF(Main[[#This Row],[Class]]="B", WORKDAY(Main[[#This Row],[Tech Start Date]],12),IF(Main[[#This Row],[Class]]="A",WORKDAY(Main[[#This Row],[Tech Start Date]],4),""))))</f>
        <v/>
      </c>
      <c r="O649" s="114" t="str">
        <f>IF(Main[[#This Row],[Tech Start Date]]&lt;1/1/1990,"",IF(Main[[#This Row],[Class]]="C",WORKDAY(Main[[#This Row],[Tech Start Date]],23),IF(Main[[#This Row],[Class]]="B", WORKDAY(Main[[#This Row],[Tech Start Date]],15),IF(Main[[#This Row],[Class]]="A",WORKDAY(Main[[#This Row],[Tech Start Date]],5),""))))</f>
        <v/>
      </c>
      <c r="P649" s="114" t="str">
        <f>IF(Main[[#This Row],[Tech Start Date]]&lt;1/1/1990,"",IF(Main[[#This Row],[Class]]="C",WORKDAY(Main[[#This Row],[Tech Start Date]],28),IF(Main[[#This Row],[Class]]="B", WORKDAY(Main[[#This Row],[Tech Start Date]],19),IF(Main[[#This Row],[Class]]="A",WORKDAY(Main[[#This Row],[Tech Start Date]],9),""))))</f>
        <v/>
      </c>
      <c r="Q649" s="129">
        <v>40132</v>
      </c>
      <c r="R649" s="129"/>
      <c r="S649" s="139" t="s">
        <v>11</v>
      </c>
      <c r="T649" s="115" t="s">
        <v>4</v>
      </c>
      <c r="U649" s="139" t="s">
        <v>14</v>
      </c>
      <c r="V649" s="139" t="s">
        <v>1924</v>
      </c>
      <c r="W649" s="139" t="s">
        <v>1925</v>
      </c>
      <c r="X649" s="139" t="s">
        <v>2856</v>
      </c>
      <c r="Y649" s="112" t="s">
        <v>4</v>
      </c>
      <c r="Z649" s="112" t="s">
        <v>4</v>
      </c>
      <c r="AA649" s="139" t="s">
        <v>2856</v>
      </c>
    </row>
    <row r="650" spans="1:27" ht="17.25" customHeight="1">
      <c r="A650" s="69" t="str">
        <f>IF(priority(Main[[#This Row],[Comments]])&lt;&gt;0, priority(Main[[#This Row],[Comments]]),"")</f>
        <v/>
      </c>
      <c r="B650" s="63" t="s">
        <v>1486</v>
      </c>
      <c r="C650" s="148" t="s">
        <v>465</v>
      </c>
      <c r="D650" s="113" t="s">
        <v>570</v>
      </c>
      <c r="E650" s="129"/>
      <c r="F650" s="129">
        <v>40179</v>
      </c>
      <c r="G650" s="69" t="str">
        <f>IF(stdProdLT(Main[[#This Row],[Comments]])=0.1,"N/A",IF(stdProdLT(Main[[#This Row],[Comments]])=0,"",stdProdLT(Main[[#This Row],[Comments]])))</f>
        <v/>
      </c>
      <c r="H650" s="138" t="str">
        <f>IF(Main[[#This Row],[In Stock Date]]="N/A", "N/A",IF(AND(Main[[#This Row],[In Stock Date]]&lt;&gt;"",Main[[#This Row],[Revised Due Date]]&lt;&gt;"",Main[[#This Row],[In Stock Date]]&lt;&gt;""),Main[[#This Row],[In Stock Date]]-Main[[#This Row],[Revised Due Date]],""))</f>
        <v/>
      </c>
      <c r="I650" s="139" t="s">
        <v>4</v>
      </c>
      <c r="J650" s="139" t="s">
        <v>4</v>
      </c>
      <c r="K650" s="139" t="s">
        <v>4</v>
      </c>
      <c r="L650" s="129"/>
      <c r="M650" s="114" t="str">
        <f>IF(Main[[#This Row],[Tech Start Date]]&lt;1/1/1990,"",IF(Main[[#This Row],[Class]]="C",WORKDAY(Main[[#This Row],[Tech Start Date]],9),IF(Main[[#This Row],[Class]]="B", WORKDAY(Main[[#This Row],[Tech Start Date]],6),IF(Main[[#This Row],[Class]]="A",WORKDAY(Main[[#This Row],[Tech Start Date]],2),""))))</f>
        <v/>
      </c>
      <c r="N650" s="114" t="str">
        <f>IF(Main[[#This Row],[Tech Start Date]]&lt;1/1/1990,"",IF(Main[[#This Row],[Class]]="C",WORKDAY(Main[[#This Row],[Tech Start Date]],19),IF(Main[[#This Row],[Class]]="B", WORKDAY(Main[[#This Row],[Tech Start Date]],12),IF(Main[[#This Row],[Class]]="A",WORKDAY(Main[[#This Row],[Tech Start Date]],4),""))))</f>
        <v/>
      </c>
      <c r="O650" s="114" t="str">
        <f>IF(Main[[#This Row],[Tech Start Date]]&lt;1/1/1990,"",IF(Main[[#This Row],[Class]]="C",WORKDAY(Main[[#This Row],[Tech Start Date]],23),IF(Main[[#This Row],[Class]]="B", WORKDAY(Main[[#This Row],[Tech Start Date]],15),IF(Main[[#This Row],[Class]]="A",WORKDAY(Main[[#This Row],[Tech Start Date]],5),""))))</f>
        <v/>
      </c>
      <c r="P650" s="114" t="str">
        <f>IF(Main[[#This Row],[Tech Start Date]]&lt;1/1/1990,"",IF(Main[[#This Row],[Class]]="C",WORKDAY(Main[[#This Row],[Tech Start Date]],28),IF(Main[[#This Row],[Class]]="B", WORKDAY(Main[[#This Row],[Tech Start Date]],19),IF(Main[[#This Row],[Class]]="A",WORKDAY(Main[[#This Row],[Tech Start Date]],9),""))))</f>
        <v/>
      </c>
      <c r="Q650" s="129">
        <v>40164</v>
      </c>
      <c r="R650" s="129"/>
      <c r="S650" s="139" t="s">
        <v>11</v>
      </c>
      <c r="T650" s="115" t="s">
        <v>4</v>
      </c>
      <c r="U650" s="139" t="s">
        <v>14</v>
      </c>
      <c r="V650" s="139" t="s">
        <v>1917</v>
      </c>
      <c r="W650" s="139" t="s">
        <v>1920</v>
      </c>
      <c r="X650" s="139" t="s">
        <v>2863</v>
      </c>
      <c r="Y650" s="112" t="s">
        <v>4</v>
      </c>
      <c r="Z650" s="112" t="s">
        <v>4</v>
      </c>
      <c r="AA650" s="139" t="s">
        <v>2863</v>
      </c>
    </row>
    <row r="651" spans="1:27" ht="17.25" customHeight="1">
      <c r="A651" s="69" t="str">
        <f>IF(priority(Main[[#This Row],[Comments]])&lt;&gt;0, priority(Main[[#This Row],[Comments]]),"")</f>
        <v/>
      </c>
      <c r="B651" s="63" t="s">
        <v>1144</v>
      </c>
      <c r="C651" s="148" t="s">
        <v>4</v>
      </c>
      <c r="D651" s="113" t="s">
        <v>199</v>
      </c>
      <c r="E651" s="129"/>
      <c r="F651" s="129"/>
      <c r="G651" s="69" t="str">
        <f>IF(stdProdLT(Main[[#This Row],[Comments]])=0.1,"N/A",IF(stdProdLT(Main[[#This Row],[Comments]])=0,"",stdProdLT(Main[[#This Row],[Comments]])))</f>
        <v/>
      </c>
      <c r="H651" s="138" t="str">
        <f>IF(Main[[#This Row],[In Stock Date]]="N/A", "N/A",IF(AND(Main[[#This Row],[In Stock Date]]&lt;&gt;"",Main[[#This Row],[Revised Due Date]]&lt;&gt;"",Main[[#This Row],[In Stock Date]]&lt;&gt;""),Main[[#This Row],[In Stock Date]]-Main[[#This Row],[Revised Due Date]],""))</f>
        <v/>
      </c>
      <c r="I651" s="139" t="s">
        <v>4</v>
      </c>
      <c r="J651" s="139" t="s">
        <v>4</v>
      </c>
      <c r="K651" s="139" t="s">
        <v>4</v>
      </c>
      <c r="L651" s="129"/>
      <c r="M651" s="114" t="str">
        <f>IF(Main[[#This Row],[Tech Start Date]]&lt;1/1/1990,"",IF(Main[[#This Row],[Class]]="C",WORKDAY(Main[[#This Row],[Tech Start Date]],9),IF(Main[[#This Row],[Class]]="B", WORKDAY(Main[[#This Row],[Tech Start Date]],6),IF(Main[[#This Row],[Class]]="A",WORKDAY(Main[[#This Row],[Tech Start Date]],2),""))))</f>
        <v/>
      </c>
      <c r="N651" s="114" t="str">
        <f>IF(Main[[#This Row],[Tech Start Date]]&lt;1/1/1990,"",IF(Main[[#This Row],[Class]]="C",WORKDAY(Main[[#This Row],[Tech Start Date]],19),IF(Main[[#This Row],[Class]]="B", WORKDAY(Main[[#This Row],[Tech Start Date]],12),IF(Main[[#This Row],[Class]]="A",WORKDAY(Main[[#This Row],[Tech Start Date]],4),""))))</f>
        <v/>
      </c>
      <c r="O651" s="114" t="str">
        <f>IF(Main[[#This Row],[Tech Start Date]]&lt;1/1/1990,"",IF(Main[[#This Row],[Class]]="C",WORKDAY(Main[[#This Row],[Tech Start Date]],23),IF(Main[[#This Row],[Class]]="B", WORKDAY(Main[[#This Row],[Tech Start Date]],15),IF(Main[[#This Row],[Class]]="A",WORKDAY(Main[[#This Row],[Tech Start Date]],5),""))))</f>
        <v/>
      </c>
      <c r="P651" s="114" t="str">
        <f>IF(Main[[#This Row],[Tech Start Date]]&lt;1/1/1990,"",IF(Main[[#This Row],[Class]]="C",WORKDAY(Main[[#This Row],[Tech Start Date]],28),IF(Main[[#This Row],[Class]]="B", WORKDAY(Main[[#This Row],[Tech Start Date]],19),IF(Main[[#This Row],[Class]]="A",WORKDAY(Main[[#This Row],[Tech Start Date]],9),""))))</f>
        <v/>
      </c>
      <c r="Q651" s="129">
        <v>40597</v>
      </c>
      <c r="R651" s="129"/>
      <c r="S651" s="139" t="s">
        <v>49</v>
      </c>
      <c r="T651" s="115" t="s">
        <v>4</v>
      </c>
      <c r="U651" s="139" t="s">
        <v>12</v>
      </c>
      <c r="V651" s="139" t="s">
        <v>1915</v>
      </c>
      <c r="W651" s="139" t="s">
        <v>1916</v>
      </c>
      <c r="X651" s="139" t="s">
        <v>561</v>
      </c>
      <c r="Y651" s="112" t="s">
        <v>3056</v>
      </c>
      <c r="Z651" s="112" t="s">
        <v>4</v>
      </c>
      <c r="AA651" s="139" t="s">
        <v>561</v>
      </c>
    </row>
    <row r="652" spans="1:27" ht="17.25" customHeight="1">
      <c r="A652" s="69" t="str">
        <f>IF(priority(Main[[#This Row],[Comments]])&lt;&gt;0, priority(Main[[#This Row],[Comments]]),"")</f>
        <v/>
      </c>
      <c r="B652" s="63" t="s">
        <v>1541</v>
      </c>
      <c r="C652" s="148" t="s">
        <v>4</v>
      </c>
      <c r="D652" s="113" t="s">
        <v>575</v>
      </c>
      <c r="E652" s="129"/>
      <c r="F652" s="129"/>
      <c r="G652" s="69" t="str">
        <f>IF(stdProdLT(Main[[#This Row],[Comments]])=0.1,"N/A",IF(stdProdLT(Main[[#This Row],[Comments]])=0,"",stdProdLT(Main[[#This Row],[Comments]])))</f>
        <v/>
      </c>
      <c r="H652" s="138" t="str">
        <f>IF(Main[[#This Row],[In Stock Date]]="N/A", "N/A",IF(AND(Main[[#This Row],[In Stock Date]]&lt;&gt;"",Main[[#This Row],[Revised Due Date]]&lt;&gt;"",Main[[#This Row],[In Stock Date]]&lt;&gt;""),Main[[#This Row],[In Stock Date]]-Main[[#This Row],[Revised Due Date]],""))</f>
        <v/>
      </c>
      <c r="I652" s="139" t="s">
        <v>4</v>
      </c>
      <c r="J652" s="139" t="s">
        <v>4</v>
      </c>
      <c r="K652" s="139" t="s">
        <v>4</v>
      </c>
      <c r="L652" s="129"/>
      <c r="M652" s="114" t="str">
        <f>IF(Main[[#This Row],[Tech Start Date]]&lt;1/1/1990,"",IF(Main[[#This Row],[Class]]="C",WORKDAY(Main[[#This Row],[Tech Start Date]],9),IF(Main[[#This Row],[Class]]="B", WORKDAY(Main[[#This Row],[Tech Start Date]],6),IF(Main[[#This Row],[Class]]="A",WORKDAY(Main[[#This Row],[Tech Start Date]],2),""))))</f>
        <v/>
      </c>
      <c r="N652" s="114" t="str">
        <f>IF(Main[[#This Row],[Tech Start Date]]&lt;1/1/1990,"",IF(Main[[#This Row],[Class]]="C",WORKDAY(Main[[#This Row],[Tech Start Date]],19),IF(Main[[#This Row],[Class]]="B", WORKDAY(Main[[#This Row],[Tech Start Date]],12),IF(Main[[#This Row],[Class]]="A",WORKDAY(Main[[#This Row],[Tech Start Date]],4),""))))</f>
        <v/>
      </c>
      <c r="O652" s="114" t="str">
        <f>IF(Main[[#This Row],[Tech Start Date]]&lt;1/1/1990,"",IF(Main[[#This Row],[Class]]="C",WORKDAY(Main[[#This Row],[Tech Start Date]],23),IF(Main[[#This Row],[Class]]="B", WORKDAY(Main[[#This Row],[Tech Start Date]],15),IF(Main[[#This Row],[Class]]="A",WORKDAY(Main[[#This Row],[Tech Start Date]],5),""))))</f>
        <v/>
      </c>
      <c r="P652" s="114" t="str">
        <f>IF(Main[[#This Row],[Tech Start Date]]&lt;1/1/1990,"",IF(Main[[#This Row],[Class]]="C",WORKDAY(Main[[#This Row],[Tech Start Date]],28),IF(Main[[#This Row],[Class]]="B", WORKDAY(Main[[#This Row],[Tech Start Date]],19),IF(Main[[#This Row],[Class]]="A",WORKDAY(Main[[#This Row],[Tech Start Date]],9),""))))</f>
        <v/>
      </c>
      <c r="Q652" s="129">
        <v>40165</v>
      </c>
      <c r="R652" s="129"/>
      <c r="S652" s="139" t="s">
        <v>11</v>
      </c>
      <c r="T652" s="115" t="s">
        <v>4</v>
      </c>
      <c r="U652" s="139" t="s">
        <v>14</v>
      </c>
      <c r="V652" s="139" t="s">
        <v>1915</v>
      </c>
      <c r="W652" s="139" t="s">
        <v>1919</v>
      </c>
      <c r="X652" s="139" t="s">
        <v>2053</v>
      </c>
      <c r="Y652" s="112" t="s">
        <v>3058</v>
      </c>
      <c r="Z652" s="112" t="s">
        <v>4</v>
      </c>
      <c r="AA652" s="139" t="s">
        <v>2053</v>
      </c>
    </row>
    <row r="653" spans="1:27" ht="17.25" customHeight="1">
      <c r="A653" s="69" t="str">
        <f>IF(priority(Main[[#This Row],[Comments]])&lt;&gt;0, priority(Main[[#This Row],[Comments]]),"")</f>
        <v/>
      </c>
      <c r="B653" s="63" t="s">
        <v>1816</v>
      </c>
      <c r="C653" s="148" t="s">
        <v>72</v>
      </c>
      <c r="D653" s="113" t="s">
        <v>866</v>
      </c>
      <c r="E653" s="129"/>
      <c r="F653" s="129">
        <v>40148</v>
      </c>
      <c r="G653" s="69" t="str">
        <f>IF(stdProdLT(Main[[#This Row],[Comments]])=0.1,"N/A",IF(stdProdLT(Main[[#This Row],[Comments]])=0,"",stdProdLT(Main[[#This Row],[Comments]])))</f>
        <v/>
      </c>
      <c r="H653" s="138">
        <f>IF(Main[[#This Row],[In Stock Date]]="N/A", "N/A",IF(AND(Main[[#This Row],[In Stock Date]]&lt;&gt;"",Main[[#This Row],[Revised Due Date]]&lt;&gt;"",Main[[#This Row],[In Stock Date]]&lt;&gt;""),Main[[#This Row],[In Stock Date]]-Main[[#This Row],[Revised Due Date]],""))</f>
        <v>-143</v>
      </c>
      <c r="I653" s="139" t="s">
        <v>4</v>
      </c>
      <c r="J653" s="139" t="s">
        <v>4</v>
      </c>
      <c r="K653" s="139" t="s">
        <v>4</v>
      </c>
      <c r="L653" s="129"/>
      <c r="M653" s="114" t="str">
        <f>IF(Main[[#This Row],[Tech Start Date]]&lt;1/1/1990,"",IF(Main[[#This Row],[Class]]="C",WORKDAY(Main[[#This Row],[Tech Start Date]],9),IF(Main[[#This Row],[Class]]="B", WORKDAY(Main[[#This Row],[Tech Start Date]],6),IF(Main[[#This Row],[Class]]="A",WORKDAY(Main[[#This Row],[Tech Start Date]],2),""))))</f>
        <v/>
      </c>
      <c r="N653" s="114" t="str">
        <f>IF(Main[[#This Row],[Tech Start Date]]&lt;1/1/1990,"",IF(Main[[#This Row],[Class]]="C",WORKDAY(Main[[#This Row],[Tech Start Date]],19),IF(Main[[#This Row],[Class]]="B", WORKDAY(Main[[#This Row],[Tech Start Date]],12),IF(Main[[#This Row],[Class]]="A",WORKDAY(Main[[#This Row],[Tech Start Date]],4),""))))</f>
        <v/>
      </c>
      <c r="O653" s="114" t="str">
        <f>IF(Main[[#This Row],[Tech Start Date]]&lt;1/1/1990,"",IF(Main[[#This Row],[Class]]="C",WORKDAY(Main[[#This Row],[Tech Start Date]],23),IF(Main[[#This Row],[Class]]="B", WORKDAY(Main[[#This Row],[Tech Start Date]],15),IF(Main[[#This Row],[Class]]="A",WORKDAY(Main[[#This Row],[Tech Start Date]],5),""))))</f>
        <v/>
      </c>
      <c r="P653" s="114" t="str">
        <f>IF(Main[[#This Row],[Tech Start Date]]&lt;1/1/1990,"",IF(Main[[#This Row],[Class]]="C",WORKDAY(Main[[#This Row],[Tech Start Date]],28),IF(Main[[#This Row],[Class]]="B", WORKDAY(Main[[#This Row],[Tech Start Date]],19),IF(Main[[#This Row],[Class]]="A",WORKDAY(Main[[#This Row],[Tech Start Date]],9),""))))</f>
        <v/>
      </c>
      <c r="Q653" s="129">
        <v>40080</v>
      </c>
      <c r="R653" s="129">
        <v>40291</v>
      </c>
      <c r="S653" s="139" t="s">
        <v>6</v>
      </c>
      <c r="T653" s="115" t="s">
        <v>4</v>
      </c>
      <c r="U653" s="139" t="s">
        <v>14</v>
      </c>
      <c r="V653" s="139" t="s">
        <v>1915</v>
      </c>
      <c r="W653" s="139" t="s">
        <v>1922</v>
      </c>
      <c r="X653" s="139" t="s">
        <v>2824</v>
      </c>
      <c r="Y653" s="112" t="s">
        <v>2943</v>
      </c>
      <c r="Z653" s="112" t="s">
        <v>4</v>
      </c>
      <c r="AA653" s="139" t="s">
        <v>2824</v>
      </c>
    </row>
    <row r="654" spans="1:27" ht="17.25" customHeight="1">
      <c r="A654" s="69" t="str">
        <f>IF(priority(Main[[#This Row],[Comments]])&lt;&gt;0, priority(Main[[#This Row],[Comments]]),"")</f>
        <v/>
      </c>
      <c r="B654" s="63" t="s">
        <v>1489</v>
      </c>
      <c r="C654" s="148" t="s">
        <v>4</v>
      </c>
      <c r="D654" s="113" t="s">
        <v>620</v>
      </c>
      <c r="E654" s="129">
        <v>40549.433692129627</v>
      </c>
      <c r="F654" s="129"/>
      <c r="G654" s="69" t="str">
        <f>IF(stdProdLT(Main[[#This Row],[Comments]])=0.1,"N/A",IF(stdProdLT(Main[[#This Row],[Comments]])=0,"",stdProdLT(Main[[#This Row],[Comments]])))</f>
        <v/>
      </c>
      <c r="H654" s="138" t="str">
        <f>IF(Main[[#This Row],[In Stock Date]]="N/A", "N/A",IF(AND(Main[[#This Row],[In Stock Date]]&lt;&gt;"",Main[[#This Row],[Revised Due Date]]&lt;&gt;"",Main[[#This Row],[In Stock Date]]&lt;&gt;""),Main[[#This Row],[In Stock Date]]-Main[[#This Row],[Revised Due Date]],""))</f>
        <v/>
      </c>
      <c r="I654" s="139" t="s">
        <v>4</v>
      </c>
      <c r="J654" s="139" t="s">
        <v>4</v>
      </c>
      <c r="K654" s="139" t="s">
        <v>4</v>
      </c>
      <c r="L654" s="129"/>
      <c r="M654" s="114" t="str">
        <f>IF(Main[[#This Row],[Tech Start Date]]&lt;1/1/1990,"",IF(Main[[#This Row],[Class]]="C",WORKDAY(Main[[#This Row],[Tech Start Date]],9),IF(Main[[#This Row],[Class]]="B", WORKDAY(Main[[#This Row],[Tech Start Date]],6),IF(Main[[#This Row],[Class]]="A",WORKDAY(Main[[#This Row],[Tech Start Date]],2),""))))</f>
        <v/>
      </c>
      <c r="N654" s="114" t="str">
        <f>IF(Main[[#This Row],[Tech Start Date]]&lt;1/1/1990,"",IF(Main[[#This Row],[Class]]="C",WORKDAY(Main[[#This Row],[Tech Start Date]],19),IF(Main[[#This Row],[Class]]="B", WORKDAY(Main[[#This Row],[Tech Start Date]],12),IF(Main[[#This Row],[Class]]="A",WORKDAY(Main[[#This Row],[Tech Start Date]],4),""))))</f>
        <v/>
      </c>
      <c r="O654" s="114" t="str">
        <f>IF(Main[[#This Row],[Tech Start Date]]&lt;1/1/1990,"",IF(Main[[#This Row],[Class]]="C",WORKDAY(Main[[#This Row],[Tech Start Date]],23),IF(Main[[#This Row],[Class]]="B", WORKDAY(Main[[#This Row],[Tech Start Date]],15),IF(Main[[#This Row],[Class]]="A",WORKDAY(Main[[#This Row],[Tech Start Date]],5),""))))</f>
        <v/>
      </c>
      <c r="P654" s="114" t="str">
        <f>IF(Main[[#This Row],[Tech Start Date]]&lt;1/1/1990,"",IF(Main[[#This Row],[Class]]="C",WORKDAY(Main[[#This Row],[Tech Start Date]],28),IF(Main[[#This Row],[Class]]="B", WORKDAY(Main[[#This Row],[Tech Start Date]],19),IF(Main[[#This Row],[Class]]="A",WORKDAY(Main[[#This Row],[Tech Start Date]],9),""))))</f>
        <v/>
      </c>
      <c r="Q654" s="129">
        <v>40577</v>
      </c>
      <c r="R654" s="129"/>
      <c r="S654" s="139" t="s">
        <v>6</v>
      </c>
      <c r="T654" s="115" t="s">
        <v>4</v>
      </c>
      <c r="U654" s="139" t="s">
        <v>7</v>
      </c>
      <c r="V654" s="139" t="s">
        <v>1914</v>
      </c>
      <c r="W654" s="139" t="s">
        <v>1916</v>
      </c>
      <c r="X654" s="139" t="s">
        <v>2821</v>
      </c>
      <c r="Y654" s="112" t="s">
        <v>2936</v>
      </c>
      <c r="Z654" s="112" t="s">
        <v>4</v>
      </c>
      <c r="AA654" s="139" t="s">
        <v>2821</v>
      </c>
    </row>
    <row r="655" spans="1:27" ht="17.25" customHeight="1">
      <c r="A655" s="69" t="str">
        <f>IF(priority(Main[[#This Row],[Comments]])&lt;&gt;0, priority(Main[[#This Row],[Comments]]),"")</f>
        <v/>
      </c>
      <c r="B655" s="63" t="s">
        <v>1490</v>
      </c>
      <c r="C655" s="148" t="s">
        <v>4</v>
      </c>
      <c r="D655" s="113" t="s">
        <v>621</v>
      </c>
      <c r="E655" s="129">
        <v>40371.36078703704</v>
      </c>
      <c r="F655" s="129"/>
      <c r="G655" s="69" t="str">
        <f>IF(stdProdLT(Main[[#This Row],[Comments]])=0.1,"N/A",IF(stdProdLT(Main[[#This Row],[Comments]])=0,"",stdProdLT(Main[[#This Row],[Comments]])))</f>
        <v/>
      </c>
      <c r="H655" s="138" t="str">
        <f>IF(Main[[#This Row],[In Stock Date]]="N/A", "N/A",IF(AND(Main[[#This Row],[In Stock Date]]&lt;&gt;"",Main[[#This Row],[Revised Due Date]]&lt;&gt;"",Main[[#This Row],[In Stock Date]]&lt;&gt;""),Main[[#This Row],[In Stock Date]]-Main[[#This Row],[Revised Due Date]],""))</f>
        <v/>
      </c>
      <c r="I655" s="139" t="s">
        <v>4</v>
      </c>
      <c r="J655" s="139" t="s">
        <v>4</v>
      </c>
      <c r="K655" s="139" t="s">
        <v>4</v>
      </c>
      <c r="L655" s="129"/>
      <c r="M655" s="114" t="str">
        <f>IF(Main[[#This Row],[Tech Start Date]]&lt;1/1/1990,"",IF(Main[[#This Row],[Class]]="C",WORKDAY(Main[[#This Row],[Tech Start Date]],9),IF(Main[[#This Row],[Class]]="B", WORKDAY(Main[[#This Row],[Tech Start Date]],6),IF(Main[[#This Row],[Class]]="A",WORKDAY(Main[[#This Row],[Tech Start Date]],2),""))))</f>
        <v/>
      </c>
      <c r="N655" s="114" t="str">
        <f>IF(Main[[#This Row],[Tech Start Date]]&lt;1/1/1990,"",IF(Main[[#This Row],[Class]]="C",WORKDAY(Main[[#This Row],[Tech Start Date]],19),IF(Main[[#This Row],[Class]]="B", WORKDAY(Main[[#This Row],[Tech Start Date]],12),IF(Main[[#This Row],[Class]]="A",WORKDAY(Main[[#This Row],[Tech Start Date]],4),""))))</f>
        <v/>
      </c>
      <c r="O655" s="114" t="str">
        <f>IF(Main[[#This Row],[Tech Start Date]]&lt;1/1/1990,"",IF(Main[[#This Row],[Class]]="C",WORKDAY(Main[[#This Row],[Tech Start Date]],23),IF(Main[[#This Row],[Class]]="B", WORKDAY(Main[[#This Row],[Tech Start Date]],15),IF(Main[[#This Row],[Class]]="A",WORKDAY(Main[[#This Row],[Tech Start Date]],5),""))))</f>
        <v/>
      </c>
      <c r="P655" s="114" t="str">
        <f>IF(Main[[#This Row],[Tech Start Date]]&lt;1/1/1990,"",IF(Main[[#This Row],[Class]]="C",WORKDAY(Main[[#This Row],[Tech Start Date]],28),IF(Main[[#This Row],[Class]]="B", WORKDAY(Main[[#This Row],[Tech Start Date]],19),IF(Main[[#This Row],[Class]]="A",WORKDAY(Main[[#This Row],[Tech Start Date]],9),""))))</f>
        <v/>
      </c>
      <c r="Q655" s="129">
        <v>40385</v>
      </c>
      <c r="R655" s="129"/>
      <c r="S655" s="139" t="s">
        <v>6</v>
      </c>
      <c r="T655" s="115" t="s">
        <v>4</v>
      </c>
      <c r="U655" s="139" t="s">
        <v>7</v>
      </c>
      <c r="V655" s="139" t="s">
        <v>1914</v>
      </c>
      <c r="W655" s="139" t="s">
        <v>1916</v>
      </c>
      <c r="X655" s="139" t="s">
        <v>102</v>
      </c>
      <c r="Y655" s="112" t="s">
        <v>3032</v>
      </c>
      <c r="Z655" s="112" t="s">
        <v>4</v>
      </c>
      <c r="AA655" s="139" t="s">
        <v>3396</v>
      </c>
    </row>
    <row r="656" spans="1:27" ht="17.25" customHeight="1">
      <c r="A656" s="69" t="str">
        <f>IF(priority(Main[[#This Row],[Comments]])&lt;&gt;0, priority(Main[[#This Row],[Comments]]),"")</f>
        <v/>
      </c>
      <c r="B656" s="63" t="s">
        <v>1491</v>
      </c>
      <c r="C656" s="148" t="s">
        <v>622</v>
      </c>
      <c r="D656" s="113" t="s">
        <v>623</v>
      </c>
      <c r="E656" s="129"/>
      <c r="F656" s="129">
        <v>40396</v>
      </c>
      <c r="G656" s="69" t="str">
        <f>IF(stdProdLT(Main[[#This Row],[Comments]])=0.1,"N/A",IF(stdProdLT(Main[[#This Row],[Comments]])=0,"",stdProdLT(Main[[#This Row],[Comments]])))</f>
        <v/>
      </c>
      <c r="H656" s="138" t="str">
        <f>IF(Main[[#This Row],[In Stock Date]]="N/A", "N/A",IF(AND(Main[[#This Row],[In Stock Date]]&lt;&gt;"",Main[[#This Row],[Revised Due Date]]&lt;&gt;"",Main[[#This Row],[In Stock Date]]&lt;&gt;""),Main[[#This Row],[In Stock Date]]-Main[[#This Row],[Revised Due Date]],""))</f>
        <v/>
      </c>
      <c r="I656" s="139" t="s">
        <v>4</v>
      </c>
      <c r="J656" s="139" t="s">
        <v>4</v>
      </c>
      <c r="K656" s="139" t="s">
        <v>4</v>
      </c>
      <c r="L656" s="129"/>
      <c r="M656" s="114" t="str">
        <f>IF(Main[[#This Row],[Tech Start Date]]&lt;1/1/1990,"",IF(Main[[#This Row],[Class]]="C",WORKDAY(Main[[#This Row],[Tech Start Date]],9),IF(Main[[#This Row],[Class]]="B", WORKDAY(Main[[#This Row],[Tech Start Date]],6),IF(Main[[#This Row],[Class]]="A",WORKDAY(Main[[#This Row],[Tech Start Date]],2),""))))</f>
        <v/>
      </c>
      <c r="N656" s="114" t="str">
        <f>IF(Main[[#This Row],[Tech Start Date]]&lt;1/1/1990,"",IF(Main[[#This Row],[Class]]="C",WORKDAY(Main[[#This Row],[Tech Start Date]],19),IF(Main[[#This Row],[Class]]="B", WORKDAY(Main[[#This Row],[Tech Start Date]],12),IF(Main[[#This Row],[Class]]="A",WORKDAY(Main[[#This Row],[Tech Start Date]],4),""))))</f>
        <v/>
      </c>
      <c r="O656" s="114" t="str">
        <f>IF(Main[[#This Row],[Tech Start Date]]&lt;1/1/1990,"",IF(Main[[#This Row],[Class]]="C",WORKDAY(Main[[#This Row],[Tech Start Date]],23),IF(Main[[#This Row],[Class]]="B", WORKDAY(Main[[#This Row],[Tech Start Date]],15),IF(Main[[#This Row],[Class]]="A",WORKDAY(Main[[#This Row],[Tech Start Date]],5),""))))</f>
        <v/>
      </c>
      <c r="P656" s="114" t="str">
        <f>IF(Main[[#This Row],[Tech Start Date]]&lt;1/1/1990,"",IF(Main[[#This Row],[Class]]="C",WORKDAY(Main[[#This Row],[Tech Start Date]],28),IF(Main[[#This Row],[Class]]="B", WORKDAY(Main[[#This Row],[Tech Start Date]],19),IF(Main[[#This Row],[Class]]="A",WORKDAY(Main[[#This Row],[Tech Start Date]],9),""))))</f>
        <v/>
      </c>
      <c r="Q656" s="129"/>
      <c r="R656" s="129"/>
      <c r="S656" s="139" t="s">
        <v>11</v>
      </c>
      <c r="T656" s="115" t="s">
        <v>4</v>
      </c>
      <c r="U656" s="139" t="s">
        <v>14</v>
      </c>
      <c r="V656" s="139" t="s">
        <v>1914</v>
      </c>
      <c r="W656" s="139" t="s">
        <v>1920</v>
      </c>
      <c r="X656" s="139" t="s">
        <v>2820</v>
      </c>
      <c r="Y656" s="112" t="s">
        <v>3059</v>
      </c>
      <c r="Z656" s="112" t="s">
        <v>4</v>
      </c>
      <c r="AA656" s="139" t="s">
        <v>2820</v>
      </c>
    </row>
    <row r="657" spans="1:27" ht="17.25" customHeight="1">
      <c r="A657" s="69" t="str">
        <f>IF(priority(Main[[#This Row],[Comments]])&lt;&gt;0, priority(Main[[#This Row],[Comments]]),"")</f>
        <v/>
      </c>
      <c r="B657" s="63" t="s">
        <v>1492</v>
      </c>
      <c r="C657" s="148" t="s">
        <v>93</v>
      </c>
      <c r="D657" s="113" t="s">
        <v>624</v>
      </c>
      <c r="E657" s="129"/>
      <c r="F657" s="129">
        <v>40238</v>
      </c>
      <c r="G657" s="69" t="str">
        <f>IF(stdProdLT(Main[[#This Row],[Comments]])=0.1,"N/A",IF(stdProdLT(Main[[#This Row],[Comments]])=0,"",stdProdLT(Main[[#This Row],[Comments]])))</f>
        <v/>
      </c>
      <c r="H657" s="138" t="str">
        <f>IF(Main[[#This Row],[In Stock Date]]="N/A", "N/A",IF(AND(Main[[#This Row],[In Stock Date]]&lt;&gt;"",Main[[#This Row],[Revised Due Date]]&lt;&gt;"",Main[[#This Row],[In Stock Date]]&lt;&gt;""),Main[[#This Row],[In Stock Date]]-Main[[#This Row],[Revised Due Date]],""))</f>
        <v/>
      </c>
      <c r="I657" s="139" t="s">
        <v>4</v>
      </c>
      <c r="J657" s="139" t="s">
        <v>4</v>
      </c>
      <c r="K657" s="139" t="s">
        <v>4</v>
      </c>
      <c r="L657" s="129"/>
      <c r="M657" s="114" t="str">
        <f>IF(Main[[#This Row],[Tech Start Date]]&lt;1/1/1990,"",IF(Main[[#This Row],[Class]]="C",WORKDAY(Main[[#This Row],[Tech Start Date]],9),IF(Main[[#This Row],[Class]]="B", WORKDAY(Main[[#This Row],[Tech Start Date]],6),IF(Main[[#This Row],[Class]]="A",WORKDAY(Main[[#This Row],[Tech Start Date]],2),""))))</f>
        <v/>
      </c>
      <c r="N657" s="114" t="str">
        <f>IF(Main[[#This Row],[Tech Start Date]]&lt;1/1/1990,"",IF(Main[[#This Row],[Class]]="C",WORKDAY(Main[[#This Row],[Tech Start Date]],19),IF(Main[[#This Row],[Class]]="B", WORKDAY(Main[[#This Row],[Tech Start Date]],12),IF(Main[[#This Row],[Class]]="A",WORKDAY(Main[[#This Row],[Tech Start Date]],4),""))))</f>
        <v/>
      </c>
      <c r="O657" s="114" t="str">
        <f>IF(Main[[#This Row],[Tech Start Date]]&lt;1/1/1990,"",IF(Main[[#This Row],[Class]]="C",WORKDAY(Main[[#This Row],[Tech Start Date]],23),IF(Main[[#This Row],[Class]]="B", WORKDAY(Main[[#This Row],[Tech Start Date]],15),IF(Main[[#This Row],[Class]]="A",WORKDAY(Main[[#This Row],[Tech Start Date]],5),""))))</f>
        <v/>
      </c>
      <c r="P657" s="114" t="str">
        <f>IF(Main[[#This Row],[Tech Start Date]]&lt;1/1/1990,"",IF(Main[[#This Row],[Class]]="C",WORKDAY(Main[[#This Row],[Tech Start Date]],28),IF(Main[[#This Row],[Class]]="B", WORKDAY(Main[[#This Row],[Tech Start Date]],19),IF(Main[[#This Row],[Class]]="A",WORKDAY(Main[[#This Row],[Tech Start Date]],9),""))))</f>
        <v/>
      </c>
      <c r="Q657" s="129">
        <v>40173</v>
      </c>
      <c r="R657" s="129"/>
      <c r="S657" s="139" t="s">
        <v>11</v>
      </c>
      <c r="T657" s="115" t="s">
        <v>4</v>
      </c>
      <c r="U657" s="139" t="s">
        <v>14</v>
      </c>
      <c r="V657" s="139" t="s">
        <v>1914</v>
      </c>
      <c r="W657" s="139" t="s">
        <v>1920</v>
      </c>
      <c r="X657" s="139" t="s">
        <v>2871</v>
      </c>
      <c r="Y657" s="112" t="s">
        <v>4</v>
      </c>
      <c r="Z657" s="112" t="s">
        <v>4</v>
      </c>
      <c r="AA657" s="139" t="s">
        <v>2871</v>
      </c>
    </row>
    <row r="658" spans="1:27" ht="17.25" customHeight="1">
      <c r="A658" s="69" t="str">
        <f>IF(priority(Main[[#This Row],[Comments]])&lt;&gt;0, priority(Main[[#This Row],[Comments]]),"")</f>
        <v/>
      </c>
      <c r="B658" s="63" t="s">
        <v>1493</v>
      </c>
      <c r="C658" s="148" t="s">
        <v>4</v>
      </c>
      <c r="D658" s="113" t="s">
        <v>97</v>
      </c>
      <c r="E658" s="129"/>
      <c r="F658" s="129"/>
      <c r="G658" s="69" t="str">
        <f>IF(stdProdLT(Main[[#This Row],[Comments]])=0.1,"N/A",IF(stdProdLT(Main[[#This Row],[Comments]])=0,"",stdProdLT(Main[[#This Row],[Comments]])))</f>
        <v/>
      </c>
      <c r="H658" s="138" t="str">
        <f>IF(Main[[#This Row],[In Stock Date]]="N/A", "N/A",IF(AND(Main[[#This Row],[In Stock Date]]&lt;&gt;"",Main[[#This Row],[Revised Due Date]]&lt;&gt;"",Main[[#This Row],[In Stock Date]]&lt;&gt;""),Main[[#This Row],[In Stock Date]]-Main[[#This Row],[Revised Due Date]],""))</f>
        <v/>
      </c>
      <c r="I658" s="139" t="s">
        <v>4</v>
      </c>
      <c r="J658" s="139" t="s">
        <v>4</v>
      </c>
      <c r="K658" s="139" t="s">
        <v>4</v>
      </c>
      <c r="L658" s="129"/>
      <c r="M658" s="114" t="str">
        <f>IF(Main[[#This Row],[Tech Start Date]]&lt;1/1/1990,"",IF(Main[[#This Row],[Class]]="C",WORKDAY(Main[[#This Row],[Tech Start Date]],9),IF(Main[[#This Row],[Class]]="B", WORKDAY(Main[[#This Row],[Tech Start Date]],6),IF(Main[[#This Row],[Class]]="A",WORKDAY(Main[[#This Row],[Tech Start Date]],2),""))))</f>
        <v/>
      </c>
      <c r="N658" s="114" t="str">
        <f>IF(Main[[#This Row],[Tech Start Date]]&lt;1/1/1990,"",IF(Main[[#This Row],[Class]]="C",WORKDAY(Main[[#This Row],[Tech Start Date]],19),IF(Main[[#This Row],[Class]]="B", WORKDAY(Main[[#This Row],[Tech Start Date]],12),IF(Main[[#This Row],[Class]]="A",WORKDAY(Main[[#This Row],[Tech Start Date]],4),""))))</f>
        <v/>
      </c>
      <c r="O658" s="114" t="str">
        <f>IF(Main[[#This Row],[Tech Start Date]]&lt;1/1/1990,"",IF(Main[[#This Row],[Class]]="C",WORKDAY(Main[[#This Row],[Tech Start Date]],23),IF(Main[[#This Row],[Class]]="B", WORKDAY(Main[[#This Row],[Tech Start Date]],15),IF(Main[[#This Row],[Class]]="A",WORKDAY(Main[[#This Row],[Tech Start Date]],5),""))))</f>
        <v/>
      </c>
      <c r="P658" s="114" t="str">
        <f>IF(Main[[#This Row],[Tech Start Date]]&lt;1/1/1990,"",IF(Main[[#This Row],[Class]]="C",WORKDAY(Main[[#This Row],[Tech Start Date]],28),IF(Main[[#This Row],[Class]]="B", WORKDAY(Main[[#This Row],[Tech Start Date]],19),IF(Main[[#This Row],[Class]]="A",WORKDAY(Main[[#This Row],[Tech Start Date]],9),""))))</f>
        <v/>
      </c>
      <c r="Q658" s="129">
        <v>40858</v>
      </c>
      <c r="R658" s="129"/>
      <c r="S658" s="139" t="s">
        <v>17</v>
      </c>
      <c r="T658" s="115" t="s">
        <v>4</v>
      </c>
      <c r="U658" s="139" t="s">
        <v>14</v>
      </c>
      <c r="V658" s="139" t="s">
        <v>1914</v>
      </c>
      <c r="W658" s="139" t="s">
        <v>1919</v>
      </c>
      <c r="X658" s="139" t="s">
        <v>50</v>
      </c>
      <c r="Y658" s="112" t="s">
        <v>2959</v>
      </c>
      <c r="Z658" s="112" t="s">
        <v>4</v>
      </c>
      <c r="AA658" s="139" t="s">
        <v>2828</v>
      </c>
    </row>
    <row r="659" spans="1:27" ht="17.25" customHeight="1">
      <c r="A659" s="69" t="str">
        <f>IF(priority(Main[[#This Row],[Comments]])&lt;&gt;0, priority(Main[[#This Row],[Comments]]),"")</f>
        <v/>
      </c>
      <c r="B659" s="63" t="s">
        <v>2502</v>
      </c>
      <c r="C659" s="148" t="s">
        <v>2503</v>
      </c>
      <c r="D659" s="113" t="s">
        <v>2662</v>
      </c>
      <c r="E659" s="129"/>
      <c r="F659" s="129"/>
      <c r="G659" s="69" t="str">
        <f>IF(stdProdLT(Main[[#This Row],[Comments]])=0.1,"N/A",IF(stdProdLT(Main[[#This Row],[Comments]])=0,"",stdProdLT(Main[[#This Row],[Comments]])))</f>
        <v/>
      </c>
      <c r="H659" s="138" t="str">
        <f>IF(Main[[#This Row],[In Stock Date]]="N/A", "N/A",IF(AND(Main[[#This Row],[In Stock Date]]&lt;&gt;"",Main[[#This Row],[Revised Due Date]]&lt;&gt;"",Main[[#This Row],[In Stock Date]]&lt;&gt;""),Main[[#This Row],[In Stock Date]]-Main[[#This Row],[Revised Due Date]],""))</f>
        <v/>
      </c>
      <c r="I659" s="139" t="s">
        <v>4</v>
      </c>
      <c r="J659" s="139" t="s">
        <v>4</v>
      </c>
      <c r="K659" s="140" t="s">
        <v>4</v>
      </c>
      <c r="L659" s="129"/>
      <c r="M659" s="114" t="str">
        <f>IF(Main[[#This Row],[Tech Start Date]]&lt;1/1/1990,"",IF(Main[[#This Row],[Class]]="C",WORKDAY(Main[[#This Row],[Tech Start Date]],9),IF(Main[[#This Row],[Class]]="B", WORKDAY(Main[[#This Row],[Tech Start Date]],6),IF(Main[[#This Row],[Class]]="A",WORKDAY(Main[[#This Row],[Tech Start Date]],2),""))))</f>
        <v/>
      </c>
      <c r="N659" s="114" t="str">
        <f>IF(Main[[#This Row],[Tech Start Date]]&lt;1/1/1990,"",IF(Main[[#This Row],[Class]]="C",WORKDAY(Main[[#This Row],[Tech Start Date]],19),IF(Main[[#This Row],[Class]]="B", WORKDAY(Main[[#This Row],[Tech Start Date]],12),IF(Main[[#This Row],[Class]]="A",WORKDAY(Main[[#This Row],[Tech Start Date]],4),""))))</f>
        <v/>
      </c>
      <c r="O659" s="114" t="str">
        <f>IF(Main[[#This Row],[Tech Start Date]]&lt;1/1/1990,"",IF(Main[[#This Row],[Class]]="C",WORKDAY(Main[[#This Row],[Tech Start Date]],23),IF(Main[[#This Row],[Class]]="B", WORKDAY(Main[[#This Row],[Tech Start Date]],15),IF(Main[[#This Row],[Class]]="A",WORKDAY(Main[[#This Row],[Tech Start Date]],5),""))))</f>
        <v/>
      </c>
      <c r="P659" s="114" t="str">
        <f>IF(Main[[#This Row],[Tech Start Date]]&lt;1/1/1990,"",IF(Main[[#This Row],[Class]]="C",WORKDAY(Main[[#This Row],[Tech Start Date]],28),IF(Main[[#This Row],[Class]]="B", WORKDAY(Main[[#This Row],[Tech Start Date]],19),IF(Main[[#This Row],[Class]]="A",WORKDAY(Main[[#This Row],[Tech Start Date]],9),""))))</f>
        <v/>
      </c>
      <c r="Q659" s="129">
        <v>40875</v>
      </c>
      <c r="R659" s="129"/>
      <c r="S659" s="139" t="s">
        <v>11</v>
      </c>
      <c r="T659" s="115" t="s">
        <v>2663</v>
      </c>
      <c r="U659" s="139" t="s">
        <v>14</v>
      </c>
      <c r="V659" s="139" t="s">
        <v>1917</v>
      </c>
      <c r="W659" s="139" t="s">
        <v>1922</v>
      </c>
      <c r="X659" s="139" t="s">
        <v>2911</v>
      </c>
      <c r="Y659" s="112" t="s">
        <v>3128</v>
      </c>
      <c r="Z659" s="112" t="s">
        <v>4</v>
      </c>
      <c r="AA659" s="139" t="s">
        <v>3461</v>
      </c>
    </row>
    <row r="660" spans="1:27" ht="17.25" customHeight="1">
      <c r="A660" s="69" t="str">
        <f>IF(priority(Main[[#This Row],[Comments]])&lt;&gt;0, priority(Main[[#This Row],[Comments]]),"")</f>
        <v/>
      </c>
      <c r="B660" s="63" t="s">
        <v>1494</v>
      </c>
      <c r="C660" s="148" t="s">
        <v>4</v>
      </c>
      <c r="D660" s="113" t="s">
        <v>39</v>
      </c>
      <c r="E660" s="129"/>
      <c r="F660" s="129"/>
      <c r="G660" s="69" t="str">
        <f>IF(stdProdLT(Main[[#This Row],[Comments]])=0.1,"N/A",IF(stdProdLT(Main[[#This Row],[Comments]])=0,"",stdProdLT(Main[[#This Row],[Comments]])))</f>
        <v/>
      </c>
      <c r="H660" s="138" t="str">
        <f>IF(Main[[#This Row],[In Stock Date]]="N/A", "N/A",IF(AND(Main[[#This Row],[In Stock Date]]&lt;&gt;"",Main[[#This Row],[Revised Due Date]]&lt;&gt;"",Main[[#This Row],[In Stock Date]]&lt;&gt;""),Main[[#This Row],[In Stock Date]]-Main[[#This Row],[Revised Due Date]],""))</f>
        <v/>
      </c>
      <c r="I660" s="139" t="s">
        <v>4</v>
      </c>
      <c r="J660" s="139" t="s">
        <v>4</v>
      </c>
      <c r="K660" s="140" t="s">
        <v>4</v>
      </c>
      <c r="L660" s="129"/>
      <c r="M660" s="114" t="str">
        <f>IF(Main[[#This Row],[Tech Start Date]]&lt;1/1/1990,"",IF(Main[[#This Row],[Class]]="C",WORKDAY(Main[[#This Row],[Tech Start Date]],9),IF(Main[[#This Row],[Class]]="B", WORKDAY(Main[[#This Row],[Tech Start Date]],6),IF(Main[[#This Row],[Class]]="A",WORKDAY(Main[[#This Row],[Tech Start Date]],2),""))))</f>
        <v/>
      </c>
      <c r="N660" s="114" t="str">
        <f>IF(Main[[#This Row],[Tech Start Date]]&lt;1/1/1990,"",IF(Main[[#This Row],[Class]]="C",WORKDAY(Main[[#This Row],[Tech Start Date]],19),IF(Main[[#This Row],[Class]]="B", WORKDAY(Main[[#This Row],[Tech Start Date]],12),IF(Main[[#This Row],[Class]]="A",WORKDAY(Main[[#This Row],[Tech Start Date]],4),""))))</f>
        <v/>
      </c>
      <c r="O660" s="114" t="str">
        <f>IF(Main[[#This Row],[Tech Start Date]]&lt;1/1/1990,"",IF(Main[[#This Row],[Class]]="C",WORKDAY(Main[[#This Row],[Tech Start Date]],23),IF(Main[[#This Row],[Class]]="B", WORKDAY(Main[[#This Row],[Tech Start Date]],15),IF(Main[[#This Row],[Class]]="A",WORKDAY(Main[[#This Row],[Tech Start Date]],5),""))))</f>
        <v/>
      </c>
      <c r="P660" s="114" t="str">
        <f>IF(Main[[#This Row],[Tech Start Date]]&lt;1/1/1990,"",IF(Main[[#This Row],[Class]]="C",WORKDAY(Main[[#This Row],[Tech Start Date]],28),IF(Main[[#This Row],[Class]]="B", WORKDAY(Main[[#This Row],[Tech Start Date]],19),IF(Main[[#This Row],[Class]]="A",WORKDAY(Main[[#This Row],[Tech Start Date]],9),""))))</f>
        <v/>
      </c>
      <c r="Q660" s="129">
        <v>40669</v>
      </c>
      <c r="R660" s="129"/>
      <c r="S660" s="139" t="s">
        <v>6</v>
      </c>
      <c r="T660" s="115" t="s">
        <v>4</v>
      </c>
      <c r="U660" s="139" t="s">
        <v>14</v>
      </c>
      <c r="V660" s="139" t="s">
        <v>1917</v>
      </c>
      <c r="W660" s="139" t="s">
        <v>4</v>
      </c>
      <c r="X660" s="139" t="s">
        <v>2818</v>
      </c>
      <c r="Y660" s="112" t="s">
        <v>2929</v>
      </c>
      <c r="Z660" s="112" t="s">
        <v>4</v>
      </c>
      <c r="AA660" s="139" t="s">
        <v>2818</v>
      </c>
    </row>
    <row r="661" spans="1:27" ht="17.25" customHeight="1">
      <c r="A661" s="69" t="str">
        <f>IF(priority(Main[[#This Row],[Comments]])&lt;&gt;0, priority(Main[[#This Row],[Comments]]),"")</f>
        <v/>
      </c>
      <c r="B661" s="63" t="s">
        <v>1495</v>
      </c>
      <c r="C661" s="148" t="s">
        <v>4</v>
      </c>
      <c r="D661" s="113" t="s">
        <v>598</v>
      </c>
      <c r="E661" s="129"/>
      <c r="F661" s="129"/>
      <c r="G661" s="69" t="str">
        <f>IF(stdProdLT(Main[[#This Row],[Comments]])=0.1,"N/A",IF(stdProdLT(Main[[#This Row],[Comments]])=0,"",stdProdLT(Main[[#This Row],[Comments]])))</f>
        <v/>
      </c>
      <c r="H661" s="138" t="str">
        <f>IF(Main[[#This Row],[In Stock Date]]="N/A", "N/A",IF(AND(Main[[#This Row],[In Stock Date]]&lt;&gt;"",Main[[#This Row],[Revised Due Date]]&lt;&gt;"",Main[[#This Row],[In Stock Date]]&lt;&gt;""),Main[[#This Row],[In Stock Date]]-Main[[#This Row],[Revised Due Date]],""))</f>
        <v/>
      </c>
      <c r="I661" s="139" t="s">
        <v>4</v>
      </c>
      <c r="J661" s="139" t="s">
        <v>28</v>
      </c>
      <c r="K661" s="140" t="s">
        <v>4</v>
      </c>
      <c r="L661" s="129"/>
      <c r="M661" s="114" t="str">
        <f>IF(Main[[#This Row],[Tech Start Date]]&lt;1/1/1990,"",IF(Main[[#This Row],[Class]]="C",WORKDAY(Main[[#This Row],[Tech Start Date]],9),IF(Main[[#This Row],[Class]]="B", WORKDAY(Main[[#This Row],[Tech Start Date]],6),IF(Main[[#This Row],[Class]]="A",WORKDAY(Main[[#This Row],[Tech Start Date]],2),""))))</f>
        <v/>
      </c>
      <c r="N661" s="114" t="str">
        <f>IF(Main[[#This Row],[Tech Start Date]]&lt;1/1/1990,"",IF(Main[[#This Row],[Class]]="C",WORKDAY(Main[[#This Row],[Tech Start Date]],19),IF(Main[[#This Row],[Class]]="B", WORKDAY(Main[[#This Row],[Tech Start Date]],12),IF(Main[[#This Row],[Class]]="A",WORKDAY(Main[[#This Row],[Tech Start Date]],4),""))))</f>
        <v/>
      </c>
      <c r="O661" s="114" t="str">
        <f>IF(Main[[#This Row],[Tech Start Date]]&lt;1/1/1990,"",IF(Main[[#This Row],[Class]]="C",WORKDAY(Main[[#This Row],[Tech Start Date]],23),IF(Main[[#This Row],[Class]]="B", WORKDAY(Main[[#This Row],[Tech Start Date]],15),IF(Main[[#This Row],[Class]]="A",WORKDAY(Main[[#This Row],[Tech Start Date]],5),""))))</f>
        <v/>
      </c>
      <c r="P661" s="114" t="str">
        <f>IF(Main[[#This Row],[Tech Start Date]]&lt;1/1/1990,"",IF(Main[[#This Row],[Class]]="C",WORKDAY(Main[[#This Row],[Tech Start Date]],28),IF(Main[[#This Row],[Class]]="B", WORKDAY(Main[[#This Row],[Tech Start Date]],19),IF(Main[[#This Row],[Class]]="A",WORKDAY(Main[[#This Row],[Tech Start Date]],9),""))))</f>
        <v/>
      </c>
      <c r="Q661" s="129">
        <v>40482</v>
      </c>
      <c r="R661" s="129"/>
      <c r="S661" s="139" t="s">
        <v>6</v>
      </c>
      <c r="T661" s="115" t="s">
        <v>4</v>
      </c>
      <c r="U661" s="139" t="s">
        <v>14</v>
      </c>
      <c r="V661" s="139" t="s">
        <v>1917</v>
      </c>
      <c r="W661" s="139" t="s">
        <v>1918</v>
      </c>
      <c r="X661" s="139" t="s">
        <v>2887</v>
      </c>
      <c r="Y661" s="112" t="s">
        <v>3043</v>
      </c>
      <c r="Z661" s="112" t="s">
        <v>530</v>
      </c>
      <c r="AA661" s="139" t="s">
        <v>2887</v>
      </c>
    </row>
    <row r="662" spans="1:27" ht="17.25" customHeight="1">
      <c r="A662" s="69" t="str">
        <f>IF(priority(Main[[#This Row],[Comments]])&lt;&gt;0, priority(Main[[#This Row],[Comments]]),"")</f>
        <v/>
      </c>
      <c r="B662" s="63" t="s">
        <v>2092</v>
      </c>
      <c r="C662" s="148" t="s">
        <v>4</v>
      </c>
      <c r="D662" s="113" t="s">
        <v>2093</v>
      </c>
      <c r="E662" s="129"/>
      <c r="F662" s="129"/>
      <c r="G662" s="69" t="str">
        <f>IF(stdProdLT(Main[[#This Row],[Comments]])=0.1,"N/A",IF(stdProdLT(Main[[#This Row],[Comments]])=0,"",stdProdLT(Main[[#This Row],[Comments]])))</f>
        <v/>
      </c>
      <c r="H662" s="138" t="str">
        <f>IF(Main[[#This Row],[In Stock Date]]="N/A", "N/A",IF(AND(Main[[#This Row],[In Stock Date]]&lt;&gt;"",Main[[#This Row],[Revised Due Date]]&lt;&gt;"",Main[[#This Row],[In Stock Date]]&lt;&gt;""),Main[[#This Row],[In Stock Date]]-Main[[#This Row],[Revised Due Date]],""))</f>
        <v/>
      </c>
      <c r="I662" s="139" t="s">
        <v>4</v>
      </c>
      <c r="J662" s="139" t="s">
        <v>4</v>
      </c>
      <c r="K662" s="140" t="s">
        <v>4</v>
      </c>
      <c r="L662" s="129"/>
      <c r="M662" s="114" t="str">
        <f>IF(Main[[#This Row],[Tech Start Date]]&lt;1/1/1990,"",IF(Main[[#This Row],[Class]]="C",WORKDAY(Main[[#This Row],[Tech Start Date]],9),IF(Main[[#This Row],[Class]]="B", WORKDAY(Main[[#This Row],[Tech Start Date]],6),IF(Main[[#This Row],[Class]]="A",WORKDAY(Main[[#This Row],[Tech Start Date]],2),""))))</f>
        <v/>
      </c>
      <c r="N662" s="114" t="str">
        <f>IF(Main[[#This Row],[Tech Start Date]]&lt;1/1/1990,"",IF(Main[[#This Row],[Class]]="C",WORKDAY(Main[[#This Row],[Tech Start Date]],19),IF(Main[[#This Row],[Class]]="B", WORKDAY(Main[[#This Row],[Tech Start Date]],12),IF(Main[[#This Row],[Class]]="A",WORKDAY(Main[[#This Row],[Tech Start Date]],4),""))))</f>
        <v/>
      </c>
      <c r="O662" s="114" t="str">
        <f>IF(Main[[#This Row],[Tech Start Date]]&lt;1/1/1990,"",IF(Main[[#This Row],[Class]]="C",WORKDAY(Main[[#This Row],[Tech Start Date]],23),IF(Main[[#This Row],[Class]]="B", WORKDAY(Main[[#This Row],[Tech Start Date]],15),IF(Main[[#This Row],[Class]]="A",WORKDAY(Main[[#This Row],[Tech Start Date]],5),""))))</f>
        <v/>
      </c>
      <c r="P662" s="114" t="str">
        <f>IF(Main[[#This Row],[Tech Start Date]]&lt;1/1/1990,"",IF(Main[[#This Row],[Class]]="C",WORKDAY(Main[[#This Row],[Tech Start Date]],28),IF(Main[[#This Row],[Class]]="B", WORKDAY(Main[[#This Row],[Tech Start Date]],19),IF(Main[[#This Row],[Class]]="A",WORKDAY(Main[[#This Row],[Tech Start Date]],9),""))))</f>
        <v/>
      </c>
      <c r="Q662" s="129"/>
      <c r="R662" s="129"/>
      <c r="S662" s="139" t="s">
        <v>6</v>
      </c>
      <c r="T662" s="115" t="s">
        <v>4</v>
      </c>
      <c r="U662" s="139" t="s">
        <v>14</v>
      </c>
      <c r="V662" s="139" t="s">
        <v>1917</v>
      </c>
      <c r="W662" s="139" t="s">
        <v>1918</v>
      </c>
      <c r="X662" s="139" t="s">
        <v>306</v>
      </c>
      <c r="Y662" s="112" t="s">
        <v>4</v>
      </c>
      <c r="Z662" s="112" t="s">
        <v>4</v>
      </c>
      <c r="AA662" s="139" t="s">
        <v>4</v>
      </c>
    </row>
    <row r="663" spans="1:27" ht="17.25" customHeight="1">
      <c r="A663" s="69" t="str">
        <f>IF(priority(Main[[#This Row],[Comments]])&lt;&gt;0, priority(Main[[#This Row],[Comments]]),"")</f>
        <v/>
      </c>
      <c r="B663" s="63" t="s">
        <v>1497</v>
      </c>
      <c r="C663" s="148" t="s">
        <v>600</v>
      </c>
      <c r="D663" s="113" t="s">
        <v>601</v>
      </c>
      <c r="E663" s="129"/>
      <c r="F663" s="129"/>
      <c r="G663" s="69" t="str">
        <f>IF(stdProdLT(Main[[#This Row],[Comments]])=0.1,"N/A",IF(stdProdLT(Main[[#This Row],[Comments]])=0,"",stdProdLT(Main[[#This Row],[Comments]])))</f>
        <v/>
      </c>
      <c r="H663" s="138" t="str">
        <f>IF(Main[[#This Row],[In Stock Date]]="N/A", "N/A",IF(AND(Main[[#This Row],[In Stock Date]]&lt;&gt;"",Main[[#This Row],[Revised Due Date]]&lt;&gt;"",Main[[#This Row],[In Stock Date]]&lt;&gt;""),Main[[#This Row],[In Stock Date]]-Main[[#This Row],[Revised Due Date]],""))</f>
        <v/>
      </c>
      <c r="I663" s="139" t="s">
        <v>4</v>
      </c>
      <c r="J663" s="139" t="s">
        <v>4</v>
      </c>
      <c r="K663" s="139" t="s">
        <v>4</v>
      </c>
      <c r="L663" s="129"/>
      <c r="M663" s="114" t="str">
        <f>IF(Main[[#This Row],[Tech Start Date]]&lt;1/1/1990,"",IF(Main[[#This Row],[Class]]="C",WORKDAY(Main[[#This Row],[Tech Start Date]],9),IF(Main[[#This Row],[Class]]="B", WORKDAY(Main[[#This Row],[Tech Start Date]],6),IF(Main[[#This Row],[Class]]="A",WORKDAY(Main[[#This Row],[Tech Start Date]],2),""))))</f>
        <v/>
      </c>
      <c r="N663" s="114" t="str">
        <f>IF(Main[[#This Row],[Tech Start Date]]&lt;1/1/1990,"",IF(Main[[#This Row],[Class]]="C",WORKDAY(Main[[#This Row],[Tech Start Date]],19),IF(Main[[#This Row],[Class]]="B", WORKDAY(Main[[#This Row],[Tech Start Date]],12),IF(Main[[#This Row],[Class]]="A",WORKDAY(Main[[#This Row],[Tech Start Date]],4),""))))</f>
        <v/>
      </c>
      <c r="O663" s="114" t="str">
        <f>IF(Main[[#This Row],[Tech Start Date]]&lt;1/1/1990,"",IF(Main[[#This Row],[Class]]="C",WORKDAY(Main[[#This Row],[Tech Start Date]],23),IF(Main[[#This Row],[Class]]="B", WORKDAY(Main[[#This Row],[Tech Start Date]],15),IF(Main[[#This Row],[Class]]="A",WORKDAY(Main[[#This Row],[Tech Start Date]],5),""))))</f>
        <v/>
      </c>
      <c r="P663" s="114" t="str">
        <f>IF(Main[[#This Row],[Tech Start Date]]&lt;1/1/1990,"",IF(Main[[#This Row],[Class]]="C",WORKDAY(Main[[#This Row],[Tech Start Date]],28),IF(Main[[#This Row],[Class]]="B", WORKDAY(Main[[#This Row],[Tech Start Date]],19),IF(Main[[#This Row],[Class]]="A",WORKDAY(Main[[#This Row],[Tech Start Date]],9),""))))</f>
        <v/>
      </c>
      <c r="Q663" s="129">
        <v>40219</v>
      </c>
      <c r="R663" s="129"/>
      <c r="S663" s="139" t="s">
        <v>11</v>
      </c>
      <c r="T663" s="115" t="s">
        <v>4</v>
      </c>
      <c r="U663" s="139" t="s">
        <v>14</v>
      </c>
      <c r="V663" s="139" t="s">
        <v>1917</v>
      </c>
      <c r="W663" s="139" t="s">
        <v>1916</v>
      </c>
      <c r="X663" s="139" t="s">
        <v>2894</v>
      </c>
      <c r="Y663" s="112" t="s">
        <v>4</v>
      </c>
      <c r="Z663" s="112" t="s">
        <v>4</v>
      </c>
      <c r="AA663" s="139" t="s">
        <v>2894</v>
      </c>
    </row>
    <row r="664" spans="1:27" ht="17.25" customHeight="1">
      <c r="A664" s="69" t="str">
        <f>IF(priority(Main[[#This Row],[Comments]])&lt;&gt;0, priority(Main[[#This Row],[Comments]]),"")</f>
        <v/>
      </c>
      <c r="B664" s="63" t="s">
        <v>1498</v>
      </c>
      <c r="C664" s="148" t="s">
        <v>4</v>
      </c>
      <c r="D664" s="113" t="s">
        <v>602</v>
      </c>
      <c r="E664" s="129"/>
      <c r="F664" s="129"/>
      <c r="G664" s="69" t="str">
        <f>IF(stdProdLT(Main[[#This Row],[Comments]])=0.1,"N/A",IF(stdProdLT(Main[[#This Row],[Comments]])=0,"",stdProdLT(Main[[#This Row],[Comments]])))</f>
        <v/>
      </c>
      <c r="H664" s="138" t="str">
        <f>IF(Main[[#This Row],[In Stock Date]]="N/A", "N/A",IF(AND(Main[[#This Row],[In Stock Date]]&lt;&gt;"",Main[[#This Row],[Revised Due Date]]&lt;&gt;"",Main[[#This Row],[In Stock Date]]&lt;&gt;""),Main[[#This Row],[In Stock Date]]-Main[[#This Row],[Revised Due Date]],""))</f>
        <v/>
      </c>
      <c r="I664" s="139" t="s">
        <v>81</v>
      </c>
      <c r="J664" s="139" t="s">
        <v>4</v>
      </c>
      <c r="K664" s="139" t="s">
        <v>4</v>
      </c>
      <c r="L664" s="129"/>
      <c r="M664" s="114" t="str">
        <f>IF(Main[[#This Row],[Tech Start Date]]&lt;1/1/1990,"",IF(Main[[#This Row],[Class]]="C",WORKDAY(Main[[#This Row],[Tech Start Date]],9),IF(Main[[#This Row],[Class]]="B", WORKDAY(Main[[#This Row],[Tech Start Date]],6),IF(Main[[#This Row],[Class]]="A",WORKDAY(Main[[#This Row],[Tech Start Date]],2),""))))</f>
        <v/>
      </c>
      <c r="N664" s="114" t="str">
        <f>IF(Main[[#This Row],[Tech Start Date]]&lt;1/1/1990,"",IF(Main[[#This Row],[Class]]="C",WORKDAY(Main[[#This Row],[Tech Start Date]],19),IF(Main[[#This Row],[Class]]="B", WORKDAY(Main[[#This Row],[Tech Start Date]],12),IF(Main[[#This Row],[Class]]="A",WORKDAY(Main[[#This Row],[Tech Start Date]],4),""))))</f>
        <v/>
      </c>
      <c r="O664" s="114" t="str">
        <f>IF(Main[[#This Row],[Tech Start Date]]&lt;1/1/1990,"",IF(Main[[#This Row],[Class]]="C",WORKDAY(Main[[#This Row],[Tech Start Date]],23),IF(Main[[#This Row],[Class]]="B", WORKDAY(Main[[#This Row],[Tech Start Date]],15),IF(Main[[#This Row],[Class]]="A",WORKDAY(Main[[#This Row],[Tech Start Date]],5),""))))</f>
        <v/>
      </c>
      <c r="P664" s="114" t="str">
        <f>IF(Main[[#This Row],[Tech Start Date]]&lt;1/1/1990,"",IF(Main[[#This Row],[Class]]="C",WORKDAY(Main[[#This Row],[Tech Start Date]],28),IF(Main[[#This Row],[Class]]="B", WORKDAY(Main[[#This Row],[Tech Start Date]],19),IF(Main[[#This Row],[Class]]="A",WORKDAY(Main[[#This Row],[Tech Start Date]],9),""))))</f>
        <v/>
      </c>
      <c r="Q664" s="129">
        <v>40390</v>
      </c>
      <c r="R664" s="129"/>
      <c r="S664" s="139" t="s">
        <v>6</v>
      </c>
      <c r="T664" s="115" t="s">
        <v>4</v>
      </c>
      <c r="U664" s="139" t="s">
        <v>14</v>
      </c>
      <c r="V664" s="139" t="s">
        <v>1917</v>
      </c>
      <c r="W664" s="139" t="s">
        <v>4</v>
      </c>
      <c r="X664" s="139" t="s">
        <v>2819</v>
      </c>
      <c r="Y664" s="112" t="s">
        <v>2932</v>
      </c>
      <c r="Z664" s="112" t="s">
        <v>44</v>
      </c>
      <c r="AA664" s="139" t="s">
        <v>2819</v>
      </c>
    </row>
    <row r="665" spans="1:27" ht="17.25" customHeight="1">
      <c r="A665" s="69" t="str">
        <f>IF(priority(Main[[#This Row],[Comments]])&lt;&gt;0, priority(Main[[#This Row],[Comments]]),"")</f>
        <v/>
      </c>
      <c r="B665" s="63" t="s">
        <v>1499</v>
      </c>
      <c r="C665" s="148" t="s">
        <v>93</v>
      </c>
      <c r="D665" s="113" t="s">
        <v>603</v>
      </c>
      <c r="E665" s="129"/>
      <c r="F665" s="129">
        <v>40299</v>
      </c>
      <c r="G665" s="69" t="str">
        <f>IF(stdProdLT(Main[[#This Row],[Comments]])=0.1,"N/A",IF(stdProdLT(Main[[#This Row],[Comments]])=0,"",stdProdLT(Main[[#This Row],[Comments]])))</f>
        <v/>
      </c>
      <c r="H665" s="138" t="str">
        <f>IF(Main[[#This Row],[In Stock Date]]="N/A", "N/A",IF(AND(Main[[#This Row],[In Stock Date]]&lt;&gt;"",Main[[#This Row],[Revised Due Date]]&lt;&gt;"",Main[[#This Row],[In Stock Date]]&lt;&gt;""),Main[[#This Row],[In Stock Date]]-Main[[#This Row],[Revised Due Date]],""))</f>
        <v/>
      </c>
      <c r="I665" s="139" t="s">
        <v>4</v>
      </c>
      <c r="J665" s="139" t="s">
        <v>4</v>
      </c>
      <c r="K665" s="139" t="s">
        <v>4</v>
      </c>
      <c r="L665" s="129"/>
      <c r="M665" s="114" t="str">
        <f>IF(Main[[#This Row],[Tech Start Date]]&lt;1/1/1990,"",IF(Main[[#This Row],[Class]]="C",WORKDAY(Main[[#This Row],[Tech Start Date]],9),IF(Main[[#This Row],[Class]]="B", WORKDAY(Main[[#This Row],[Tech Start Date]],6),IF(Main[[#This Row],[Class]]="A",WORKDAY(Main[[#This Row],[Tech Start Date]],2),""))))</f>
        <v/>
      </c>
      <c r="N665" s="114" t="str">
        <f>IF(Main[[#This Row],[Tech Start Date]]&lt;1/1/1990,"",IF(Main[[#This Row],[Class]]="C",WORKDAY(Main[[#This Row],[Tech Start Date]],19),IF(Main[[#This Row],[Class]]="B", WORKDAY(Main[[#This Row],[Tech Start Date]],12),IF(Main[[#This Row],[Class]]="A",WORKDAY(Main[[#This Row],[Tech Start Date]],4),""))))</f>
        <v/>
      </c>
      <c r="O665" s="114" t="str">
        <f>IF(Main[[#This Row],[Tech Start Date]]&lt;1/1/1990,"",IF(Main[[#This Row],[Class]]="C",WORKDAY(Main[[#This Row],[Tech Start Date]],23),IF(Main[[#This Row],[Class]]="B", WORKDAY(Main[[#This Row],[Tech Start Date]],15),IF(Main[[#This Row],[Class]]="A",WORKDAY(Main[[#This Row],[Tech Start Date]],5),""))))</f>
        <v/>
      </c>
      <c r="P665" s="114" t="str">
        <f>IF(Main[[#This Row],[Tech Start Date]]&lt;1/1/1990,"",IF(Main[[#This Row],[Class]]="C",WORKDAY(Main[[#This Row],[Tech Start Date]],28),IF(Main[[#This Row],[Class]]="B", WORKDAY(Main[[#This Row],[Tech Start Date]],19),IF(Main[[#This Row],[Class]]="A",WORKDAY(Main[[#This Row],[Tech Start Date]],9),""))))</f>
        <v/>
      </c>
      <c r="Q665" s="129">
        <v>40214</v>
      </c>
      <c r="R665" s="129"/>
      <c r="S665" s="139" t="s">
        <v>11</v>
      </c>
      <c r="T665" s="115" t="s">
        <v>4</v>
      </c>
      <c r="U665" s="139" t="s">
        <v>12</v>
      </c>
      <c r="V665" s="139" t="s">
        <v>1914</v>
      </c>
      <c r="W665" s="139" t="s">
        <v>1920</v>
      </c>
      <c r="X665" s="139" t="s">
        <v>2845</v>
      </c>
      <c r="Y665" s="112" t="s">
        <v>4</v>
      </c>
      <c r="Z665" s="112" t="s">
        <v>4</v>
      </c>
      <c r="AA665" s="139" t="s">
        <v>2845</v>
      </c>
    </row>
    <row r="666" spans="1:27" ht="17.25" customHeight="1">
      <c r="A666" s="69" t="str">
        <f>IF(priority(Main[[#This Row],[Comments]])&lt;&gt;0, priority(Main[[#This Row],[Comments]]),"")</f>
        <v/>
      </c>
      <c r="B666" s="63" t="s">
        <v>1186</v>
      </c>
      <c r="C666" s="148" t="s">
        <v>4</v>
      </c>
      <c r="D666" s="113" t="s">
        <v>247</v>
      </c>
      <c r="E666" s="129"/>
      <c r="F666" s="129"/>
      <c r="G666" s="69" t="str">
        <f>IF(stdProdLT(Main[[#This Row],[Comments]])=0.1,"N/A",IF(stdProdLT(Main[[#This Row],[Comments]])=0,"",stdProdLT(Main[[#This Row],[Comments]])))</f>
        <v/>
      </c>
      <c r="H666" s="138" t="str">
        <f>IF(Main[[#This Row],[In Stock Date]]="N/A", "N/A",IF(AND(Main[[#This Row],[In Stock Date]]&lt;&gt;"",Main[[#This Row],[Revised Due Date]]&lt;&gt;"",Main[[#This Row],[In Stock Date]]&lt;&gt;""),Main[[#This Row],[In Stock Date]]-Main[[#This Row],[Revised Due Date]],""))</f>
        <v/>
      </c>
      <c r="I666" s="139" t="s">
        <v>4</v>
      </c>
      <c r="J666" s="139" t="s">
        <v>28</v>
      </c>
      <c r="K666" s="139" t="s">
        <v>4</v>
      </c>
      <c r="L666" s="129"/>
      <c r="M666" s="114" t="str">
        <f>IF(Main[[#This Row],[Tech Start Date]]&lt;1/1/1990,"",IF(Main[[#This Row],[Class]]="C",WORKDAY(Main[[#This Row],[Tech Start Date]],9),IF(Main[[#This Row],[Class]]="B", WORKDAY(Main[[#This Row],[Tech Start Date]],6),IF(Main[[#This Row],[Class]]="A",WORKDAY(Main[[#This Row],[Tech Start Date]],2),""))))</f>
        <v/>
      </c>
      <c r="N666" s="114" t="str">
        <f>IF(Main[[#This Row],[Tech Start Date]]&lt;1/1/1990,"",IF(Main[[#This Row],[Class]]="C",WORKDAY(Main[[#This Row],[Tech Start Date]],19),IF(Main[[#This Row],[Class]]="B", WORKDAY(Main[[#This Row],[Tech Start Date]],12),IF(Main[[#This Row],[Class]]="A",WORKDAY(Main[[#This Row],[Tech Start Date]],4),""))))</f>
        <v/>
      </c>
      <c r="O666" s="114" t="str">
        <f>IF(Main[[#This Row],[Tech Start Date]]&lt;1/1/1990,"",IF(Main[[#This Row],[Class]]="C",WORKDAY(Main[[#This Row],[Tech Start Date]],23),IF(Main[[#This Row],[Class]]="B", WORKDAY(Main[[#This Row],[Tech Start Date]],15),IF(Main[[#This Row],[Class]]="A",WORKDAY(Main[[#This Row],[Tech Start Date]],5),""))))</f>
        <v/>
      </c>
      <c r="P666" s="114" t="str">
        <f>IF(Main[[#This Row],[Tech Start Date]]&lt;1/1/1990,"",IF(Main[[#This Row],[Class]]="C",WORKDAY(Main[[#This Row],[Tech Start Date]],28),IF(Main[[#This Row],[Class]]="B", WORKDAY(Main[[#This Row],[Tech Start Date]],19),IF(Main[[#This Row],[Class]]="A",WORKDAY(Main[[#This Row],[Tech Start Date]],9),""))))</f>
        <v/>
      </c>
      <c r="Q666" s="129">
        <v>40480</v>
      </c>
      <c r="R666" s="129"/>
      <c r="S666" s="139" t="s">
        <v>6</v>
      </c>
      <c r="T666" s="115" t="s">
        <v>4</v>
      </c>
      <c r="U666" s="139" t="s">
        <v>14</v>
      </c>
      <c r="V666" s="139" t="s">
        <v>1914</v>
      </c>
      <c r="W666" s="139" t="s">
        <v>1922</v>
      </c>
      <c r="X666" s="139" t="s">
        <v>2895</v>
      </c>
      <c r="Y666" s="112" t="s">
        <v>3060</v>
      </c>
      <c r="Z666" s="112" t="s">
        <v>129</v>
      </c>
      <c r="AA666" s="139" t="s">
        <v>2895</v>
      </c>
    </row>
    <row r="667" spans="1:27" ht="17.25" customHeight="1">
      <c r="A667" s="69" t="str">
        <f>IF(priority(Main[[#This Row],[Comments]])&lt;&gt;0, priority(Main[[#This Row],[Comments]]),"")</f>
        <v/>
      </c>
      <c r="B667" s="63" t="s">
        <v>1500</v>
      </c>
      <c r="C667" s="148" t="s">
        <v>31</v>
      </c>
      <c r="D667" s="113" t="s">
        <v>604</v>
      </c>
      <c r="E667" s="129"/>
      <c r="F667" s="129">
        <v>40330</v>
      </c>
      <c r="G667" s="69" t="str">
        <f>IF(stdProdLT(Main[[#This Row],[Comments]])=0.1,"N/A",IF(stdProdLT(Main[[#This Row],[Comments]])=0,"",stdProdLT(Main[[#This Row],[Comments]])))</f>
        <v/>
      </c>
      <c r="H667" s="138" t="str">
        <f>IF(Main[[#This Row],[In Stock Date]]="N/A", "N/A",IF(AND(Main[[#This Row],[In Stock Date]]&lt;&gt;"",Main[[#This Row],[Revised Due Date]]&lt;&gt;"",Main[[#This Row],[In Stock Date]]&lt;&gt;""),Main[[#This Row],[In Stock Date]]-Main[[#This Row],[Revised Due Date]],""))</f>
        <v/>
      </c>
      <c r="I667" s="139" t="s">
        <v>417</v>
      </c>
      <c r="J667" s="139" t="s">
        <v>4</v>
      </c>
      <c r="K667" s="139" t="s">
        <v>4</v>
      </c>
      <c r="L667" s="129"/>
      <c r="M667" s="114" t="str">
        <f>IF(Main[[#This Row],[Tech Start Date]]&lt;1/1/1990,"",IF(Main[[#This Row],[Class]]="C",WORKDAY(Main[[#This Row],[Tech Start Date]],9),IF(Main[[#This Row],[Class]]="B", WORKDAY(Main[[#This Row],[Tech Start Date]],6),IF(Main[[#This Row],[Class]]="A",WORKDAY(Main[[#This Row],[Tech Start Date]],2),""))))</f>
        <v/>
      </c>
      <c r="N667" s="114" t="str">
        <f>IF(Main[[#This Row],[Tech Start Date]]&lt;1/1/1990,"",IF(Main[[#This Row],[Class]]="C",WORKDAY(Main[[#This Row],[Tech Start Date]],19),IF(Main[[#This Row],[Class]]="B", WORKDAY(Main[[#This Row],[Tech Start Date]],12),IF(Main[[#This Row],[Class]]="A",WORKDAY(Main[[#This Row],[Tech Start Date]],4),""))))</f>
        <v/>
      </c>
      <c r="O667" s="114" t="str">
        <f>IF(Main[[#This Row],[Tech Start Date]]&lt;1/1/1990,"",IF(Main[[#This Row],[Class]]="C",WORKDAY(Main[[#This Row],[Tech Start Date]],23),IF(Main[[#This Row],[Class]]="B", WORKDAY(Main[[#This Row],[Tech Start Date]],15),IF(Main[[#This Row],[Class]]="A",WORKDAY(Main[[#This Row],[Tech Start Date]],5),""))))</f>
        <v/>
      </c>
      <c r="P667" s="114" t="str">
        <f>IF(Main[[#This Row],[Tech Start Date]]&lt;1/1/1990,"",IF(Main[[#This Row],[Class]]="C",WORKDAY(Main[[#This Row],[Tech Start Date]],28),IF(Main[[#This Row],[Class]]="B", WORKDAY(Main[[#This Row],[Tech Start Date]],19),IF(Main[[#This Row],[Class]]="A",WORKDAY(Main[[#This Row],[Tech Start Date]],9),""))))</f>
        <v/>
      </c>
      <c r="Q667" s="129">
        <v>40210</v>
      </c>
      <c r="R667" s="129"/>
      <c r="S667" s="139" t="s">
        <v>11</v>
      </c>
      <c r="T667" s="115" t="s">
        <v>4</v>
      </c>
      <c r="U667" s="139" t="s">
        <v>14</v>
      </c>
      <c r="V667" s="139" t="s">
        <v>1917</v>
      </c>
      <c r="W667" s="139" t="s">
        <v>1920</v>
      </c>
      <c r="X667" s="139" t="s">
        <v>2824</v>
      </c>
      <c r="Y667" s="112" t="s">
        <v>2943</v>
      </c>
      <c r="Z667" s="112" t="s">
        <v>4</v>
      </c>
      <c r="AA667" s="139" t="s">
        <v>2824</v>
      </c>
    </row>
    <row r="668" spans="1:27" ht="17.25" customHeight="1">
      <c r="A668" s="69" t="str">
        <f>IF(priority(Main[[#This Row],[Comments]])&lt;&gt;0, priority(Main[[#This Row],[Comments]]),"")</f>
        <v/>
      </c>
      <c r="B668" s="63" t="s">
        <v>1501</v>
      </c>
      <c r="C668" s="148" t="s">
        <v>4</v>
      </c>
      <c r="D668" s="113" t="s">
        <v>605</v>
      </c>
      <c r="E668" s="129">
        <v>40312.431608796294</v>
      </c>
      <c r="F668" s="129"/>
      <c r="G668" s="69" t="str">
        <f>IF(stdProdLT(Main[[#This Row],[Comments]])=0.1,"N/A",IF(stdProdLT(Main[[#This Row],[Comments]])=0,"",stdProdLT(Main[[#This Row],[Comments]])))</f>
        <v/>
      </c>
      <c r="H668" s="138" t="str">
        <f>IF(Main[[#This Row],[In Stock Date]]="N/A", "N/A",IF(AND(Main[[#This Row],[In Stock Date]]&lt;&gt;"",Main[[#This Row],[Revised Due Date]]&lt;&gt;"",Main[[#This Row],[In Stock Date]]&lt;&gt;""),Main[[#This Row],[In Stock Date]]-Main[[#This Row],[Revised Due Date]],""))</f>
        <v/>
      </c>
      <c r="I668" s="139" t="s">
        <v>129</v>
      </c>
      <c r="J668" s="139" t="s">
        <v>4</v>
      </c>
      <c r="K668" s="139" t="s">
        <v>4</v>
      </c>
      <c r="L668" s="129"/>
      <c r="M668" s="114" t="str">
        <f>IF(Main[[#This Row],[Tech Start Date]]&lt;1/1/1990,"",IF(Main[[#This Row],[Class]]="C",WORKDAY(Main[[#This Row],[Tech Start Date]],9),IF(Main[[#This Row],[Class]]="B", WORKDAY(Main[[#This Row],[Tech Start Date]],6),IF(Main[[#This Row],[Class]]="A",WORKDAY(Main[[#This Row],[Tech Start Date]],2),""))))</f>
        <v/>
      </c>
      <c r="N668" s="114" t="str">
        <f>IF(Main[[#This Row],[Tech Start Date]]&lt;1/1/1990,"",IF(Main[[#This Row],[Class]]="C",WORKDAY(Main[[#This Row],[Tech Start Date]],19),IF(Main[[#This Row],[Class]]="B", WORKDAY(Main[[#This Row],[Tech Start Date]],12),IF(Main[[#This Row],[Class]]="A",WORKDAY(Main[[#This Row],[Tech Start Date]],4),""))))</f>
        <v/>
      </c>
      <c r="O668" s="114" t="str">
        <f>IF(Main[[#This Row],[Tech Start Date]]&lt;1/1/1990,"",IF(Main[[#This Row],[Class]]="C",WORKDAY(Main[[#This Row],[Tech Start Date]],23),IF(Main[[#This Row],[Class]]="B", WORKDAY(Main[[#This Row],[Tech Start Date]],15),IF(Main[[#This Row],[Class]]="A",WORKDAY(Main[[#This Row],[Tech Start Date]],5),""))))</f>
        <v/>
      </c>
      <c r="P668" s="114" t="str">
        <f>IF(Main[[#This Row],[Tech Start Date]]&lt;1/1/1990,"",IF(Main[[#This Row],[Class]]="C",WORKDAY(Main[[#This Row],[Tech Start Date]],28),IF(Main[[#This Row],[Class]]="B", WORKDAY(Main[[#This Row],[Tech Start Date]],19),IF(Main[[#This Row],[Class]]="A",WORKDAY(Main[[#This Row],[Tech Start Date]],9),""))))</f>
        <v/>
      </c>
      <c r="Q668" s="129">
        <v>40326</v>
      </c>
      <c r="R668" s="129"/>
      <c r="S668" s="139" t="s">
        <v>6</v>
      </c>
      <c r="T668" s="115" t="s">
        <v>4</v>
      </c>
      <c r="U668" s="139" t="s">
        <v>7</v>
      </c>
      <c r="V668" s="139" t="s">
        <v>1914</v>
      </c>
      <c r="W668" s="139" t="s">
        <v>1918</v>
      </c>
      <c r="X668" s="139" t="s">
        <v>102</v>
      </c>
      <c r="Y668" s="112" t="s">
        <v>3011</v>
      </c>
      <c r="Z668" s="112" t="s">
        <v>4</v>
      </c>
      <c r="AA668" s="139" t="s">
        <v>102</v>
      </c>
    </row>
    <row r="669" spans="1:27" ht="17.25" customHeight="1">
      <c r="A669" s="69" t="str">
        <f>IF(priority(Main[[#This Row],[Comments]])&lt;&gt;0, priority(Main[[#This Row],[Comments]]),"")</f>
        <v/>
      </c>
      <c r="B669" s="63" t="s">
        <v>1514</v>
      </c>
      <c r="C669" s="148" t="s">
        <v>4</v>
      </c>
      <c r="D669" s="113" t="s">
        <v>590</v>
      </c>
      <c r="E669" s="129"/>
      <c r="F669" s="129"/>
      <c r="G669" s="69" t="str">
        <f>IF(stdProdLT(Main[[#This Row],[Comments]])=0.1,"N/A",IF(stdProdLT(Main[[#This Row],[Comments]])=0,"",stdProdLT(Main[[#This Row],[Comments]])))</f>
        <v/>
      </c>
      <c r="H669" s="138" t="str">
        <f>IF(Main[[#This Row],[In Stock Date]]="N/A", "N/A",IF(AND(Main[[#This Row],[In Stock Date]]&lt;&gt;"",Main[[#This Row],[Revised Due Date]]&lt;&gt;"",Main[[#This Row],[In Stock Date]]&lt;&gt;""),Main[[#This Row],[In Stock Date]]-Main[[#This Row],[Revised Due Date]],""))</f>
        <v/>
      </c>
      <c r="I669" s="139" t="s">
        <v>4</v>
      </c>
      <c r="J669" s="139" t="s">
        <v>4</v>
      </c>
      <c r="K669" s="139" t="s">
        <v>4</v>
      </c>
      <c r="L669" s="129"/>
      <c r="M669" s="114" t="str">
        <f>IF(Main[[#This Row],[Tech Start Date]]&lt;1/1/1990,"",IF(Main[[#This Row],[Class]]="C",WORKDAY(Main[[#This Row],[Tech Start Date]],9),IF(Main[[#This Row],[Class]]="B", WORKDAY(Main[[#This Row],[Tech Start Date]],6),IF(Main[[#This Row],[Class]]="A",WORKDAY(Main[[#This Row],[Tech Start Date]],2),""))))</f>
        <v/>
      </c>
      <c r="N669" s="114" t="str">
        <f>IF(Main[[#This Row],[Tech Start Date]]&lt;1/1/1990,"",IF(Main[[#This Row],[Class]]="C",WORKDAY(Main[[#This Row],[Tech Start Date]],19),IF(Main[[#This Row],[Class]]="B", WORKDAY(Main[[#This Row],[Tech Start Date]],12),IF(Main[[#This Row],[Class]]="A",WORKDAY(Main[[#This Row],[Tech Start Date]],4),""))))</f>
        <v/>
      </c>
      <c r="O669" s="114" t="str">
        <f>IF(Main[[#This Row],[Tech Start Date]]&lt;1/1/1990,"",IF(Main[[#This Row],[Class]]="C",WORKDAY(Main[[#This Row],[Tech Start Date]],23),IF(Main[[#This Row],[Class]]="B", WORKDAY(Main[[#This Row],[Tech Start Date]],15),IF(Main[[#This Row],[Class]]="A",WORKDAY(Main[[#This Row],[Tech Start Date]],5),""))))</f>
        <v/>
      </c>
      <c r="P669" s="114" t="str">
        <f>IF(Main[[#This Row],[Tech Start Date]]&lt;1/1/1990,"",IF(Main[[#This Row],[Class]]="C",WORKDAY(Main[[#This Row],[Tech Start Date]],28),IF(Main[[#This Row],[Class]]="B", WORKDAY(Main[[#This Row],[Tech Start Date]],19),IF(Main[[#This Row],[Class]]="A",WORKDAY(Main[[#This Row],[Tech Start Date]],9),""))))</f>
        <v/>
      </c>
      <c r="Q669" s="129"/>
      <c r="R669" s="129"/>
      <c r="S669" s="139" t="s">
        <v>23</v>
      </c>
      <c r="T669" s="115" t="s">
        <v>4</v>
      </c>
      <c r="U669" s="139" t="s">
        <v>14</v>
      </c>
      <c r="V669" s="139" t="s">
        <v>1914</v>
      </c>
      <c r="W669" s="139" t="s">
        <v>1918</v>
      </c>
      <c r="X669" s="139" t="s">
        <v>102</v>
      </c>
      <c r="Y669" s="112" t="s">
        <v>3068</v>
      </c>
      <c r="Z669" s="112" t="s">
        <v>4</v>
      </c>
      <c r="AA669" s="139" t="s">
        <v>3421</v>
      </c>
    </row>
    <row r="670" spans="1:27" ht="17.25" customHeight="1">
      <c r="A670" s="69" t="str">
        <f>IF(priority(Main[[#This Row],[Comments]])&lt;&gt;0, priority(Main[[#This Row],[Comments]]),"")</f>
        <v/>
      </c>
      <c r="B670" s="63" t="s">
        <v>1515</v>
      </c>
      <c r="C670" s="148" t="s">
        <v>4</v>
      </c>
      <c r="D670" s="113" t="s">
        <v>591</v>
      </c>
      <c r="E670" s="129"/>
      <c r="F670" s="129">
        <v>40047</v>
      </c>
      <c r="G670" s="69" t="str">
        <f>IF(stdProdLT(Main[[#This Row],[Comments]])=0.1,"N/A",IF(stdProdLT(Main[[#This Row],[Comments]])=0,"",stdProdLT(Main[[#This Row],[Comments]])))</f>
        <v/>
      </c>
      <c r="H670" s="138" t="str">
        <f>IF(Main[[#This Row],[In Stock Date]]="N/A", "N/A",IF(AND(Main[[#This Row],[In Stock Date]]&lt;&gt;"",Main[[#This Row],[Revised Due Date]]&lt;&gt;"",Main[[#This Row],[In Stock Date]]&lt;&gt;""),Main[[#This Row],[In Stock Date]]-Main[[#This Row],[Revised Due Date]],""))</f>
        <v/>
      </c>
      <c r="I670" s="139" t="s">
        <v>4</v>
      </c>
      <c r="J670" s="139" t="s">
        <v>4</v>
      </c>
      <c r="K670" s="139" t="s">
        <v>4</v>
      </c>
      <c r="L670" s="129"/>
      <c r="M670" s="114" t="str">
        <f>IF(Main[[#This Row],[Tech Start Date]]&lt;1/1/1990,"",IF(Main[[#This Row],[Class]]="C",WORKDAY(Main[[#This Row],[Tech Start Date]],9),IF(Main[[#This Row],[Class]]="B", WORKDAY(Main[[#This Row],[Tech Start Date]],6),IF(Main[[#This Row],[Class]]="A",WORKDAY(Main[[#This Row],[Tech Start Date]],2),""))))</f>
        <v/>
      </c>
      <c r="N670" s="114" t="str">
        <f>IF(Main[[#This Row],[Tech Start Date]]&lt;1/1/1990,"",IF(Main[[#This Row],[Class]]="C",WORKDAY(Main[[#This Row],[Tech Start Date]],19),IF(Main[[#This Row],[Class]]="B", WORKDAY(Main[[#This Row],[Tech Start Date]],12),IF(Main[[#This Row],[Class]]="A",WORKDAY(Main[[#This Row],[Tech Start Date]],4),""))))</f>
        <v/>
      </c>
      <c r="O670" s="114" t="str">
        <f>IF(Main[[#This Row],[Tech Start Date]]&lt;1/1/1990,"",IF(Main[[#This Row],[Class]]="C",WORKDAY(Main[[#This Row],[Tech Start Date]],23),IF(Main[[#This Row],[Class]]="B", WORKDAY(Main[[#This Row],[Tech Start Date]],15),IF(Main[[#This Row],[Class]]="A",WORKDAY(Main[[#This Row],[Tech Start Date]],5),""))))</f>
        <v/>
      </c>
      <c r="P670" s="114" t="str">
        <f>IF(Main[[#This Row],[Tech Start Date]]&lt;1/1/1990,"",IF(Main[[#This Row],[Class]]="C",WORKDAY(Main[[#This Row],[Tech Start Date]],28),IF(Main[[#This Row],[Class]]="B", WORKDAY(Main[[#This Row],[Tech Start Date]],19),IF(Main[[#This Row],[Class]]="A",WORKDAY(Main[[#This Row],[Tech Start Date]],9),""))))</f>
        <v/>
      </c>
      <c r="Q670" s="129"/>
      <c r="R670" s="129"/>
      <c r="S670" s="139" t="s">
        <v>11</v>
      </c>
      <c r="T670" s="115" t="s">
        <v>4</v>
      </c>
      <c r="U670" s="139" t="s">
        <v>14</v>
      </c>
      <c r="V670" s="139" t="s">
        <v>1917</v>
      </c>
      <c r="W670" s="139" t="s">
        <v>1920</v>
      </c>
      <c r="X670" s="139" t="s">
        <v>2863</v>
      </c>
      <c r="Y670" s="112" t="s">
        <v>3069</v>
      </c>
      <c r="Z670" s="112" t="s">
        <v>4</v>
      </c>
      <c r="AA670" s="139" t="s">
        <v>2863</v>
      </c>
    </row>
    <row r="671" spans="1:27" ht="17.25" customHeight="1">
      <c r="A671" s="69" t="str">
        <f>IF(priority(Main[[#This Row],[Comments]])&lt;&gt;0, priority(Main[[#This Row],[Comments]]),"")</f>
        <v/>
      </c>
      <c r="B671" s="63" t="s">
        <v>1516</v>
      </c>
      <c r="C671" s="148" t="s">
        <v>4</v>
      </c>
      <c r="D671" s="113" t="s">
        <v>592</v>
      </c>
      <c r="E671" s="129"/>
      <c r="F671" s="129"/>
      <c r="G671" s="69" t="str">
        <f>IF(stdProdLT(Main[[#This Row],[Comments]])=0.1,"N/A",IF(stdProdLT(Main[[#This Row],[Comments]])=0,"",stdProdLT(Main[[#This Row],[Comments]])))</f>
        <v/>
      </c>
      <c r="H671" s="138" t="str">
        <f>IF(Main[[#This Row],[In Stock Date]]="N/A", "N/A",IF(AND(Main[[#This Row],[In Stock Date]]&lt;&gt;"",Main[[#This Row],[Revised Due Date]]&lt;&gt;"",Main[[#This Row],[In Stock Date]]&lt;&gt;""),Main[[#This Row],[In Stock Date]]-Main[[#This Row],[Revised Due Date]],""))</f>
        <v/>
      </c>
      <c r="I671" s="139" t="s">
        <v>4</v>
      </c>
      <c r="J671" s="139" t="s">
        <v>4</v>
      </c>
      <c r="K671" s="139" t="s">
        <v>4</v>
      </c>
      <c r="L671" s="129"/>
      <c r="M671" s="114" t="str">
        <f>IF(Main[[#This Row],[Tech Start Date]]&lt;1/1/1990,"",IF(Main[[#This Row],[Class]]="C",WORKDAY(Main[[#This Row],[Tech Start Date]],9),IF(Main[[#This Row],[Class]]="B", WORKDAY(Main[[#This Row],[Tech Start Date]],6),IF(Main[[#This Row],[Class]]="A",WORKDAY(Main[[#This Row],[Tech Start Date]],2),""))))</f>
        <v/>
      </c>
      <c r="N671" s="114" t="str">
        <f>IF(Main[[#This Row],[Tech Start Date]]&lt;1/1/1990,"",IF(Main[[#This Row],[Class]]="C",WORKDAY(Main[[#This Row],[Tech Start Date]],19),IF(Main[[#This Row],[Class]]="B", WORKDAY(Main[[#This Row],[Tech Start Date]],12),IF(Main[[#This Row],[Class]]="A",WORKDAY(Main[[#This Row],[Tech Start Date]],4),""))))</f>
        <v/>
      </c>
      <c r="O671" s="114" t="str">
        <f>IF(Main[[#This Row],[Tech Start Date]]&lt;1/1/1990,"",IF(Main[[#This Row],[Class]]="C",WORKDAY(Main[[#This Row],[Tech Start Date]],23),IF(Main[[#This Row],[Class]]="B", WORKDAY(Main[[#This Row],[Tech Start Date]],15),IF(Main[[#This Row],[Class]]="A",WORKDAY(Main[[#This Row],[Tech Start Date]],5),""))))</f>
        <v/>
      </c>
      <c r="P671" s="114" t="str">
        <f>IF(Main[[#This Row],[Tech Start Date]]&lt;1/1/1990,"",IF(Main[[#This Row],[Class]]="C",WORKDAY(Main[[#This Row],[Tech Start Date]],28),IF(Main[[#This Row],[Class]]="B", WORKDAY(Main[[#This Row],[Tech Start Date]],19),IF(Main[[#This Row],[Class]]="A",WORKDAY(Main[[#This Row],[Tech Start Date]],9),""))))</f>
        <v/>
      </c>
      <c r="Q671" s="129"/>
      <c r="R671" s="129"/>
      <c r="S671" s="139" t="s">
        <v>6</v>
      </c>
      <c r="T671" s="115" t="s">
        <v>4</v>
      </c>
      <c r="U671" s="139" t="s">
        <v>12</v>
      </c>
      <c r="V671" s="139" t="s">
        <v>1914</v>
      </c>
      <c r="W671" s="139" t="s">
        <v>1918</v>
      </c>
      <c r="X671" s="139" t="s">
        <v>708</v>
      </c>
      <c r="Y671" s="112" t="s">
        <v>3070</v>
      </c>
      <c r="Z671" s="112" t="s">
        <v>4</v>
      </c>
      <c r="AA671" s="139" t="s">
        <v>708</v>
      </c>
    </row>
    <row r="672" spans="1:27" ht="17.25" customHeight="1">
      <c r="A672" s="69" t="str">
        <f>IF(priority(Main[[#This Row],[Comments]])&lt;&gt;0, priority(Main[[#This Row],[Comments]]),"")</f>
        <v/>
      </c>
      <c r="B672" s="63" t="s">
        <v>1517</v>
      </c>
      <c r="C672" s="148" t="s">
        <v>47</v>
      </c>
      <c r="D672" s="113" t="s">
        <v>593</v>
      </c>
      <c r="E672" s="129"/>
      <c r="F672" s="129"/>
      <c r="G672" s="69" t="str">
        <f>IF(stdProdLT(Main[[#This Row],[Comments]])=0.1,"N/A",IF(stdProdLT(Main[[#This Row],[Comments]])=0,"",stdProdLT(Main[[#This Row],[Comments]])))</f>
        <v/>
      </c>
      <c r="H672" s="138" t="str">
        <f>IF(Main[[#This Row],[In Stock Date]]="N/A", "N/A",IF(AND(Main[[#This Row],[In Stock Date]]&lt;&gt;"",Main[[#This Row],[Revised Due Date]]&lt;&gt;"",Main[[#This Row],[In Stock Date]]&lt;&gt;""),Main[[#This Row],[In Stock Date]]-Main[[#This Row],[Revised Due Date]],""))</f>
        <v/>
      </c>
      <c r="I672" s="139" t="s">
        <v>4</v>
      </c>
      <c r="J672" s="139" t="s">
        <v>4</v>
      </c>
      <c r="K672" s="139" t="s">
        <v>4</v>
      </c>
      <c r="L672" s="129"/>
      <c r="M672" s="114" t="str">
        <f>IF(Main[[#This Row],[Tech Start Date]]&lt;1/1/1990,"",IF(Main[[#This Row],[Class]]="C",WORKDAY(Main[[#This Row],[Tech Start Date]],9),IF(Main[[#This Row],[Class]]="B", WORKDAY(Main[[#This Row],[Tech Start Date]],6),IF(Main[[#This Row],[Class]]="A",WORKDAY(Main[[#This Row],[Tech Start Date]],2),""))))</f>
        <v/>
      </c>
      <c r="N672" s="114" t="str">
        <f>IF(Main[[#This Row],[Tech Start Date]]&lt;1/1/1990,"",IF(Main[[#This Row],[Class]]="C",WORKDAY(Main[[#This Row],[Tech Start Date]],19),IF(Main[[#This Row],[Class]]="B", WORKDAY(Main[[#This Row],[Tech Start Date]],12),IF(Main[[#This Row],[Class]]="A",WORKDAY(Main[[#This Row],[Tech Start Date]],4),""))))</f>
        <v/>
      </c>
      <c r="O672" s="114" t="str">
        <f>IF(Main[[#This Row],[Tech Start Date]]&lt;1/1/1990,"",IF(Main[[#This Row],[Class]]="C",WORKDAY(Main[[#This Row],[Tech Start Date]],23),IF(Main[[#This Row],[Class]]="B", WORKDAY(Main[[#This Row],[Tech Start Date]],15),IF(Main[[#This Row],[Class]]="A",WORKDAY(Main[[#This Row],[Tech Start Date]],5),""))))</f>
        <v/>
      </c>
      <c r="P672" s="114" t="str">
        <f>IF(Main[[#This Row],[Tech Start Date]]&lt;1/1/1990,"",IF(Main[[#This Row],[Class]]="C",WORKDAY(Main[[#This Row],[Tech Start Date]],28),IF(Main[[#This Row],[Class]]="B", WORKDAY(Main[[#This Row],[Tech Start Date]],19),IF(Main[[#This Row],[Class]]="A",WORKDAY(Main[[#This Row],[Tech Start Date]],9),""))))</f>
        <v/>
      </c>
      <c r="Q672" s="129"/>
      <c r="R672" s="129"/>
      <c r="S672" s="139" t="s">
        <v>49</v>
      </c>
      <c r="T672" s="115" t="s">
        <v>4</v>
      </c>
      <c r="U672" s="139" t="s">
        <v>14</v>
      </c>
      <c r="V672" s="139" t="s">
        <v>1917</v>
      </c>
      <c r="W672" s="139" t="s">
        <v>1918</v>
      </c>
      <c r="X672" s="139" t="s">
        <v>306</v>
      </c>
      <c r="Y672" s="112" t="s">
        <v>2941</v>
      </c>
      <c r="Z672" s="112" t="s">
        <v>4</v>
      </c>
      <c r="AA672" s="139" t="s">
        <v>3376</v>
      </c>
    </row>
    <row r="673" spans="1:27" ht="17.25" customHeight="1">
      <c r="A673" s="69" t="str">
        <f>IF(priority(Main[[#This Row],[Comments]])&lt;&gt;0, priority(Main[[#This Row],[Comments]]),"")</f>
        <v/>
      </c>
      <c r="B673" s="63" t="s">
        <v>1995</v>
      </c>
      <c r="C673" s="148" t="s">
        <v>1996</v>
      </c>
      <c r="D673" s="113" t="s">
        <v>1997</v>
      </c>
      <c r="E673" s="129"/>
      <c r="F673" s="129">
        <v>40801</v>
      </c>
      <c r="G673" s="69" t="str">
        <f>IF(stdProdLT(Main[[#This Row],[Comments]])=0.1,"N/A",IF(stdProdLT(Main[[#This Row],[Comments]])=0,"",stdProdLT(Main[[#This Row],[Comments]])))</f>
        <v/>
      </c>
      <c r="H673" s="138" t="str">
        <f>IF(Main[[#This Row],[In Stock Date]]="N/A", "N/A",IF(AND(Main[[#This Row],[In Stock Date]]&lt;&gt;"",Main[[#This Row],[Revised Due Date]]&lt;&gt;"",Main[[#This Row],[In Stock Date]]&lt;&gt;""),Main[[#This Row],[In Stock Date]]-Main[[#This Row],[Revised Due Date]],""))</f>
        <v/>
      </c>
      <c r="I673" s="139" t="s">
        <v>4</v>
      </c>
      <c r="J673" s="139" t="s">
        <v>4</v>
      </c>
      <c r="K673" s="140" t="s">
        <v>4</v>
      </c>
      <c r="L673" s="129"/>
      <c r="M673" s="114" t="str">
        <f>IF(Main[[#This Row],[Tech Start Date]]&lt;1/1/1990,"",IF(Main[[#This Row],[Class]]="C",WORKDAY(Main[[#This Row],[Tech Start Date]],9),IF(Main[[#This Row],[Class]]="B", WORKDAY(Main[[#This Row],[Tech Start Date]],6),IF(Main[[#This Row],[Class]]="A",WORKDAY(Main[[#This Row],[Tech Start Date]],2),""))))</f>
        <v/>
      </c>
      <c r="N673" s="114" t="str">
        <f>IF(Main[[#This Row],[Tech Start Date]]&lt;1/1/1990,"",IF(Main[[#This Row],[Class]]="C",WORKDAY(Main[[#This Row],[Tech Start Date]],19),IF(Main[[#This Row],[Class]]="B", WORKDAY(Main[[#This Row],[Tech Start Date]],12),IF(Main[[#This Row],[Class]]="A",WORKDAY(Main[[#This Row],[Tech Start Date]],4),""))))</f>
        <v/>
      </c>
      <c r="O673" s="114" t="str">
        <f>IF(Main[[#This Row],[Tech Start Date]]&lt;1/1/1990,"",IF(Main[[#This Row],[Class]]="C",WORKDAY(Main[[#This Row],[Tech Start Date]],23),IF(Main[[#This Row],[Class]]="B", WORKDAY(Main[[#This Row],[Tech Start Date]],15),IF(Main[[#This Row],[Class]]="A",WORKDAY(Main[[#This Row],[Tech Start Date]],5),""))))</f>
        <v/>
      </c>
      <c r="P673" s="114" t="str">
        <f>IF(Main[[#This Row],[Tech Start Date]]&lt;1/1/1990,"",IF(Main[[#This Row],[Class]]="C",WORKDAY(Main[[#This Row],[Tech Start Date]],28),IF(Main[[#This Row],[Class]]="B", WORKDAY(Main[[#This Row],[Tech Start Date]],19),IF(Main[[#This Row],[Class]]="A",WORKDAY(Main[[#This Row],[Tech Start Date]],9),""))))</f>
        <v/>
      </c>
      <c r="Q673" s="129"/>
      <c r="R673" s="129"/>
      <c r="S673" s="139" t="s">
        <v>6</v>
      </c>
      <c r="T673" s="115" t="s">
        <v>4</v>
      </c>
      <c r="U673" s="139" t="s">
        <v>12</v>
      </c>
      <c r="V673" s="139" t="s">
        <v>1917</v>
      </c>
      <c r="W673" s="139" t="s">
        <v>1918</v>
      </c>
      <c r="X673" s="139" t="s">
        <v>2899</v>
      </c>
      <c r="Y673" s="112" t="s">
        <v>3071</v>
      </c>
      <c r="Z673" s="112" t="s">
        <v>4</v>
      </c>
      <c r="AA673" s="139" t="s">
        <v>3422</v>
      </c>
    </row>
    <row r="674" spans="1:27" ht="17.25" customHeight="1">
      <c r="A674" s="69" t="str">
        <f>IF(priority(Main[[#This Row],[Comments]])&lt;&gt;0, priority(Main[[#This Row],[Comments]]),"")</f>
        <v/>
      </c>
      <c r="B674" s="63" t="s">
        <v>1518</v>
      </c>
      <c r="C674" s="148" t="s">
        <v>4</v>
      </c>
      <c r="D674" s="113" t="s">
        <v>594</v>
      </c>
      <c r="E674" s="129">
        <v>40270.342719907407</v>
      </c>
      <c r="F674" s="129"/>
      <c r="G674" s="69" t="str">
        <f>IF(stdProdLT(Main[[#This Row],[Comments]])=0.1,"N/A",IF(stdProdLT(Main[[#This Row],[Comments]])=0,"",stdProdLT(Main[[#This Row],[Comments]])))</f>
        <v/>
      </c>
      <c r="H674" s="138" t="str">
        <f>IF(Main[[#This Row],[In Stock Date]]="N/A", "N/A",IF(AND(Main[[#This Row],[In Stock Date]]&lt;&gt;"",Main[[#This Row],[Revised Due Date]]&lt;&gt;"",Main[[#This Row],[In Stock Date]]&lt;&gt;""),Main[[#This Row],[In Stock Date]]-Main[[#This Row],[Revised Due Date]],""))</f>
        <v/>
      </c>
      <c r="I674" s="139" t="s">
        <v>4</v>
      </c>
      <c r="J674" s="139" t="s">
        <v>4</v>
      </c>
      <c r="K674" s="139" t="s">
        <v>4</v>
      </c>
      <c r="L674" s="129"/>
      <c r="M674" s="114" t="str">
        <f>IF(Main[[#This Row],[Tech Start Date]]&lt;1/1/1990,"",IF(Main[[#This Row],[Class]]="C",WORKDAY(Main[[#This Row],[Tech Start Date]],9),IF(Main[[#This Row],[Class]]="B", WORKDAY(Main[[#This Row],[Tech Start Date]],6),IF(Main[[#This Row],[Class]]="A",WORKDAY(Main[[#This Row],[Tech Start Date]],2),""))))</f>
        <v/>
      </c>
      <c r="N674" s="114" t="str">
        <f>IF(Main[[#This Row],[Tech Start Date]]&lt;1/1/1990,"",IF(Main[[#This Row],[Class]]="C",WORKDAY(Main[[#This Row],[Tech Start Date]],19),IF(Main[[#This Row],[Class]]="B", WORKDAY(Main[[#This Row],[Tech Start Date]],12),IF(Main[[#This Row],[Class]]="A",WORKDAY(Main[[#This Row],[Tech Start Date]],4),""))))</f>
        <v/>
      </c>
      <c r="O674" s="114" t="str">
        <f>IF(Main[[#This Row],[Tech Start Date]]&lt;1/1/1990,"",IF(Main[[#This Row],[Class]]="C",WORKDAY(Main[[#This Row],[Tech Start Date]],23),IF(Main[[#This Row],[Class]]="B", WORKDAY(Main[[#This Row],[Tech Start Date]],15),IF(Main[[#This Row],[Class]]="A",WORKDAY(Main[[#This Row],[Tech Start Date]],5),""))))</f>
        <v/>
      </c>
      <c r="P674" s="114" t="str">
        <f>IF(Main[[#This Row],[Tech Start Date]]&lt;1/1/1990,"",IF(Main[[#This Row],[Class]]="C",WORKDAY(Main[[#This Row],[Tech Start Date]],28),IF(Main[[#This Row],[Class]]="B", WORKDAY(Main[[#This Row],[Tech Start Date]],19),IF(Main[[#This Row],[Class]]="A",WORKDAY(Main[[#This Row],[Tech Start Date]],9),""))))</f>
        <v/>
      </c>
      <c r="Q674" s="129">
        <v>40359</v>
      </c>
      <c r="R674" s="129"/>
      <c r="S674" s="139" t="s">
        <v>6</v>
      </c>
      <c r="T674" s="115" t="s">
        <v>4</v>
      </c>
      <c r="U674" s="139" t="s">
        <v>7</v>
      </c>
      <c r="V674" s="139" t="s">
        <v>1914</v>
      </c>
      <c r="W674" s="139" t="s">
        <v>4</v>
      </c>
      <c r="X674" s="139" t="s">
        <v>2887</v>
      </c>
      <c r="Y674" s="112" t="s">
        <v>3043</v>
      </c>
      <c r="Z674" s="112" t="s">
        <v>4</v>
      </c>
      <c r="AA674" s="139" t="s">
        <v>2887</v>
      </c>
    </row>
    <row r="675" spans="1:27" ht="17.25" customHeight="1">
      <c r="A675" s="69" t="str">
        <f>IF(priority(Main[[#This Row],[Comments]])&lt;&gt;0, priority(Main[[#This Row],[Comments]]),"")</f>
        <v/>
      </c>
      <c r="B675" s="63" t="s">
        <v>1519</v>
      </c>
      <c r="C675" s="148" t="s">
        <v>351</v>
      </c>
      <c r="D675" s="113" t="s">
        <v>595</v>
      </c>
      <c r="E675" s="129"/>
      <c r="F675" s="129">
        <v>40452</v>
      </c>
      <c r="G675" s="69" t="str">
        <f>IF(stdProdLT(Main[[#This Row],[Comments]])=0.1,"N/A",IF(stdProdLT(Main[[#This Row],[Comments]])=0,"",stdProdLT(Main[[#This Row],[Comments]])))</f>
        <v/>
      </c>
      <c r="H675" s="138" t="str">
        <f>IF(Main[[#This Row],[In Stock Date]]="N/A", "N/A",IF(AND(Main[[#This Row],[In Stock Date]]&lt;&gt;"",Main[[#This Row],[Revised Due Date]]&lt;&gt;"",Main[[#This Row],[In Stock Date]]&lt;&gt;""),Main[[#This Row],[In Stock Date]]-Main[[#This Row],[Revised Due Date]],""))</f>
        <v/>
      </c>
      <c r="I675" s="139" t="s">
        <v>4</v>
      </c>
      <c r="J675" s="139" t="s">
        <v>4</v>
      </c>
      <c r="K675" s="139" t="s">
        <v>4</v>
      </c>
      <c r="L675" s="129"/>
      <c r="M675" s="114" t="str">
        <f>IF(Main[[#This Row],[Tech Start Date]]&lt;1/1/1990,"",IF(Main[[#This Row],[Class]]="C",WORKDAY(Main[[#This Row],[Tech Start Date]],9),IF(Main[[#This Row],[Class]]="B", WORKDAY(Main[[#This Row],[Tech Start Date]],6),IF(Main[[#This Row],[Class]]="A",WORKDAY(Main[[#This Row],[Tech Start Date]],2),""))))</f>
        <v/>
      </c>
      <c r="N675" s="114" t="str">
        <f>IF(Main[[#This Row],[Tech Start Date]]&lt;1/1/1990,"",IF(Main[[#This Row],[Class]]="C",WORKDAY(Main[[#This Row],[Tech Start Date]],19),IF(Main[[#This Row],[Class]]="B", WORKDAY(Main[[#This Row],[Tech Start Date]],12),IF(Main[[#This Row],[Class]]="A",WORKDAY(Main[[#This Row],[Tech Start Date]],4),""))))</f>
        <v/>
      </c>
      <c r="O675" s="114" t="str">
        <f>IF(Main[[#This Row],[Tech Start Date]]&lt;1/1/1990,"",IF(Main[[#This Row],[Class]]="C",WORKDAY(Main[[#This Row],[Tech Start Date]],23),IF(Main[[#This Row],[Class]]="B", WORKDAY(Main[[#This Row],[Tech Start Date]],15),IF(Main[[#This Row],[Class]]="A",WORKDAY(Main[[#This Row],[Tech Start Date]],5),""))))</f>
        <v/>
      </c>
      <c r="P675" s="114" t="str">
        <f>IF(Main[[#This Row],[Tech Start Date]]&lt;1/1/1990,"",IF(Main[[#This Row],[Class]]="C",WORKDAY(Main[[#This Row],[Tech Start Date]],28),IF(Main[[#This Row],[Class]]="B", WORKDAY(Main[[#This Row],[Tech Start Date]],19),IF(Main[[#This Row],[Class]]="A",WORKDAY(Main[[#This Row],[Tech Start Date]],9),""))))</f>
        <v/>
      </c>
      <c r="Q675" s="129">
        <v>40344</v>
      </c>
      <c r="R675" s="129"/>
      <c r="S675" s="139" t="s">
        <v>11</v>
      </c>
      <c r="T675" s="115" t="s">
        <v>4</v>
      </c>
      <c r="U675" s="139" t="s">
        <v>14</v>
      </c>
      <c r="V675" s="139" t="s">
        <v>1917</v>
      </c>
      <c r="W675" s="139" t="s">
        <v>1920</v>
      </c>
      <c r="X675" s="139" t="s">
        <v>2872</v>
      </c>
      <c r="Y675" s="112" t="s">
        <v>2996</v>
      </c>
      <c r="Z675" s="112" t="s">
        <v>530</v>
      </c>
      <c r="AA675" s="139" t="s">
        <v>2872</v>
      </c>
    </row>
    <row r="676" spans="1:27" ht="17.25" customHeight="1">
      <c r="A676" s="69" t="str">
        <f>IF(priority(Main[[#This Row],[Comments]])&lt;&gt;0, priority(Main[[#This Row],[Comments]]),"")</f>
        <v/>
      </c>
      <c r="B676" s="63" t="s">
        <v>1520</v>
      </c>
      <c r="C676" s="148" t="s">
        <v>4</v>
      </c>
      <c r="D676" s="113" t="s">
        <v>596</v>
      </c>
      <c r="E676" s="129">
        <v>40645.435763888891</v>
      </c>
      <c r="F676" s="129"/>
      <c r="G676" s="69" t="str">
        <f>IF(stdProdLT(Main[[#This Row],[Comments]])=0.1,"N/A",IF(stdProdLT(Main[[#This Row],[Comments]])=0,"",stdProdLT(Main[[#This Row],[Comments]])))</f>
        <v/>
      </c>
      <c r="H676" s="138" t="str">
        <f>IF(Main[[#This Row],[In Stock Date]]="N/A", "N/A",IF(AND(Main[[#This Row],[In Stock Date]]&lt;&gt;"",Main[[#This Row],[Revised Due Date]]&lt;&gt;"",Main[[#This Row],[In Stock Date]]&lt;&gt;""),Main[[#This Row],[In Stock Date]]-Main[[#This Row],[Revised Due Date]],""))</f>
        <v/>
      </c>
      <c r="I676" s="139" t="s">
        <v>561</v>
      </c>
      <c r="J676" s="139" t="s">
        <v>70</v>
      </c>
      <c r="K676" s="139" t="s">
        <v>4</v>
      </c>
      <c r="L676" s="129"/>
      <c r="M676" s="114" t="str">
        <f>IF(Main[[#This Row],[Tech Start Date]]&lt;1/1/1990,"",IF(Main[[#This Row],[Class]]="C",WORKDAY(Main[[#This Row],[Tech Start Date]],9),IF(Main[[#This Row],[Class]]="B", WORKDAY(Main[[#This Row],[Tech Start Date]],6),IF(Main[[#This Row],[Class]]="A",WORKDAY(Main[[#This Row],[Tech Start Date]],2),""))))</f>
        <v/>
      </c>
      <c r="N676" s="114" t="str">
        <f>IF(Main[[#This Row],[Tech Start Date]]&lt;1/1/1990,"",IF(Main[[#This Row],[Class]]="C",WORKDAY(Main[[#This Row],[Tech Start Date]],19),IF(Main[[#This Row],[Class]]="B", WORKDAY(Main[[#This Row],[Tech Start Date]],12),IF(Main[[#This Row],[Class]]="A",WORKDAY(Main[[#This Row],[Tech Start Date]],4),""))))</f>
        <v/>
      </c>
      <c r="O676" s="114" t="str">
        <f>IF(Main[[#This Row],[Tech Start Date]]&lt;1/1/1990,"",IF(Main[[#This Row],[Class]]="C",WORKDAY(Main[[#This Row],[Tech Start Date]],23),IF(Main[[#This Row],[Class]]="B", WORKDAY(Main[[#This Row],[Tech Start Date]],15),IF(Main[[#This Row],[Class]]="A",WORKDAY(Main[[#This Row],[Tech Start Date]],5),""))))</f>
        <v/>
      </c>
      <c r="P676" s="114" t="str">
        <f>IF(Main[[#This Row],[Tech Start Date]]&lt;1/1/1990,"",IF(Main[[#This Row],[Class]]="C",WORKDAY(Main[[#This Row],[Tech Start Date]],28),IF(Main[[#This Row],[Class]]="B", WORKDAY(Main[[#This Row],[Tech Start Date]],19),IF(Main[[#This Row],[Class]]="A",WORKDAY(Main[[#This Row],[Tech Start Date]],9),""))))</f>
        <v/>
      </c>
      <c r="Q676" s="129">
        <v>40669</v>
      </c>
      <c r="R676" s="129"/>
      <c r="S676" s="139" t="s">
        <v>6</v>
      </c>
      <c r="T676" s="115" t="s">
        <v>4</v>
      </c>
      <c r="U676" s="139" t="s">
        <v>29</v>
      </c>
      <c r="V676" s="139" t="s">
        <v>1914</v>
      </c>
      <c r="W676" s="139" t="s">
        <v>4</v>
      </c>
      <c r="X676" s="139" t="s">
        <v>126</v>
      </c>
      <c r="Y676" s="112" t="s">
        <v>3033</v>
      </c>
      <c r="Z676" s="112" t="s">
        <v>4</v>
      </c>
      <c r="AA676" s="139" t="s">
        <v>126</v>
      </c>
    </row>
    <row r="677" spans="1:27" ht="17.25" customHeight="1">
      <c r="A677" s="69" t="str">
        <f>IF(priority(Main[[#This Row],[Comments]])&lt;&gt;0, priority(Main[[#This Row],[Comments]]),"")</f>
        <v/>
      </c>
      <c r="B677" s="63" t="s">
        <v>1522</v>
      </c>
      <c r="C677" s="148" t="s">
        <v>401</v>
      </c>
      <c r="D677" s="113" t="s">
        <v>597</v>
      </c>
      <c r="E677" s="129"/>
      <c r="F677" s="129">
        <v>40447</v>
      </c>
      <c r="G677" s="69" t="str">
        <f>IF(stdProdLT(Main[[#This Row],[Comments]])=0.1,"N/A",IF(stdProdLT(Main[[#This Row],[Comments]])=0,"",stdProdLT(Main[[#This Row],[Comments]])))</f>
        <v/>
      </c>
      <c r="H677" s="138" t="str">
        <f>IF(Main[[#This Row],[In Stock Date]]="N/A", "N/A",IF(AND(Main[[#This Row],[In Stock Date]]&lt;&gt;"",Main[[#This Row],[Revised Due Date]]&lt;&gt;"",Main[[#This Row],[In Stock Date]]&lt;&gt;""),Main[[#This Row],[In Stock Date]]-Main[[#This Row],[Revised Due Date]],""))</f>
        <v/>
      </c>
      <c r="I677" s="139" t="s">
        <v>4</v>
      </c>
      <c r="J677" s="139" t="s">
        <v>4</v>
      </c>
      <c r="K677" s="139" t="s">
        <v>4</v>
      </c>
      <c r="L677" s="129"/>
      <c r="M677" s="114" t="str">
        <f>IF(Main[[#This Row],[Tech Start Date]]&lt;1/1/1990,"",IF(Main[[#This Row],[Class]]="C",WORKDAY(Main[[#This Row],[Tech Start Date]],9),IF(Main[[#This Row],[Class]]="B", WORKDAY(Main[[#This Row],[Tech Start Date]],6),IF(Main[[#This Row],[Class]]="A",WORKDAY(Main[[#This Row],[Tech Start Date]],2),""))))</f>
        <v/>
      </c>
      <c r="N677" s="114" t="str">
        <f>IF(Main[[#This Row],[Tech Start Date]]&lt;1/1/1990,"",IF(Main[[#This Row],[Class]]="C",WORKDAY(Main[[#This Row],[Tech Start Date]],19),IF(Main[[#This Row],[Class]]="B", WORKDAY(Main[[#This Row],[Tech Start Date]],12),IF(Main[[#This Row],[Class]]="A",WORKDAY(Main[[#This Row],[Tech Start Date]],4),""))))</f>
        <v/>
      </c>
      <c r="O677" s="114" t="str">
        <f>IF(Main[[#This Row],[Tech Start Date]]&lt;1/1/1990,"",IF(Main[[#This Row],[Class]]="C",WORKDAY(Main[[#This Row],[Tech Start Date]],23),IF(Main[[#This Row],[Class]]="B", WORKDAY(Main[[#This Row],[Tech Start Date]],15),IF(Main[[#This Row],[Class]]="A",WORKDAY(Main[[#This Row],[Tech Start Date]],5),""))))</f>
        <v/>
      </c>
      <c r="P677" s="114" t="str">
        <f>IF(Main[[#This Row],[Tech Start Date]]&lt;1/1/1990,"",IF(Main[[#This Row],[Class]]="C",WORKDAY(Main[[#This Row],[Tech Start Date]],28),IF(Main[[#This Row],[Class]]="B", WORKDAY(Main[[#This Row],[Tech Start Date]],19),IF(Main[[#This Row],[Class]]="A",WORKDAY(Main[[#This Row],[Tech Start Date]],9),""))))</f>
        <v/>
      </c>
      <c r="Q677" s="129">
        <v>40349</v>
      </c>
      <c r="R677" s="129"/>
      <c r="S677" s="139" t="s">
        <v>11</v>
      </c>
      <c r="T677" s="115" t="s">
        <v>4</v>
      </c>
      <c r="U677" s="139" t="s">
        <v>14</v>
      </c>
      <c r="V677" s="139" t="s">
        <v>1924</v>
      </c>
      <c r="W677" s="139" t="s">
        <v>1919</v>
      </c>
      <c r="X677" s="139" t="s">
        <v>2850</v>
      </c>
      <c r="Y677" s="112" t="s">
        <v>4</v>
      </c>
      <c r="Z677" s="112" t="s">
        <v>4</v>
      </c>
      <c r="AA677" s="139" t="s">
        <v>2850</v>
      </c>
    </row>
    <row r="678" spans="1:27" ht="17.25" customHeight="1">
      <c r="A678" s="69" t="str">
        <f>IF(priority(Main[[#This Row],[Comments]])&lt;&gt;0, priority(Main[[#This Row],[Comments]]),"")</f>
        <v/>
      </c>
      <c r="B678" s="63" t="s">
        <v>1542</v>
      </c>
      <c r="C678" s="148" t="s">
        <v>436</v>
      </c>
      <c r="D678" s="113" t="s">
        <v>625</v>
      </c>
      <c r="E678" s="129"/>
      <c r="F678" s="129">
        <v>40056</v>
      </c>
      <c r="G678" s="69" t="str">
        <f>IF(stdProdLT(Main[[#This Row],[Comments]])=0.1,"N/A",IF(stdProdLT(Main[[#This Row],[Comments]])=0,"",stdProdLT(Main[[#This Row],[Comments]])))</f>
        <v/>
      </c>
      <c r="H678" s="138" t="str">
        <f>IF(Main[[#This Row],[In Stock Date]]="N/A", "N/A",IF(AND(Main[[#This Row],[In Stock Date]]&lt;&gt;"",Main[[#This Row],[Revised Due Date]]&lt;&gt;"",Main[[#This Row],[In Stock Date]]&lt;&gt;""),Main[[#This Row],[In Stock Date]]-Main[[#This Row],[Revised Due Date]],""))</f>
        <v/>
      </c>
      <c r="I678" s="139" t="s">
        <v>4</v>
      </c>
      <c r="J678" s="139" t="s">
        <v>4</v>
      </c>
      <c r="K678" s="140" t="s">
        <v>4</v>
      </c>
      <c r="L678" s="129"/>
      <c r="M678" s="114" t="str">
        <f>IF(Main[[#This Row],[Tech Start Date]]&lt;1/1/1990,"",IF(Main[[#This Row],[Class]]="C",WORKDAY(Main[[#This Row],[Tech Start Date]],9),IF(Main[[#This Row],[Class]]="B", WORKDAY(Main[[#This Row],[Tech Start Date]],6),IF(Main[[#This Row],[Class]]="A",WORKDAY(Main[[#This Row],[Tech Start Date]],2),""))))</f>
        <v/>
      </c>
      <c r="N678" s="114" t="str">
        <f>IF(Main[[#This Row],[Tech Start Date]]&lt;1/1/1990,"",IF(Main[[#This Row],[Class]]="C",WORKDAY(Main[[#This Row],[Tech Start Date]],19),IF(Main[[#This Row],[Class]]="B", WORKDAY(Main[[#This Row],[Tech Start Date]],12),IF(Main[[#This Row],[Class]]="A",WORKDAY(Main[[#This Row],[Tech Start Date]],4),""))))</f>
        <v/>
      </c>
      <c r="O678" s="114" t="str">
        <f>IF(Main[[#This Row],[Tech Start Date]]&lt;1/1/1990,"",IF(Main[[#This Row],[Class]]="C",WORKDAY(Main[[#This Row],[Tech Start Date]],23),IF(Main[[#This Row],[Class]]="B", WORKDAY(Main[[#This Row],[Tech Start Date]],15),IF(Main[[#This Row],[Class]]="A",WORKDAY(Main[[#This Row],[Tech Start Date]],5),""))))</f>
        <v/>
      </c>
      <c r="P678" s="114" t="str">
        <f>IF(Main[[#This Row],[Tech Start Date]]&lt;1/1/1990,"",IF(Main[[#This Row],[Class]]="C",WORKDAY(Main[[#This Row],[Tech Start Date]],28),IF(Main[[#This Row],[Class]]="B", WORKDAY(Main[[#This Row],[Tech Start Date]],19),IF(Main[[#This Row],[Class]]="A",WORKDAY(Main[[#This Row],[Tech Start Date]],9),""))))</f>
        <v/>
      </c>
      <c r="Q678" s="129"/>
      <c r="R678" s="129"/>
      <c r="S678" s="139" t="s">
        <v>11</v>
      </c>
      <c r="T678" s="115" t="s">
        <v>4</v>
      </c>
      <c r="U678" s="139" t="s">
        <v>14</v>
      </c>
      <c r="V678" s="139" t="s">
        <v>1914</v>
      </c>
      <c r="W678" s="139" t="s">
        <v>1922</v>
      </c>
      <c r="X678" s="139" t="s">
        <v>2853</v>
      </c>
      <c r="Y678" s="112" t="s">
        <v>2991</v>
      </c>
      <c r="Z678" s="112" t="s">
        <v>4</v>
      </c>
      <c r="AA678" s="139" t="s">
        <v>2853</v>
      </c>
    </row>
    <row r="679" spans="1:27" ht="17.25" customHeight="1">
      <c r="A679" s="69" t="str">
        <f>IF(priority(Main[[#This Row],[Comments]])&lt;&gt;0, priority(Main[[#This Row],[Comments]]),"")</f>
        <v/>
      </c>
      <c r="B679" s="63" t="s">
        <v>1543</v>
      </c>
      <c r="C679" s="148" t="s">
        <v>4</v>
      </c>
      <c r="D679" s="113" t="s">
        <v>626</v>
      </c>
      <c r="E679" s="129"/>
      <c r="F679" s="129"/>
      <c r="G679" s="69" t="str">
        <f>IF(stdProdLT(Main[[#This Row],[Comments]])=0.1,"N/A",IF(stdProdLT(Main[[#This Row],[Comments]])=0,"",stdProdLT(Main[[#This Row],[Comments]])))</f>
        <v/>
      </c>
      <c r="H679" s="138" t="str">
        <f>IF(Main[[#This Row],[In Stock Date]]="N/A", "N/A",IF(AND(Main[[#This Row],[In Stock Date]]&lt;&gt;"",Main[[#This Row],[Revised Due Date]]&lt;&gt;"",Main[[#This Row],[In Stock Date]]&lt;&gt;""),Main[[#This Row],[In Stock Date]]-Main[[#This Row],[Revised Due Date]],""))</f>
        <v/>
      </c>
      <c r="I679" s="139" t="s">
        <v>4</v>
      </c>
      <c r="J679" s="139" t="s">
        <v>4</v>
      </c>
      <c r="K679" s="139" t="s">
        <v>4</v>
      </c>
      <c r="L679" s="129"/>
      <c r="M679" s="114" t="str">
        <f>IF(Main[[#This Row],[Tech Start Date]]&lt;1/1/1990,"",IF(Main[[#This Row],[Class]]="C",WORKDAY(Main[[#This Row],[Tech Start Date]],9),IF(Main[[#This Row],[Class]]="B", WORKDAY(Main[[#This Row],[Tech Start Date]],6),IF(Main[[#This Row],[Class]]="A",WORKDAY(Main[[#This Row],[Tech Start Date]],2),""))))</f>
        <v/>
      </c>
      <c r="N679" s="114" t="str">
        <f>IF(Main[[#This Row],[Tech Start Date]]&lt;1/1/1990,"",IF(Main[[#This Row],[Class]]="C",WORKDAY(Main[[#This Row],[Tech Start Date]],19),IF(Main[[#This Row],[Class]]="B", WORKDAY(Main[[#This Row],[Tech Start Date]],12),IF(Main[[#This Row],[Class]]="A",WORKDAY(Main[[#This Row],[Tech Start Date]],4),""))))</f>
        <v/>
      </c>
      <c r="O679" s="114" t="str">
        <f>IF(Main[[#This Row],[Tech Start Date]]&lt;1/1/1990,"",IF(Main[[#This Row],[Class]]="C",WORKDAY(Main[[#This Row],[Tech Start Date]],23),IF(Main[[#This Row],[Class]]="B", WORKDAY(Main[[#This Row],[Tech Start Date]],15),IF(Main[[#This Row],[Class]]="A",WORKDAY(Main[[#This Row],[Tech Start Date]],5),""))))</f>
        <v/>
      </c>
      <c r="P679" s="114" t="str">
        <f>IF(Main[[#This Row],[Tech Start Date]]&lt;1/1/1990,"",IF(Main[[#This Row],[Class]]="C",WORKDAY(Main[[#This Row],[Tech Start Date]],28),IF(Main[[#This Row],[Class]]="B", WORKDAY(Main[[#This Row],[Tech Start Date]],19),IF(Main[[#This Row],[Class]]="A",WORKDAY(Main[[#This Row],[Tech Start Date]],9),""))))</f>
        <v/>
      </c>
      <c r="Q679" s="129"/>
      <c r="R679" s="129"/>
      <c r="S679" s="139" t="s">
        <v>17</v>
      </c>
      <c r="T679" s="115" t="s">
        <v>4</v>
      </c>
      <c r="U679" s="139" t="s">
        <v>12</v>
      </c>
      <c r="V679" s="139" t="s">
        <v>1914</v>
      </c>
      <c r="W679" s="139" t="s">
        <v>1916</v>
      </c>
      <c r="X679" s="139" t="s">
        <v>889</v>
      </c>
      <c r="Y679" s="112" t="s">
        <v>3073</v>
      </c>
      <c r="Z679" s="112" t="s">
        <v>4</v>
      </c>
      <c r="AA679" s="139" t="s">
        <v>889</v>
      </c>
    </row>
    <row r="680" spans="1:27" ht="17.25" customHeight="1">
      <c r="A680" s="69" t="str">
        <f>IF(priority(Main[[#This Row],[Comments]])&lt;&gt;0, priority(Main[[#This Row],[Comments]]),"")</f>
        <v/>
      </c>
      <c r="B680" s="63" t="s">
        <v>1838</v>
      </c>
      <c r="C680" s="148" t="s">
        <v>495</v>
      </c>
      <c r="D680" s="113" t="s">
        <v>893</v>
      </c>
      <c r="E680" s="129"/>
      <c r="F680" s="129"/>
      <c r="G680" s="69" t="str">
        <f>IF(stdProdLT(Main[[#This Row],[Comments]])=0.1,"N/A",IF(stdProdLT(Main[[#This Row],[Comments]])=0,"",stdProdLT(Main[[#This Row],[Comments]])))</f>
        <v/>
      </c>
      <c r="H680" s="138" t="str">
        <f>IF(Main[[#This Row],[In Stock Date]]="N/A", "N/A",IF(AND(Main[[#This Row],[In Stock Date]]&lt;&gt;"",Main[[#This Row],[Revised Due Date]]&lt;&gt;"",Main[[#This Row],[In Stock Date]]&lt;&gt;""),Main[[#This Row],[In Stock Date]]-Main[[#This Row],[Revised Due Date]],""))</f>
        <v/>
      </c>
      <c r="I680" s="139" t="s">
        <v>126</v>
      </c>
      <c r="J680" s="139" t="s">
        <v>28</v>
      </c>
      <c r="K680" s="139" t="s">
        <v>1927</v>
      </c>
      <c r="L680" s="129"/>
      <c r="M680" s="114" t="str">
        <f>IF(Main[[#This Row],[Tech Start Date]]&lt;1/1/1990,"",IF(Main[[#This Row],[Class]]="C",WORKDAY(Main[[#This Row],[Tech Start Date]],9),IF(Main[[#This Row],[Class]]="B", WORKDAY(Main[[#This Row],[Tech Start Date]],6),IF(Main[[#This Row],[Class]]="A",WORKDAY(Main[[#This Row],[Tech Start Date]],2),""))))</f>
        <v/>
      </c>
      <c r="N680" s="114" t="str">
        <f>IF(Main[[#This Row],[Tech Start Date]]&lt;1/1/1990,"",IF(Main[[#This Row],[Class]]="C",WORKDAY(Main[[#This Row],[Tech Start Date]],19),IF(Main[[#This Row],[Class]]="B", WORKDAY(Main[[#This Row],[Tech Start Date]],12),IF(Main[[#This Row],[Class]]="A",WORKDAY(Main[[#This Row],[Tech Start Date]],4),""))))</f>
        <v/>
      </c>
      <c r="O680" s="114" t="str">
        <f>IF(Main[[#This Row],[Tech Start Date]]&lt;1/1/1990,"",IF(Main[[#This Row],[Class]]="C",WORKDAY(Main[[#This Row],[Tech Start Date]],23),IF(Main[[#This Row],[Class]]="B", WORKDAY(Main[[#This Row],[Tech Start Date]],15),IF(Main[[#This Row],[Class]]="A",WORKDAY(Main[[#This Row],[Tech Start Date]],5),""))))</f>
        <v/>
      </c>
      <c r="P680" s="114" t="str">
        <f>IF(Main[[#This Row],[Tech Start Date]]&lt;1/1/1990,"",IF(Main[[#This Row],[Class]]="C",WORKDAY(Main[[#This Row],[Tech Start Date]],28),IF(Main[[#This Row],[Class]]="B", WORKDAY(Main[[#This Row],[Tech Start Date]],19),IF(Main[[#This Row],[Class]]="A",WORKDAY(Main[[#This Row],[Tech Start Date]],9),""))))</f>
        <v/>
      </c>
      <c r="Q680" s="129">
        <v>40469</v>
      </c>
      <c r="R680" s="129">
        <v>40469</v>
      </c>
      <c r="S680" s="139" t="s">
        <v>11</v>
      </c>
      <c r="T680" s="115" t="s">
        <v>4</v>
      </c>
      <c r="U680" s="139" t="s">
        <v>14</v>
      </c>
      <c r="V680" s="139" t="s">
        <v>1914</v>
      </c>
      <c r="W680" s="139" t="s">
        <v>1922</v>
      </c>
      <c r="X680" s="139" t="s">
        <v>50</v>
      </c>
      <c r="Y680" s="112" t="s">
        <v>3062</v>
      </c>
      <c r="Z680" s="112" t="s">
        <v>129</v>
      </c>
      <c r="AA680" s="139" t="s">
        <v>2860</v>
      </c>
    </row>
    <row r="681" spans="1:27" ht="17.25" customHeight="1">
      <c r="A681" s="69" t="str">
        <f>IF(priority(Main[[#This Row],[Comments]])&lt;&gt;0, priority(Main[[#This Row],[Comments]]),"")</f>
        <v/>
      </c>
      <c r="B681" s="63" t="s">
        <v>1523</v>
      </c>
      <c r="C681" s="148" t="s">
        <v>606</v>
      </c>
      <c r="D681" s="113" t="s">
        <v>607</v>
      </c>
      <c r="E681" s="129"/>
      <c r="F681" s="129">
        <v>41275</v>
      </c>
      <c r="G681" s="69" t="str">
        <f>IF(stdProdLT(Main[[#This Row],[Comments]])=0.1,"N/A",IF(stdProdLT(Main[[#This Row],[Comments]])=0,"",stdProdLT(Main[[#This Row],[Comments]])))</f>
        <v/>
      </c>
      <c r="H681" s="138" t="str">
        <f>IF(Main[[#This Row],[In Stock Date]]="N/A", "N/A",IF(AND(Main[[#This Row],[In Stock Date]]&lt;&gt;"",Main[[#This Row],[Revised Due Date]]&lt;&gt;"",Main[[#This Row],[In Stock Date]]&lt;&gt;""),Main[[#This Row],[In Stock Date]]-Main[[#This Row],[Revised Due Date]],""))</f>
        <v/>
      </c>
      <c r="I681" s="139" t="s">
        <v>4</v>
      </c>
      <c r="J681" s="139" t="s">
        <v>4</v>
      </c>
      <c r="K681" s="139" t="s">
        <v>4</v>
      </c>
      <c r="L681" s="129"/>
      <c r="M681" s="114" t="str">
        <f>IF(Main[[#This Row],[Tech Start Date]]&lt;1/1/1990,"",IF(Main[[#This Row],[Class]]="C",WORKDAY(Main[[#This Row],[Tech Start Date]],9),IF(Main[[#This Row],[Class]]="B", WORKDAY(Main[[#This Row],[Tech Start Date]],6),IF(Main[[#This Row],[Class]]="A",WORKDAY(Main[[#This Row],[Tech Start Date]],2),""))))</f>
        <v/>
      </c>
      <c r="N681" s="114" t="str">
        <f>IF(Main[[#This Row],[Tech Start Date]]&lt;1/1/1990,"",IF(Main[[#This Row],[Class]]="C",WORKDAY(Main[[#This Row],[Tech Start Date]],19),IF(Main[[#This Row],[Class]]="B", WORKDAY(Main[[#This Row],[Tech Start Date]],12),IF(Main[[#This Row],[Class]]="A",WORKDAY(Main[[#This Row],[Tech Start Date]],4),""))))</f>
        <v/>
      </c>
      <c r="O681" s="114" t="str">
        <f>IF(Main[[#This Row],[Tech Start Date]]&lt;1/1/1990,"",IF(Main[[#This Row],[Class]]="C",WORKDAY(Main[[#This Row],[Tech Start Date]],23),IF(Main[[#This Row],[Class]]="B", WORKDAY(Main[[#This Row],[Tech Start Date]],15),IF(Main[[#This Row],[Class]]="A",WORKDAY(Main[[#This Row],[Tech Start Date]],5),""))))</f>
        <v/>
      </c>
      <c r="P681" s="114" t="str">
        <f>IF(Main[[#This Row],[Tech Start Date]]&lt;1/1/1990,"",IF(Main[[#This Row],[Class]]="C",WORKDAY(Main[[#This Row],[Tech Start Date]],28),IF(Main[[#This Row],[Class]]="B", WORKDAY(Main[[#This Row],[Tech Start Date]],19),IF(Main[[#This Row],[Class]]="A",WORKDAY(Main[[#This Row],[Tech Start Date]],9),""))))</f>
        <v/>
      </c>
      <c r="Q681" s="129">
        <v>40387</v>
      </c>
      <c r="R681" s="129"/>
      <c r="S681" s="139" t="s">
        <v>11</v>
      </c>
      <c r="T681" s="115" t="s">
        <v>4</v>
      </c>
      <c r="U681" s="139" t="s">
        <v>14</v>
      </c>
      <c r="V681" s="139" t="s">
        <v>1924</v>
      </c>
      <c r="W681" s="139" t="s">
        <v>1919</v>
      </c>
      <c r="X681" s="139" t="s">
        <v>2824</v>
      </c>
      <c r="Y681" s="112" t="s">
        <v>3075</v>
      </c>
      <c r="Z681" s="112" t="s">
        <v>81</v>
      </c>
      <c r="AA681" s="139" t="s">
        <v>3307</v>
      </c>
    </row>
    <row r="682" spans="1:27" ht="17.25" customHeight="1">
      <c r="A682" s="69" t="str">
        <f>IF(priority(Main[[#This Row],[Comments]])&lt;&gt;0, priority(Main[[#This Row],[Comments]]),"")</f>
        <v/>
      </c>
      <c r="B682" s="63" t="s">
        <v>1524</v>
      </c>
      <c r="C682" s="148" t="s">
        <v>606</v>
      </c>
      <c r="D682" s="113" t="s">
        <v>608</v>
      </c>
      <c r="E682" s="129"/>
      <c r="F682" s="129">
        <v>41275</v>
      </c>
      <c r="G682" s="69" t="str">
        <f>IF(stdProdLT(Main[[#This Row],[Comments]])=0.1,"N/A",IF(stdProdLT(Main[[#This Row],[Comments]])=0,"",stdProdLT(Main[[#This Row],[Comments]])))</f>
        <v/>
      </c>
      <c r="H682" s="138" t="str">
        <f>IF(Main[[#This Row],[In Stock Date]]="N/A", "N/A",IF(AND(Main[[#This Row],[In Stock Date]]&lt;&gt;"",Main[[#This Row],[Revised Due Date]]&lt;&gt;"",Main[[#This Row],[In Stock Date]]&lt;&gt;""),Main[[#This Row],[In Stock Date]]-Main[[#This Row],[Revised Due Date]],""))</f>
        <v/>
      </c>
      <c r="I682" s="139" t="s">
        <v>4</v>
      </c>
      <c r="J682" s="139" t="s">
        <v>4</v>
      </c>
      <c r="K682" s="140" t="s">
        <v>4</v>
      </c>
      <c r="L682" s="129"/>
      <c r="M682" s="114" t="str">
        <f>IF(Main[[#This Row],[Tech Start Date]]&lt;1/1/1990,"",IF(Main[[#This Row],[Class]]="C",WORKDAY(Main[[#This Row],[Tech Start Date]],9),IF(Main[[#This Row],[Class]]="B", WORKDAY(Main[[#This Row],[Tech Start Date]],6),IF(Main[[#This Row],[Class]]="A",WORKDAY(Main[[#This Row],[Tech Start Date]],2),""))))</f>
        <v/>
      </c>
      <c r="N682" s="114" t="str">
        <f>IF(Main[[#This Row],[Tech Start Date]]&lt;1/1/1990,"",IF(Main[[#This Row],[Class]]="C",WORKDAY(Main[[#This Row],[Tech Start Date]],19),IF(Main[[#This Row],[Class]]="B", WORKDAY(Main[[#This Row],[Tech Start Date]],12),IF(Main[[#This Row],[Class]]="A",WORKDAY(Main[[#This Row],[Tech Start Date]],4),""))))</f>
        <v/>
      </c>
      <c r="O682" s="114" t="str">
        <f>IF(Main[[#This Row],[Tech Start Date]]&lt;1/1/1990,"",IF(Main[[#This Row],[Class]]="C",WORKDAY(Main[[#This Row],[Tech Start Date]],23),IF(Main[[#This Row],[Class]]="B", WORKDAY(Main[[#This Row],[Tech Start Date]],15),IF(Main[[#This Row],[Class]]="A",WORKDAY(Main[[#This Row],[Tech Start Date]],5),""))))</f>
        <v/>
      </c>
      <c r="P682" s="114" t="str">
        <f>IF(Main[[#This Row],[Tech Start Date]]&lt;1/1/1990,"",IF(Main[[#This Row],[Class]]="C",WORKDAY(Main[[#This Row],[Tech Start Date]],28),IF(Main[[#This Row],[Class]]="B", WORKDAY(Main[[#This Row],[Tech Start Date]],19),IF(Main[[#This Row],[Class]]="A",WORKDAY(Main[[#This Row],[Tech Start Date]],9),""))))</f>
        <v/>
      </c>
      <c r="Q682" s="129">
        <v>40387</v>
      </c>
      <c r="R682" s="129"/>
      <c r="S682" s="139" t="s">
        <v>11</v>
      </c>
      <c r="T682" s="115" t="s">
        <v>4</v>
      </c>
      <c r="U682" s="139" t="s">
        <v>14</v>
      </c>
      <c r="V682" s="139" t="s">
        <v>1924</v>
      </c>
      <c r="W682" s="139" t="s">
        <v>1919</v>
      </c>
      <c r="X682" s="139" t="s">
        <v>2824</v>
      </c>
      <c r="Y682" s="112" t="s">
        <v>3075</v>
      </c>
      <c r="Z682" s="112" t="s">
        <v>4</v>
      </c>
      <c r="AA682" s="139" t="s">
        <v>3307</v>
      </c>
    </row>
    <row r="683" spans="1:27" ht="17.25" customHeight="1">
      <c r="A683" s="69" t="str">
        <f>IF(priority(Main[[#This Row],[Comments]])&lt;&gt;0, priority(Main[[#This Row],[Comments]]),"")</f>
        <v/>
      </c>
      <c r="B683" s="63" t="s">
        <v>1525</v>
      </c>
      <c r="C683" s="148" t="s">
        <v>290</v>
      </c>
      <c r="D683" s="113" t="s">
        <v>291</v>
      </c>
      <c r="E683" s="129"/>
      <c r="F683" s="129"/>
      <c r="G683" s="69" t="str">
        <f>IF(stdProdLT(Main[[#This Row],[Comments]])=0.1,"N/A",IF(stdProdLT(Main[[#This Row],[Comments]])=0,"",stdProdLT(Main[[#This Row],[Comments]])))</f>
        <v/>
      </c>
      <c r="H683" s="138" t="str">
        <f>IF(Main[[#This Row],[In Stock Date]]="N/A", "N/A",IF(AND(Main[[#This Row],[In Stock Date]]&lt;&gt;"",Main[[#This Row],[Revised Due Date]]&lt;&gt;"",Main[[#This Row],[In Stock Date]]&lt;&gt;""),Main[[#This Row],[In Stock Date]]-Main[[#This Row],[Revised Due Date]],""))</f>
        <v/>
      </c>
      <c r="I683" s="139" t="s">
        <v>4</v>
      </c>
      <c r="J683" s="139" t="s">
        <v>4</v>
      </c>
      <c r="K683" s="139" t="s">
        <v>4</v>
      </c>
      <c r="L683" s="129"/>
      <c r="M683" s="114" t="str">
        <f>IF(Main[[#This Row],[Tech Start Date]]&lt;1/1/1990,"",IF(Main[[#This Row],[Class]]="C",WORKDAY(Main[[#This Row],[Tech Start Date]],9),IF(Main[[#This Row],[Class]]="B", WORKDAY(Main[[#This Row],[Tech Start Date]],6),IF(Main[[#This Row],[Class]]="A",WORKDAY(Main[[#This Row],[Tech Start Date]],2),""))))</f>
        <v/>
      </c>
      <c r="N683" s="114" t="str">
        <f>IF(Main[[#This Row],[Tech Start Date]]&lt;1/1/1990,"",IF(Main[[#This Row],[Class]]="C",WORKDAY(Main[[#This Row],[Tech Start Date]],19),IF(Main[[#This Row],[Class]]="B", WORKDAY(Main[[#This Row],[Tech Start Date]],12),IF(Main[[#This Row],[Class]]="A",WORKDAY(Main[[#This Row],[Tech Start Date]],4),""))))</f>
        <v/>
      </c>
      <c r="O683" s="114" t="str">
        <f>IF(Main[[#This Row],[Tech Start Date]]&lt;1/1/1990,"",IF(Main[[#This Row],[Class]]="C",WORKDAY(Main[[#This Row],[Tech Start Date]],23),IF(Main[[#This Row],[Class]]="B", WORKDAY(Main[[#This Row],[Tech Start Date]],15),IF(Main[[#This Row],[Class]]="A",WORKDAY(Main[[#This Row],[Tech Start Date]],5),""))))</f>
        <v/>
      </c>
      <c r="P683" s="114" t="str">
        <f>IF(Main[[#This Row],[Tech Start Date]]&lt;1/1/1990,"",IF(Main[[#This Row],[Class]]="C",WORKDAY(Main[[#This Row],[Tech Start Date]],28),IF(Main[[#This Row],[Class]]="B", WORKDAY(Main[[#This Row],[Tech Start Date]],19),IF(Main[[#This Row],[Class]]="A",WORKDAY(Main[[#This Row],[Tech Start Date]],9),""))))</f>
        <v/>
      </c>
      <c r="Q683" s="129">
        <v>40052</v>
      </c>
      <c r="R683" s="129"/>
      <c r="S683" s="139" t="s">
        <v>11</v>
      </c>
      <c r="T683" s="115" t="s">
        <v>4</v>
      </c>
      <c r="U683" s="139" t="s">
        <v>14</v>
      </c>
      <c r="V683" s="139" t="s">
        <v>1917</v>
      </c>
      <c r="W683" s="139" t="s">
        <v>1916</v>
      </c>
      <c r="X683" s="139" t="s">
        <v>2834</v>
      </c>
      <c r="Y683" s="112" t="s">
        <v>4</v>
      </c>
      <c r="Z683" s="112" t="s">
        <v>4</v>
      </c>
      <c r="AA683" s="139" t="s">
        <v>2834</v>
      </c>
    </row>
    <row r="684" spans="1:27" ht="17.25" customHeight="1">
      <c r="A684" s="69" t="str">
        <f>IF(priority(Main[[#This Row],[Comments]])&lt;&gt;0, priority(Main[[#This Row],[Comments]]),"")</f>
        <v/>
      </c>
      <c r="B684" s="63" t="s">
        <v>1526</v>
      </c>
      <c r="C684" s="148" t="s">
        <v>4</v>
      </c>
      <c r="D684" s="113" t="s">
        <v>609</v>
      </c>
      <c r="E684" s="129">
        <v>40533.617372685185</v>
      </c>
      <c r="F684" s="129">
        <v>40602</v>
      </c>
      <c r="G684" s="69" t="str">
        <f>IF(stdProdLT(Main[[#This Row],[Comments]])=0.1,"N/A",IF(stdProdLT(Main[[#This Row],[Comments]])=0,"",stdProdLT(Main[[#This Row],[Comments]])))</f>
        <v/>
      </c>
      <c r="H684" s="138" t="str">
        <f>IF(Main[[#This Row],[In Stock Date]]="N/A", "N/A",IF(AND(Main[[#This Row],[In Stock Date]]&lt;&gt;"",Main[[#This Row],[Revised Due Date]]&lt;&gt;"",Main[[#This Row],[In Stock Date]]&lt;&gt;""),Main[[#This Row],[In Stock Date]]-Main[[#This Row],[Revised Due Date]],""))</f>
        <v/>
      </c>
      <c r="I684" s="139" t="s">
        <v>4</v>
      </c>
      <c r="J684" s="139" t="s">
        <v>28</v>
      </c>
      <c r="K684" s="139" t="s">
        <v>1923</v>
      </c>
      <c r="L684" s="129"/>
      <c r="M684" s="114" t="str">
        <f>IF(Main[[#This Row],[Tech Start Date]]&lt;1/1/1990,"",IF(Main[[#This Row],[Class]]="C",WORKDAY(Main[[#This Row],[Tech Start Date]],9),IF(Main[[#This Row],[Class]]="B", WORKDAY(Main[[#This Row],[Tech Start Date]],6),IF(Main[[#This Row],[Class]]="A",WORKDAY(Main[[#This Row],[Tech Start Date]],2),""))))</f>
        <v/>
      </c>
      <c r="N684" s="114" t="str">
        <f>IF(Main[[#This Row],[Tech Start Date]]&lt;1/1/1990,"",IF(Main[[#This Row],[Class]]="C",WORKDAY(Main[[#This Row],[Tech Start Date]],19),IF(Main[[#This Row],[Class]]="B", WORKDAY(Main[[#This Row],[Tech Start Date]],12),IF(Main[[#This Row],[Class]]="A",WORKDAY(Main[[#This Row],[Tech Start Date]],4),""))))</f>
        <v/>
      </c>
      <c r="O684" s="114" t="str">
        <f>IF(Main[[#This Row],[Tech Start Date]]&lt;1/1/1990,"",IF(Main[[#This Row],[Class]]="C",WORKDAY(Main[[#This Row],[Tech Start Date]],23),IF(Main[[#This Row],[Class]]="B", WORKDAY(Main[[#This Row],[Tech Start Date]],15),IF(Main[[#This Row],[Class]]="A",WORKDAY(Main[[#This Row],[Tech Start Date]],5),""))))</f>
        <v/>
      </c>
      <c r="P684" s="114" t="str">
        <f>IF(Main[[#This Row],[Tech Start Date]]&lt;1/1/1990,"",IF(Main[[#This Row],[Class]]="C",WORKDAY(Main[[#This Row],[Tech Start Date]],28),IF(Main[[#This Row],[Class]]="B", WORKDAY(Main[[#This Row],[Tech Start Date]],19),IF(Main[[#This Row],[Class]]="A",WORKDAY(Main[[#This Row],[Tech Start Date]],9),""))))</f>
        <v/>
      </c>
      <c r="Q684" s="129">
        <v>40602</v>
      </c>
      <c r="R684" s="129"/>
      <c r="S684" s="139" t="s">
        <v>6</v>
      </c>
      <c r="T684" s="115" t="s">
        <v>4</v>
      </c>
      <c r="U684" s="139" t="s">
        <v>7</v>
      </c>
      <c r="V684" s="139" t="s">
        <v>1914</v>
      </c>
      <c r="W684" s="139" t="s">
        <v>1916</v>
      </c>
      <c r="X684" s="139" t="s">
        <v>2887</v>
      </c>
      <c r="Y684" s="112" t="s">
        <v>3043</v>
      </c>
      <c r="Z684" s="112" t="s">
        <v>129</v>
      </c>
      <c r="AA684" s="139" t="s">
        <v>2887</v>
      </c>
    </row>
    <row r="685" spans="1:27" ht="17.25" customHeight="1">
      <c r="A685" s="69" t="str">
        <f>IF(priority(Main[[#This Row],[Comments]])&lt;&gt;0, priority(Main[[#This Row],[Comments]]),"")</f>
        <v/>
      </c>
      <c r="B685" s="63" t="s">
        <v>1527</v>
      </c>
      <c r="C685" s="148" t="s">
        <v>4</v>
      </c>
      <c r="D685" s="113" t="s">
        <v>610</v>
      </c>
      <c r="E685" s="129">
        <v>40387.693402777775</v>
      </c>
      <c r="F685" s="129"/>
      <c r="G685" s="69" t="str">
        <f>IF(stdProdLT(Main[[#This Row],[Comments]])=0.1,"N/A",IF(stdProdLT(Main[[#This Row],[Comments]])=0,"",stdProdLT(Main[[#This Row],[Comments]])))</f>
        <v/>
      </c>
      <c r="H685" s="138" t="str">
        <f>IF(Main[[#This Row],[In Stock Date]]="N/A", "N/A",IF(AND(Main[[#This Row],[In Stock Date]]&lt;&gt;"",Main[[#This Row],[Revised Due Date]]&lt;&gt;"",Main[[#This Row],[In Stock Date]]&lt;&gt;""),Main[[#This Row],[In Stock Date]]-Main[[#This Row],[Revised Due Date]],""))</f>
        <v/>
      </c>
      <c r="I685" s="139" t="s">
        <v>4</v>
      </c>
      <c r="J685" s="139" t="s">
        <v>28</v>
      </c>
      <c r="K685" s="139" t="s">
        <v>4</v>
      </c>
      <c r="L685" s="129"/>
      <c r="M685" s="114" t="str">
        <f>IF(Main[[#This Row],[Tech Start Date]]&lt;1/1/1990,"",IF(Main[[#This Row],[Class]]="C",WORKDAY(Main[[#This Row],[Tech Start Date]],9),IF(Main[[#This Row],[Class]]="B", WORKDAY(Main[[#This Row],[Tech Start Date]],6),IF(Main[[#This Row],[Class]]="A",WORKDAY(Main[[#This Row],[Tech Start Date]],2),""))))</f>
        <v/>
      </c>
      <c r="N685" s="114" t="str">
        <f>IF(Main[[#This Row],[Tech Start Date]]&lt;1/1/1990,"",IF(Main[[#This Row],[Class]]="C",WORKDAY(Main[[#This Row],[Tech Start Date]],19),IF(Main[[#This Row],[Class]]="B", WORKDAY(Main[[#This Row],[Tech Start Date]],12),IF(Main[[#This Row],[Class]]="A",WORKDAY(Main[[#This Row],[Tech Start Date]],4),""))))</f>
        <v/>
      </c>
      <c r="O685" s="114" t="str">
        <f>IF(Main[[#This Row],[Tech Start Date]]&lt;1/1/1990,"",IF(Main[[#This Row],[Class]]="C",WORKDAY(Main[[#This Row],[Tech Start Date]],23),IF(Main[[#This Row],[Class]]="B", WORKDAY(Main[[#This Row],[Tech Start Date]],15),IF(Main[[#This Row],[Class]]="A",WORKDAY(Main[[#This Row],[Tech Start Date]],5),""))))</f>
        <v/>
      </c>
      <c r="P685" s="114" t="str">
        <f>IF(Main[[#This Row],[Tech Start Date]]&lt;1/1/1990,"",IF(Main[[#This Row],[Class]]="C",WORKDAY(Main[[#This Row],[Tech Start Date]],28),IF(Main[[#This Row],[Class]]="B", WORKDAY(Main[[#This Row],[Tech Start Date]],19),IF(Main[[#This Row],[Class]]="A",WORKDAY(Main[[#This Row],[Tech Start Date]],9),""))))</f>
        <v/>
      </c>
      <c r="Q685" s="129">
        <v>40400</v>
      </c>
      <c r="R685" s="129"/>
      <c r="S685" s="139" t="s">
        <v>6</v>
      </c>
      <c r="T685" s="115" t="s">
        <v>4</v>
      </c>
      <c r="U685" s="139" t="s">
        <v>7</v>
      </c>
      <c r="V685" s="139" t="s">
        <v>1914</v>
      </c>
      <c r="W685" s="139" t="s">
        <v>1916</v>
      </c>
      <c r="X685" s="139" t="s">
        <v>102</v>
      </c>
      <c r="Y685" s="112" t="s">
        <v>3032</v>
      </c>
      <c r="Z685" s="112" t="s">
        <v>129</v>
      </c>
      <c r="AA685" s="139" t="s">
        <v>3396</v>
      </c>
    </row>
    <row r="686" spans="1:27" ht="17.25" customHeight="1">
      <c r="A686" s="69" t="str">
        <f>IF(priority(Main[[#This Row],[Comments]])&lt;&gt;0, priority(Main[[#This Row],[Comments]]),"")</f>
        <v/>
      </c>
      <c r="B686" s="63" t="s">
        <v>1528</v>
      </c>
      <c r="C686" s="148" t="s">
        <v>4</v>
      </c>
      <c r="D686" s="113" t="s">
        <v>611</v>
      </c>
      <c r="E686" s="129">
        <v>40506.643229166664</v>
      </c>
      <c r="F686" s="129"/>
      <c r="G686" s="69" t="str">
        <f>IF(stdProdLT(Main[[#This Row],[Comments]])=0.1,"N/A",IF(stdProdLT(Main[[#This Row],[Comments]])=0,"",stdProdLT(Main[[#This Row],[Comments]])))</f>
        <v/>
      </c>
      <c r="H686" s="138" t="str">
        <f>IF(Main[[#This Row],[In Stock Date]]="N/A", "N/A",IF(AND(Main[[#This Row],[In Stock Date]]&lt;&gt;"",Main[[#This Row],[Revised Due Date]]&lt;&gt;"",Main[[#This Row],[In Stock Date]]&lt;&gt;""),Main[[#This Row],[In Stock Date]]-Main[[#This Row],[Revised Due Date]],""))</f>
        <v/>
      </c>
      <c r="I686" s="139" t="s">
        <v>4</v>
      </c>
      <c r="J686" s="139" t="s">
        <v>28</v>
      </c>
      <c r="K686" s="139" t="s">
        <v>1921</v>
      </c>
      <c r="L686" s="129"/>
      <c r="M686" s="114" t="str">
        <f>IF(Main[[#This Row],[Tech Start Date]]&lt;1/1/1990,"",IF(Main[[#This Row],[Class]]="C",WORKDAY(Main[[#This Row],[Tech Start Date]],9),IF(Main[[#This Row],[Class]]="B", WORKDAY(Main[[#This Row],[Tech Start Date]],6),IF(Main[[#This Row],[Class]]="A",WORKDAY(Main[[#This Row],[Tech Start Date]],2),""))))</f>
        <v/>
      </c>
      <c r="N686" s="114" t="str">
        <f>IF(Main[[#This Row],[Tech Start Date]]&lt;1/1/1990,"",IF(Main[[#This Row],[Class]]="C",WORKDAY(Main[[#This Row],[Tech Start Date]],19),IF(Main[[#This Row],[Class]]="B", WORKDAY(Main[[#This Row],[Tech Start Date]],12),IF(Main[[#This Row],[Class]]="A",WORKDAY(Main[[#This Row],[Tech Start Date]],4),""))))</f>
        <v/>
      </c>
      <c r="O686" s="114" t="str">
        <f>IF(Main[[#This Row],[Tech Start Date]]&lt;1/1/1990,"",IF(Main[[#This Row],[Class]]="C",WORKDAY(Main[[#This Row],[Tech Start Date]],23),IF(Main[[#This Row],[Class]]="B", WORKDAY(Main[[#This Row],[Tech Start Date]],15),IF(Main[[#This Row],[Class]]="A",WORKDAY(Main[[#This Row],[Tech Start Date]],5),""))))</f>
        <v/>
      </c>
      <c r="P686" s="114" t="str">
        <f>IF(Main[[#This Row],[Tech Start Date]]&lt;1/1/1990,"",IF(Main[[#This Row],[Class]]="C",WORKDAY(Main[[#This Row],[Tech Start Date]],28),IF(Main[[#This Row],[Class]]="B", WORKDAY(Main[[#This Row],[Tech Start Date]],19),IF(Main[[#This Row],[Class]]="A",WORKDAY(Main[[#This Row],[Tech Start Date]],9),""))))</f>
        <v/>
      </c>
      <c r="Q686" s="129">
        <v>40548</v>
      </c>
      <c r="R686" s="129"/>
      <c r="S686" s="139" t="s">
        <v>6</v>
      </c>
      <c r="T686" s="115" t="s">
        <v>4</v>
      </c>
      <c r="U686" s="139" t="s">
        <v>7</v>
      </c>
      <c r="V686" s="139" t="s">
        <v>1914</v>
      </c>
      <c r="W686" s="139" t="s">
        <v>1918</v>
      </c>
      <c r="X686" s="139" t="s">
        <v>2821</v>
      </c>
      <c r="Y686" s="112" t="s">
        <v>2936</v>
      </c>
      <c r="Z686" s="112" t="s">
        <v>129</v>
      </c>
      <c r="AA686" s="139" t="s">
        <v>2821</v>
      </c>
    </row>
    <row r="687" spans="1:27" ht="17.25" customHeight="1">
      <c r="A687" s="69" t="str">
        <f>IF(priority(Main[[#This Row],[Comments]])&lt;&gt;0, priority(Main[[#This Row],[Comments]]),"")</f>
        <v/>
      </c>
      <c r="B687" s="63" t="s">
        <v>1529</v>
      </c>
      <c r="C687" s="148" t="s">
        <v>4</v>
      </c>
      <c r="D687" s="113" t="s">
        <v>612</v>
      </c>
      <c r="E687" s="129">
        <v>40371.390138888892</v>
      </c>
      <c r="F687" s="129"/>
      <c r="G687" s="69" t="str">
        <f>IF(stdProdLT(Main[[#This Row],[Comments]])=0.1,"N/A",IF(stdProdLT(Main[[#This Row],[Comments]])=0,"",stdProdLT(Main[[#This Row],[Comments]])))</f>
        <v/>
      </c>
      <c r="H687" s="138" t="str">
        <f>IF(Main[[#This Row],[In Stock Date]]="N/A", "N/A",IF(AND(Main[[#This Row],[In Stock Date]]&lt;&gt;"",Main[[#This Row],[Revised Due Date]]&lt;&gt;"",Main[[#This Row],[In Stock Date]]&lt;&gt;""),Main[[#This Row],[In Stock Date]]-Main[[#This Row],[Revised Due Date]],""))</f>
        <v/>
      </c>
      <c r="I687" s="139" t="s">
        <v>4</v>
      </c>
      <c r="J687" s="139" t="s">
        <v>4</v>
      </c>
      <c r="K687" s="139" t="s">
        <v>4</v>
      </c>
      <c r="L687" s="129"/>
      <c r="M687" s="114" t="str">
        <f>IF(Main[[#This Row],[Tech Start Date]]&lt;1/1/1990,"",IF(Main[[#This Row],[Class]]="C",WORKDAY(Main[[#This Row],[Tech Start Date]],9),IF(Main[[#This Row],[Class]]="B", WORKDAY(Main[[#This Row],[Tech Start Date]],6),IF(Main[[#This Row],[Class]]="A",WORKDAY(Main[[#This Row],[Tech Start Date]],2),""))))</f>
        <v/>
      </c>
      <c r="N687" s="114" t="str">
        <f>IF(Main[[#This Row],[Tech Start Date]]&lt;1/1/1990,"",IF(Main[[#This Row],[Class]]="C",WORKDAY(Main[[#This Row],[Tech Start Date]],19),IF(Main[[#This Row],[Class]]="B", WORKDAY(Main[[#This Row],[Tech Start Date]],12),IF(Main[[#This Row],[Class]]="A",WORKDAY(Main[[#This Row],[Tech Start Date]],4),""))))</f>
        <v/>
      </c>
      <c r="O687" s="114" t="str">
        <f>IF(Main[[#This Row],[Tech Start Date]]&lt;1/1/1990,"",IF(Main[[#This Row],[Class]]="C",WORKDAY(Main[[#This Row],[Tech Start Date]],23),IF(Main[[#This Row],[Class]]="B", WORKDAY(Main[[#This Row],[Tech Start Date]],15),IF(Main[[#This Row],[Class]]="A",WORKDAY(Main[[#This Row],[Tech Start Date]],5),""))))</f>
        <v/>
      </c>
      <c r="P687" s="114" t="str">
        <f>IF(Main[[#This Row],[Tech Start Date]]&lt;1/1/1990,"",IF(Main[[#This Row],[Class]]="C",WORKDAY(Main[[#This Row],[Tech Start Date]],28),IF(Main[[#This Row],[Class]]="B", WORKDAY(Main[[#This Row],[Tech Start Date]],19),IF(Main[[#This Row],[Class]]="A",WORKDAY(Main[[#This Row],[Tech Start Date]],9),""))))</f>
        <v/>
      </c>
      <c r="Q687" s="129">
        <v>40385</v>
      </c>
      <c r="R687" s="129"/>
      <c r="S687" s="139" t="s">
        <v>6</v>
      </c>
      <c r="T687" s="115" t="s">
        <v>4</v>
      </c>
      <c r="U687" s="139" t="s">
        <v>7</v>
      </c>
      <c r="V687" s="139" t="s">
        <v>1914</v>
      </c>
      <c r="W687" s="139" t="s">
        <v>1916</v>
      </c>
      <c r="X687" s="139" t="s">
        <v>102</v>
      </c>
      <c r="Y687" s="112" t="s">
        <v>2992</v>
      </c>
      <c r="Z687" s="112" t="s">
        <v>4</v>
      </c>
      <c r="AA687" s="139" t="s">
        <v>129</v>
      </c>
    </row>
    <row r="688" spans="1:27" ht="17.25" customHeight="1">
      <c r="A688" s="69" t="str">
        <f>IF(priority(Main[[#This Row],[Comments]])&lt;&gt;0, priority(Main[[#This Row],[Comments]]),"")</f>
        <v/>
      </c>
      <c r="B688" s="63" t="s">
        <v>1665</v>
      </c>
      <c r="C688" s="148" t="s">
        <v>4</v>
      </c>
      <c r="D688" s="113" t="s">
        <v>728</v>
      </c>
      <c r="E688" s="129"/>
      <c r="F688" s="129"/>
      <c r="G688" s="69" t="str">
        <f>IF(stdProdLT(Main[[#This Row],[Comments]])=0.1,"N/A",IF(stdProdLT(Main[[#This Row],[Comments]])=0,"",stdProdLT(Main[[#This Row],[Comments]])))</f>
        <v/>
      </c>
      <c r="H688" s="138" t="str">
        <f>IF(Main[[#This Row],[In Stock Date]]="N/A", "N/A",IF(AND(Main[[#This Row],[In Stock Date]]&lt;&gt;"",Main[[#This Row],[Revised Due Date]]&lt;&gt;"",Main[[#This Row],[In Stock Date]]&lt;&gt;""),Main[[#This Row],[In Stock Date]]-Main[[#This Row],[Revised Due Date]],""))</f>
        <v/>
      </c>
      <c r="I688" s="139" t="s">
        <v>4</v>
      </c>
      <c r="J688" s="139" t="s">
        <v>4</v>
      </c>
      <c r="K688" s="139" t="s">
        <v>4</v>
      </c>
      <c r="L688" s="129"/>
      <c r="M688" s="114" t="str">
        <f>IF(Main[[#This Row],[Tech Start Date]]&lt;1/1/1990,"",IF(Main[[#This Row],[Class]]="C",WORKDAY(Main[[#This Row],[Tech Start Date]],9),IF(Main[[#This Row],[Class]]="B", WORKDAY(Main[[#This Row],[Tech Start Date]],6),IF(Main[[#This Row],[Class]]="A",WORKDAY(Main[[#This Row],[Tech Start Date]],2),""))))</f>
        <v/>
      </c>
      <c r="N688" s="114" t="str">
        <f>IF(Main[[#This Row],[Tech Start Date]]&lt;1/1/1990,"",IF(Main[[#This Row],[Class]]="C",WORKDAY(Main[[#This Row],[Tech Start Date]],19),IF(Main[[#This Row],[Class]]="B", WORKDAY(Main[[#This Row],[Tech Start Date]],12),IF(Main[[#This Row],[Class]]="A",WORKDAY(Main[[#This Row],[Tech Start Date]],4),""))))</f>
        <v/>
      </c>
      <c r="O688" s="114" t="str">
        <f>IF(Main[[#This Row],[Tech Start Date]]&lt;1/1/1990,"",IF(Main[[#This Row],[Class]]="C",WORKDAY(Main[[#This Row],[Tech Start Date]],23),IF(Main[[#This Row],[Class]]="B", WORKDAY(Main[[#This Row],[Tech Start Date]],15),IF(Main[[#This Row],[Class]]="A",WORKDAY(Main[[#This Row],[Tech Start Date]],5),""))))</f>
        <v/>
      </c>
      <c r="P688" s="114" t="str">
        <f>IF(Main[[#This Row],[Tech Start Date]]&lt;1/1/1990,"",IF(Main[[#This Row],[Class]]="C",WORKDAY(Main[[#This Row],[Tech Start Date]],28),IF(Main[[#This Row],[Class]]="B", WORKDAY(Main[[#This Row],[Tech Start Date]],19),IF(Main[[#This Row],[Class]]="A",WORKDAY(Main[[#This Row],[Tech Start Date]],9),""))))</f>
        <v/>
      </c>
      <c r="Q688" s="129"/>
      <c r="R688" s="129"/>
      <c r="S688" s="139" t="s">
        <v>23</v>
      </c>
      <c r="T688" s="115" t="s">
        <v>4</v>
      </c>
      <c r="U688" s="139" t="s">
        <v>14</v>
      </c>
      <c r="V688" s="139" t="s">
        <v>1914</v>
      </c>
      <c r="W688" s="139" t="s">
        <v>1918</v>
      </c>
      <c r="X688" s="139" t="s">
        <v>102</v>
      </c>
      <c r="Y688" s="112" t="s">
        <v>3076</v>
      </c>
      <c r="Z688" s="112" t="s">
        <v>4</v>
      </c>
      <c r="AA688" s="139" t="s">
        <v>3423</v>
      </c>
    </row>
    <row r="689" spans="1:27" ht="17.25" customHeight="1">
      <c r="A689" s="69" t="str">
        <f>IF(priority(Main[[#This Row],[Comments]])&lt;&gt;0, priority(Main[[#This Row],[Comments]]),"")</f>
        <v/>
      </c>
      <c r="B689" s="63" t="s">
        <v>1530</v>
      </c>
      <c r="C689" s="148" t="s">
        <v>33</v>
      </c>
      <c r="D689" s="113" t="s">
        <v>613</v>
      </c>
      <c r="E689" s="129"/>
      <c r="F689" s="129">
        <v>40252</v>
      </c>
      <c r="G689" s="69" t="str">
        <f>IF(stdProdLT(Main[[#This Row],[Comments]])=0.1,"N/A",IF(stdProdLT(Main[[#This Row],[Comments]])=0,"",stdProdLT(Main[[#This Row],[Comments]])))</f>
        <v/>
      </c>
      <c r="H689" s="138" t="str">
        <f>IF(Main[[#This Row],[In Stock Date]]="N/A", "N/A",IF(AND(Main[[#This Row],[In Stock Date]]&lt;&gt;"",Main[[#This Row],[Revised Due Date]]&lt;&gt;"",Main[[#This Row],[In Stock Date]]&lt;&gt;""),Main[[#This Row],[In Stock Date]]-Main[[#This Row],[Revised Due Date]],""))</f>
        <v/>
      </c>
      <c r="I689" s="139" t="s">
        <v>4</v>
      </c>
      <c r="J689" s="139" t="s">
        <v>4</v>
      </c>
      <c r="K689" s="140" t="s">
        <v>4</v>
      </c>
      <c r="L689" s="129"/>
      <c r="M689" s="114" t="str">
        <f>IF(Main[[#This Row],[Tech Start Date]]&lt;1/1/1990,"",IF(Main[[#This Row],[Class]]="C",WORKDAY(Main[[#This Row],[Tech Start Date]],9),IF(Main[[#This Row],[Class]]="B", WORKDAY(Main[[#This Row],[Tech Start Date]],6),IF(Main[[#This Row],[Class]]="A",WORKDAY(Main[[#This Row],[Tech Start Date]],2),""))))</f>
        <v/>
      </c>
      <c r="N689" s="114" t="str">
        <f>IF(Main[[#This Row],[Tech Start Date]]&lt;1/1/1990,"",IF(Main[[#This Row],[Class]]="C",WORKDAY(Main[[#This Row],[Tech Start Date]],19),IF(Main[[#This Row],[Class]]="B", WORKDAY(Main[[#This Row],[Tech Start Date]],12),IF(Main[[#This Row],[Class]]="A",WORKDAY(Main[[#This Row],[Tech Start Date]],4),""))))</f>
        <v/>
      </c>
      <c r="O689" s="114" t="str">
        <f>IF(Main[[#This Row],[Tech Start Date]]&lt;1/1/1990,"",IF(Main[[#This Row],[Class]]="C",WORKDAY(Main[[#This Row],[Tech Start Date]],23),IF(Main[[#This Row],[Class]]="B", WORKDAY(Main[[#This Row],[Tech Start Date]],15),IF(Main[[#This Row],[Class]]="A",WORKDAY(Main[[#This Row],[Tech Start Date]],5),""))))</f>
        <v/>
      </c>
      <c r="P689" s="114" t="str">
        <f>IF(Main[[#This Row],[Tech Start Date]]&lt;1/1/1990,"",IF(Main[[#This Row],[Class]]="C",WORKDAY(Main[[#This Row],[Tech Start Date]],28),IF(Main[[#This Row],[Class]]="B", WORKDAY(Main[[#This Row],[Tech Start Date]],19),IF(Main[[#This Row],[Class]]="A",WORKDAY(Main[[#This Row],[Tech Start Date]],9),""))))</f>
        <v/>
      </c>
      <c r="Q689" s="129">
        <v>40227</v>
      </c>
      <c r="R689" s="129"/>
      <c r="S689" s="139" t="s">
        <v>11</v>
      </c>
      <c r="T689" s="115" t="s">
        <v>4</v>
      </c>
      <c r="U689" s="139" t="s">
        <v>14</v>
      </c>
      <c r="V689" s="139" t="s">
        <v>1917</v>
      </c>
      <c r="W689" s="139" t="s">
        <v>1919</v>
      </c>
      <c r="X689" s="139" t="s">
        <v>2850</v>
      </c>
      <c r="Y689" s="112" t="s">
        <v>4</v>
      </c>
      <c r="Z689" s="112" t="s">
        <v>4</v>
      </c>
      <c r="AA689" s="139" t="s">
        <v>2850</v>
      </c>
    </row>
    <row r="690" spans="1:27" ht="17.25" customHeight="1">
      <c r="A690" s="69" t="str">
        <f>IF(priority(Main[[#This Row],[Comments]])&lt;&gt;0, priority(Main[[#This Row],[Comments]]),"")</f>
        <v/>
      </c>
      <c r="B690" s="63" t="s">
        <v>1531</v>
      </c>
      <c r="C690" s="148" t="s">
        <v>4</v>
      </c>
      <c r="D690" s="113" t="s">
        <v>614</v>
      </c>
      <c r="E690" s="129"/>
      <c r="F690" s="129"/>
      <c r="G690" s="69" t="str">
        <f>IF(stdProdLT(Main[[#This Row],[Comments]])=0.1,"N/A",IF(stdProdLT(Main[[#This Row],[Comments]])=0,"",stdProdLT(Main[[#This Row],[Comments]])))</f>
        <v/>
      </c>
      <c r="H690" s="138" t="str">
        <f>IF(Main[[#This Row],[In Stock Date]]="N/A", "N/A",IF(AND(Main[[#This Row],[In Stock Date]]&lt;&gt;"",Main[[#This Row],[Revised Due Date]]&lt;&gt;"",Main[[#This Row],[In Stock Date]]&lt;&gt;""),Main[[#This Row],[In Stock Date]]-Main[[#This Row],[Revised Due Date]],""))</f>
        <v/>
      </c>
      <c r="I690" s="139" t="s">
        <v>4</v>
      </c>
      <c r="J690" s="139" t="s">
        <v>28</v>
      </c>
      <c r="K690" s="139" t="s">
        <v>1923</v>
      </c>
      <c r="L690" s="129"/>
      <c r="M690" s="114" t="str">
        <f>IF(Main[[#This Row],[Tech Start Date]]&lt;1/1/1990,"",IF(Main[[#This Row],[Class]]="C",WORKDAY(Main[[#This Row],[Tech Start Date]],9),IF(Main[[#This Row],[Class]]="B", WORKDAY(Main[[#This Row],[Tech Start Date]],6),IF(Main[[#This Row],[Class]]="A",WORKDAY(Main[[#This Row],[Tech Start Date]],2),""))))</f>
        <v/>
      </c>
      <c r="N690" s="114" t="str">
        <f>IF(Main[[#This Row],[Tech Start Date]]&lt;1/1/1990,"",IF(Main[[#This Row],[Class]]="C",WORKDAY(Main[[#This Row],[Tech Start Date]],19),IF(Main[[#This Row],[Class]]="B", WORKDAY(Main[[#This Row],[Tech Start Date]],12),IF(Main[[#This Row],[Class]]="A",WORKDAY(Main[[#This Row],[Tech Start Date]],4),""))))</f>
        <v/>
      </c>
      <c r="O690" s="114" t="str">
        <f>IF(Main[[#This Row],[Tech Start Date]]&lt;1/1/1990,"",IF(Main[[#This Row],[Class]]="C",WORKDAY(Main[[#This Row],[Tech Start Date]],23),IF(Main[[#This Row],[Class]]="B", WORKDAY(Main[[#This Row],[Tech Start Date]],15),IF(Main[[#This Row],[Class]]="A",WORKDAY(Main[[#This Row],[Tech Start Date]],5),""))))</f>
        <v/>
      </c>
      <c r="P690" s="114" t="str">
        <f>IF(Main[[#This Row],[Tech Start Date]]&lt;1/1/1990,"",IF(Main[[#This Row],[Class]]="C",WORKDAY(Main[[#This Row],[Tech Start Date]],28),IF(Main[[#This Row],[Class]]="B", WORKDAY(Main[[#This Row],[Tech Start Date]],19),IF(Main[[#This Row],[Class]]="A",WORKDAY(Main[[#This Row],[Tech Start Date]],9),""))))</f>
        <v/>
      </c>
      <c r="Q690" s="129">
        <v>40387</v>
      </c>
      <c r="R690" s="129"/>
      <c r="S690" s="139" t="s">
        <v>6</v>
      </c>
      <c r="T690" s="115" t="s">
        <v>4</v>
      </c>
      <c r="U690" s="139" t="s">
        <v>14</v>
      </c>
      <c r="V690" s="139" t="s">
        <v>1914</v>
      </c>
      <c r="W690" s="139" t="s">
        <v>1919</v>
      </c>
      <c r="X690" s="139" t="s">
        <v>129</v>
      </c>
      <c r="Y690" s="112" t="s">
        <v>3077</v>
      </c>
      <c r="Z690" s="112" t="s">
        <v>129</v>
      </c>
      <c r="AA690" s="139" t="s">
        <v>129</v>
      </c>
    </row>
    <row r="691" spans="1:27" ht="17.25" customHeight="1">
      <c r="A691" s="69" t="str">
        <f>IF(priority(Main[[#This Row],[Comments]])&lt;&gt;0, priority(Main[[#This Row],[Comments]]),"")</f>
        <v/>
      </c>
      <c r="B691" s="63" t="s">
        <v>1532</v>
      </c>
      <c r="C691" s="148" t="s">
        <v>211</v>
      </c>
      <c r="D691" s="113" t="s">
        <v>413</v>
      </c>
      <c r="E691" s="129"/>
      <c r="F691" s="129">
        <v>40391</v>
      </c>
      <c r="G691" s="69" t="str">
        <f>IF(stdProdLT(Main[[#This Row],[Comments]])=0.1,"N/A",IF(stdProdLT(Main[[#This Row],[Comments]])=0,"",stdProdLT(Main[[#This Row],[Comments]])))</f>
        <v/>
      </c>
      <c r="H691" s="138" t="str">
        <f>IF(Main[[#This Row],[In Stock Date]]="N/A", "N/A",IF(AND(Main[[#This Row],[In Stock Date]]&lt;&gt;"",Main[[#This Row],[Revised Due Date]]&lt;&gt;"",Main[[#This Row],[In Stock Date]]&lt;&gt;""),Main[[#This Row],[In Stock Date]]-Main[[#This Row],[Revised Due Date]],""))</f>
        <v/>
      </c>
      <c r="I691" s="139" t="s">
        <v>4</v>
      </c>
      <c r="J691" s="139" t="s">
        <v>4</v>
      </c>
      <c r="K691" s="140" t="s">
        <v>4</v>
      </c>
      <c r="L691" s="129"/>
      <c r="M691" s="114" t="str">
        <f>IF(Main[[#This Row],[Tech Start Date]]&lt;1/1/1990,"",IF(Main[[#This Row],[Class]]="C",WORKDAY(Main[[#This Row],[Tech Start Date]],9),IF(Main[[#This Row],[Class]]="B", WORKDAY(Main[[#This Row],[Tech Start Date]],6),IF(Main[[#This Row],[Class]]="A",WORKDAY(Main[[#This Row],[Tech Start Date]],2),""))))</f>
        <v/>
      </c>
      <c r="N691" s="114" t="str">
        <f>IF(Main[[#This Row],[Tech Start Date]]&lt;1/1/1990,"",IF(Main[[#This Row],[Class]]="C",WORKDAY(Main[[#This Row],[Tech Start Date]],19),IF(Main[[#This Row],[Class]]="B", WORKDAY(Main[[#This Row],[Tech Start Date]],12),IF(Main[[#This Row],[Class]]="A",WORKDAY(Main[[#This Row],[Tech Start Date]],4),""))))</f>
        <v/>
      </c>
      <c r="O691" s="114" t="str">
        <f>IF(Main[[#This Row],[Tech Start Date]]&lt;1/1/1990,"",IF(Main[[#This Row],[Class]]="C",WORKDAY(Main[[#This Row],[Tech Start Date]],23),IF(Main[[#This Row],[Class]]="B", WORKDAY(Main[[#This Row],[Tech Start Date]],15),IF(Main[[#This Row],[Class]]="A",WORKDAY(Main[[#This Row],[Tech Start Date]],5),""))))</f>
        <v/>
      </c>
      <c r="P691" s="114" t="str">
        <f>IF(Main[[#This Row],[Tech Start Date]]&lt;1/1/1990,"",IF(Main[[#This Row],[Class]]="C",WORKDAY(Main[[#This Row],[Tech Start Date]],28),IF(Main[[#This Row],[Class]]="B", WORKDAY(Main[[#This Row],[Tech Start Date]],19),IF(Main[[#This Row],[Class]]="A",WORKDAY(Main[[#This Row],[Tech Start Date]],9),""))))</f>
        <v/>
      </c>
      <c r="Q691" s="129">
        <v>40296</v>
      </c>
      <c r="R691" s="129"/>
      <c r="S691" s="139" t="s">
        <v>11</v>
      </c>
      <c r="T691" s="115" t="s">
        <v>4</v>
      </c>
      <c r="U691" s="139" t="s">
        <v>12</v>
      </c>
      <c r="V691" s="139" t="s">
        <v>1914</v>
      </c>
      <c r="W691" s="139" t="s">
        <v>1922</v>
      </c>
      <c r="X691" s="139" t="s">
        <v>2833</v>
      </c>
      <c r="Y691" s="112" t="s">
        <v>4</v>
      </c>
      <c r="Z691" s="112" t="s">
        <v>4</v>
      </c>
      <c r="AA691" s="139" t="s">
        <v>2833</v>
      </c>
    </row>
    <row r="692" spans="1:27" ht="17.25" customHeight="1">
      <c r="A692" s="69" t="str">
        <f>IF(priority(Main[[#This Row],[Comments]])&lt;&gt;0, priority(Main[[#This Row],[Comments]]),"")</f>
        <v/>
      </c>
      <c r="B692" s="63" t="s">
        <v>1533</v>
      </c>
      <c r="C692" s="148" t="s">
        <v>211</v>
      </c>
      <c r="D692" s="113" t="s">
        <v>413</v>
      </c>
      <c r="E692" s="129"/>
      <c r="F692" s="129">
        <v>40452</v>
      </c>
      <c r="G692" s="69" t="str">
        <f>IF(stdProdLT(Main[[#This Row],[Comments]])=0.1,"N/A",IF(stdProdLT(Main[[#This Row],[Comments]])=0,"",stdProdLT(Main[[#This Row],[Comments]])))</f>
        <v/>
      </c>
      <c r="H692" s="138" t="str">
        <f>IF(Main[[#This Row],[In Stock Date]]="N/A", "N/A",IF(AND(Main[[#This Row],[In Stock Date]]&lt;&gt;"",Main[[#This Row],[Revised Due Date]]&lt;&gt;"",Main[[#This Row],[In Stock Date]]&lt;&gt;""),Main[[#This Row],[In Stock Date]]-Main[[#This Row],[Revised Due Date]],""))</f>
        <v/>
      </c>
      <c r="I692" s="139" t="s">
        <v>4</v>
      </c>
      <c r="J692" s="139" t="s">
        <v>4</v>
      </c>
      <c r="K692" s="139" t="s">
        <v>4</v>
      </c>
      <c r="L692" s="129"/>
      <c r="M692" s="114" t="str">
        <f>IF(Main[[#This Row],[Tech Start Date]]&lt;1/1/1990,"",IF(Main[[#This Row],[Class]]="C",WORKDAY(Main[[#This Row],[Tech Start Date]],9),IF(Main[[#This Row],[Class]]="B", WORKDAY(Main[[#This Row],[Tech Start Date]],6),IF(Main[[#This Row],[Class]]="A",WORKDAY(Main[[#This Row],[Tech Start Date]],2),""))))</f>
        <v/>
      </c>
      <c r="N692" s="114" t="str">
        <f>IF(Main[[#This Row],[Tech Start Date]]&lt;1/1/1990,"",IF(Main[[#This Row],[Class]]="C",WORKDAY(Main[[#This Row],[Tech Start Date]],19),IF(Main[[#This Row],[Class]]="B", WORKDAY(Main[[#This Row],[Tech Start Date]],12),IF(Main[[#This Row],[Class]]="A",WORKDAY(Main[[#This Row],[Tech Start Date]],4),""))))</f>
        <v/>
      </c>
      <c r="O692" s="114" t="str">
        <f>IF(Main[[#This Row],[Tech Start Date]]&lt;1/1/1990,"",IF(Main[[#This Row],[Class]]="C",WORKDAY(Main[[#This Row],[Tech Start Date]],23),IF(Main[[#This Row],[Class]]="B", WORKDAY(Main[[#This Row],[Tech Start Date]],15),IF(Main[[#This Row],[Class]]="A",WORKDAY(Main[[#This Row],[Tech Start Date]],5),""))))</f>
        <v/>
      </c>
      <c r="P692" s="114" t="str">
        <f>IF(Main[[#This Row],[Tech Start Date]]&lt;1/1/1990,"",IF(Main[[#This Row],[Class]]="C",WORKDAY(Main[[#This Row],[Tech Start Date]],28),IF(Main[[#This Row],[Class]]="B", WORKDAY(Main[[#This Row],[Tech Start Date]],19),IF(Main[[#This Row],[Class]]="A",WORKDAY(Main[[#This Row],[Tech Start Date]],9),""))))</f>
        <v/>
      </c>
      <c r="Q692" s="129">
        <v>40357</v>
      </c>
      <c r="R692" s="129"/>
      <c r="S692" s="139" t="s">
        <v>11</v>
      </c>
      <c r="T692" s="115" t="s">
        <v>4</v>
      </c>
      <c r="U692" s="139" t="s">
        <v>12</v>
      </c>
      <c r="V692" s="139" t="s">
        <v>1914</v>
      </c>
      <c r="W692" s="139" t="s">
        <v>1922</v>
      </c>
      <c r="X692" s="139" t="s">
        <v>2833</v>
      </c>
      <c r="Y692" s="112" t="s">
        <v>4</v>
      </c>
      <c r="Z692" s="112" t="s">
        <v>4</v>
      </c>
      <c r="AA692" s="139" t="s">
        <v>2833</v>
      </c>
    </row>
    <row r="693" spans="1:27" ht="17.25" customHeight="1">
      <c r="A693" s="69" t="str">
        <f>IF(priority(Main[[#This Row],[Comments]])&lt;&gt;0, priority(Main[[#This Row],[Comments]]),"")</f>
        <v/>
      </c>
      <c r="B693" s="63" t="s">
        <v>1534</v>
      </c>
      <c r="C693" s="148" t="s">
        <v>211</v>
      </c>
      <c r="D693" s="113" t="s">
        <v>212</v>
      </c>
      <c r="E693" s="129"/>
      <c r="F693" s="129">
        <v>40452</v>
      </c>
      <c r="G693" s="69" t="str">
        <f>IF(stdProdLT(Main[[#This Row],[Comments]])=0.1,"N/A",IF(stdProdLT(Main[[#This Row],[Comments]])=0,"",stdProdLT(Main[[#This Row],[Comments]])))</f>
        <v/>
      </c>
      <c r="H693" s="138" t="str">
        <f>IF(Main[[#This Row],[In Stock Date]]="N/A", "N/A",IF(AND(Main[[#This Row],[In Stock Date]]&lt;&gt;"",Main[[#This Row],[Revised Due Date]]&lt;&gt;"",Main[[#This Row],[In Stock Date]]&lt;&gt;""),Main[[#This Row],[In Stock Date]]-Main[[#This Row],[Revised Due Date]],""))</f>
        <v/>
      </c>
      <c r="I693" s="139" t="s">
        <v>4</v>
      </c>
      <c r="J693" s="139" t="s">
        <v>4</v>
      </c>
      <c r="K693" s="139" t="s">
        <v>4</v>
      </c>
      <c r="L693" s="129"/>
      <c r="M693" s="114" t="str">
        <f>IF(Main[[#This Row],[Tech Start Date]]&lt;1/1/1990,"",IF(Main[[#This Row],[Class]]="C",WORKDAY(Main[[#This Row],[Tech Start Date]],9),IF(Main[[#This Row],[Class]]="B", WORKDAY(Main[[#This Row],[Tech Start Date]],6),IF(Main[[#This Row],[Class]]="A",WORKDAY(Main[[#This Row],[Tech Start Date]],2),""))))</f>
        <v/>
      </c>
      <c r="N693" s="114" t="str">
        <f>IF(Main[[#This Row],[Tech Start Date]]&lt;1/1/1990,"",IF(Main[[#This Row],[Class]]="C",WORKDAY(Main[[#This Row],[Tech Start Date]],19),IF(Main[[#This Row],[Class]]="B", WORKDAY(Main[[#This Row],[Tech Start Date]],12),IF(Main[[#This Row],[Class]]="A",WORKDAY(Main[[#This Row],[Tech Start Date]],4),""))))</f>
        <v/>
      </c>
      <c r="O693" s="114" t="str">
        <f>IF(Main[[#This Row],[Tech Start Date]]&lt;1/1/1990,"",IF(Main[[#This Row],[Class]]="C",WORKDAY(Main[[#This Row],[Tech Start Date]],23),IF(Main[[#This Row],[Class]]="B", WORKDAY(Main[[#This Row],[Tech Start Date]],15),IF(Main[[#This Row],[Class]]="A",WORKDAY(Main[[#This Row],[Tech Start Date]],5),""))))</f>
        <v/>
      </c>
      <c r="P693" s="114" t="str">
        <f>IF(Main[[#This Row],[Tech Start Date]]&lt;1/1/1990,"",IF(Main[[#This Row],[Class]]="C",WORKDAY(Main[[#This Row],[Tech Start Date]],28),IF(Main[[#This Row],[Class]]="B", WORKDAY(Main[[#This Row],[Tech Start Date]],19),IF(Main[[#This Row],[Class]]="A",WORKDAY(Main[[#This Row],[Tech Start Date]],9),""))))</f>
        <v/>
      </c>
      <c r="Q693" s="129">
        <v>40357</v>
      </c>
      <c r="R693" s="129"/>
      <c r="S693" s="139" t="s">
        <v>11</v>
      </c>
      <c r="T693" s="115" t="s">
        <v>4</v>
      </c>
      <c r="U693" s="139" t="s">
        <v>12</v>
      </c>
      <c r="V693" s="139" t="s">
        <v>1914</v>
      </c>
      <c r="W693" s="139" t="s">
        <v>1922</v>
      </c>
      <c r="X693" s="139" t="s">
        <v>2833</v>
      </c>
      <c r="Y693" s="112" t="s">
        <v>4</v>
      </c>
      <c r="Z693" s="112" t="s">
        <v>4</v>
      </c>
      <c r="AA693" s="139" t="s">
        <v>2833</v>
      </c>
    </row>
    <row r="694" spans="1:27" ht="17.25" customHeight="1">
      <c r="A694" s="69" t="str">
        <f>IF(priority(Main[[#This Row],[Comments]])&lt;&gt;0, priority(Main[[#This Row],[Comments]]),"")</f>
        <v/>
      </c>
      <c r="B694" s="63" t="s">
        <v>1535</v>
      </c>
      <c r="C694" s="148" t="s">
        <v>211</v>
      </c>
      <c r="D694" s="113" t="s">
        <v>212</v>
      </c>
      <c r="E694" s="129"/>
      <c r="F694" s="129">
        <v>40452</v>
      </c>
      <c r="G694" s="69" t="str">
        <f>IF(stdProdLT(Main[[#This Row],[Comments]])=0.1,"N/A",IF(stdProdLT(Main[[#This Row],[Comments]])=0,"",stdProdLT(Main[[#This Row],[Comments]])))</f>
        <v/>
      </c>
      <c r="H694" s="138" t="str">
        <f>IF(Main[[#This Row],[In Stock Date]]="N/A", "N/A",IF(AND(Main[[#This Row],[In Stock Date]]&lt;&gt;"",Main[[#This Row],[Revised Due Date]]&lt;&gt;"",Main[[#This Row],[In Stock Date]]&lt;&gt;""),Main[[#This Row],[In Stock Date]]-Main[[#This Row],[Revised Due Date]],""))</f>
        <v/>
      </c>
      <c r="I694" s="139" t="s">
        <v>4</v>
      </c>
      <c r="J694" s="139" t="s">
        <v>4</v>
      </c>
      <c r="K694" s="139" t="s">
        <v>4</v>
      </c>
      <c r="L694" s="129"/>
      <c r="M694" s="114" t="str">
        <f>IF(Main[[#This Row],[Tech Start Date]]&lt;1/1/1990,"",IF(Main[[#This Row],[Class]]="C",WORKDAY(Main[[#This Row],[Tech Start Date]],9),IF(Main[[#This Row],[Class]]="B", WORKDAY(Main[[#This Row],[Tech Start Date]],6),IF(Main[[#This Row],[Class]]="A",WORKDAY(Main[[#This Row],[Tech Start Date]],2),""))))</f>
        <v/>
      </c>
      <c r="N694" s="114" t="str">
        <f>IF(Main[[#This Row],[Tech Start Date]]&lt;1/1/1990,"",IF(Main[[#This Row],[Class]]="C",WORKDAY(Main[[#This Row],[Tech Start Date]],19),IF(Main[[#This Row],[Class]]="B", WORKDAY(Main[[#This Row],[Tech Start Date]],12),IF(Main[[#This Row],[Class]]="A",WORKDAY(Main[[#This Row],[Tech Start Date]],4),""))))</f>
        <v/>
      </c>
      <c r="O694" s="114" t="str">
        <f>IF(Main[[#This Row],[Tech Start Date]]&lt;1/1/1990,"",IF(Main[[#This Row],[Class]]="C",WORKDAY(Main[[#This Row],[Tech Start Date]],23),IF(Main[[#This Row],[Class]]="B", WORKDAY(Main[[#This Row],[Tech Start Date]],15),IF(Main[[#This Row],[Class]]="A",WORKDAY(Main[[#This Row],[Tech Start Date]],5),""))))</f>
        <v/>
      </c>
      <c r="P694" s="114" t="str">
        <f>IF(Main[[#This Row],[Tech Start Date]]&lt;1/1/1990,"",IF(Main[[#This Row],[Class]]="C",WORKDAY(Main[[#This Row],[Tech Start Date]],28),IF(Main[[#This Row],[Class]]="B", WORKDAY(Main[[#This Row],[Tech Start Date]],19),IF(Main[[#This Row],[Class]]="A",WORKDAY(Main[[#This Row],[Tech Start Date]],9),""))))</f>
        <v/>
      </c>
      <c r="Q694" s="129">
        <v>40357</v>
      </c>
      <c r="R694" s="129"/>
      <c r="S694" s="139" t="s">
        <v>11</v>
      </c>
      <c r="T694" s="115" t="s">
        <v>4</v>
      </c>
      <c r="U694" s="139" t="s">
        <v>12</v>
      </c>
      <c r="V694" s="139" t="s">
        <v>1914</v>
      </c>
      <c r="W694" s="139" t="s">
        <v>1922</v>
      </c>
      <c r="X694" s="139" t="s">
        <v>2833</v>
      </c>
      <c r="Y694" s="112" t="s">
        <v>4</v>
      </c>
      <c r="Z694" s="112" t="s">
        <v>4</v>
      </c>
      <c r="AA694" s="139" t="s">
        <v>2833</v>
      </c>
    </row>
    <row r="695" spans="1:27" ht="17.25" customHeight="1">
      <c r="A695" s="69" t="str">
        <f>IF(priority(Main[[#This Row],[Comments]])&lt;&gt;0, priority(Main[[#This Row],[Comments]]),"")</f>
        <v/>
      </c>
      <c r="B695" s="63" t="s">
        <v>1536</v>
      </c>
      <c r="C695" s="148" t="s">
        <v>72</v>
      </c>
      <c r="D695" s="113" t="s">
        <v>615</v>
      </c>
      <c r="E695" s="129"/>
      <c r="F695" s="129"/>
      <c r="G695" s="69" t="str">
        <f>IF(stdProdLT(Main[[#This Row],[Comments]])=0.1,"N/A",IF(stdProdLT(Main[[#This Row],[Comments]])=0,"",stdProdLT(Main[[#This Row],[Comments]])))</f>
        <v/>
      </c>
      <c r="H695" s="138" t="str">
        <f>IF(Main[[#This Row],[In Stock Date]]="N/A", "N/A",IF(AND(Main[[#This Row],[In Stock Date]]&lt;&gt;"",Main[[#This Row],[Revised Due Date]]&lt;&gt;"",Main[[#This Row],[In Stock Date]]&lt;&gt;""),Main[[#This Row],[In Stock Date]]-Main[[#This Row],[Revised Due Date]],""))</f>
        <v/>
      </c>
      <c r="I695" s="139" t="s">
        <v>4</v>
      </c>
      <c r="J695" s="139" t="s">
        <v>4</v>
      </c>
      <c r="K695" s="140" t="s">
        <v>4</v>
      </c>
      <c r="L695" s="129"/>
      <c r="M695" s="114" t="str">
        <f>IF(Main[[#This Row],[Tech Start Date]]&lt;1/1/1990,"",IF(Main[[#This Row],[Class]]="C",WORKDAY(Main[[#This Row],[Tech Start Date]],9),IF(Main[[#This Row],[Class]]="B", WORKDAY(Main[[#This Row],[Tech Start Date]],6),IF(Main[[#This Row],[Class]]="A",WORKDAY(Main[[#This Row],[Tech Start Date]],2),""))))</f>
        <v/>
      </c>
      <c r="N695" s="114" t="str">
        <f>IF(Main[[#This Row],[Tech Start Date]]&lt;1/1/1990,"",IF(Main[[#This Row],[Class]]="C",WORKDAY(Main[[#This Row],[Tech Start Date]],19),IF(Main[[#This Row],[Class]]="B", WORKDAY(Main[[#This Row],[Tech Start Date]],12),IF(Main[[#This Row],[Class]]="A",WORKDAY(Main[[#This Row],[Tech Start Date]],4),""))))</f>
        <v/>
      </c>
      <c r="O695" s="114" t="str">
        <f>IF(Main[[#This Row],[Tech Start Date]]&lt;1/1/1990,"",IF(Main[[#This Row],[Class]]="C",WORKDAY(Main[[#This Row],[Tech Start Date]],23),IF(Main[[#This Row],[Class]]="B", WORKDAY(Main[[#This Row],[Tech Start Date]],15),IF(Main[[#This Row],[Class]]="A",WORKDAY(Main[[#This Row],[Tech Start Date]],5),""))))</f>
        <v/>
      </c>
      <c r="P695" s="114" t="str">
        <f>IF(Main[[#This Row],[Tech Start Date]]&lt;1/1/1990,"",IF(Main[[#This Row],[Class]]="C",WORKDAY(Main[[#This Row],[Tech Start Date]],28),IF(Main[[#This Row],[Class]]="B", WORKDAY(Main[[#This Row],[Tech Start Date]],19),IF(Main[[#This Row],[Class]]="A",WORKDAY(Main[[#This Row],[Tech Start Date]],9),""))))</f>
        <v/>
      </c>
      <c r="Q695" s="129"/>
      <c r="R695" s="129"/>
      <c r="S695" s="139" t="s">
        <v>11</v>
      </c>
      <c r="T695" s="115" t="s">
        <v>4</v>
      </c>
      <c r="U695" s="139" t="s">
        <v>14</v>
      </c>
      <c r="V695" s="139" t="s">
        <v>1915</v>
      </c>
      <c r="W695" s="139" t="s">
        <v>1922</v>
      </c>
      <c r="X695" s="139" t="s">
        <v>2827</v>
      </c>
      <c r="Y695" s="112" t="s">
        <v>2948</v>
      </c>
      <c r="Z695" s="112" t="s">
        <v>4</v>
      </c>
      <c r="AA695" s="139" t="s">
        <v>2827</v>
      </c>
    </row>
    <row r="696" spans="1:27" ht="17.25" customHeight="1">
      <c r="A696" s="69" t="str">
        <f>IF(priority(Main[[#This Row],[Comments]])&lt;&gt;0, priority(Main[[#This Row],[Comments]]),"")</f>
        <v/>
      </c>
      <c r="B696" s="63" t="s">
        <v>1537</v>
      </c>
      <c r="C696" s="148" t="s">
        <v>33</v>
      </c>
      <c r="D696" s="113" t="s">
        <v>616</v>
      </c>
      <c r="E696" s="129"/>
      <c r="F696" s="129"/>
      <c r="G696" s="69" t="str">
        <f>IF(stdProdLT(Main[[#This Row],[Comments]])=0.1,"N/A",IF(stdProdLT(Main[[#This Row],[Comments]])=0,"",stdProdLT(Main[[#This Row],[Comments]])))</f>
        <v/>
      </c>
      <c r="H696" s="138" t="str">
        <f>IF(Main[[#This Row],[In Stock Date]]="N/A", "N/A",IF(AND(Main[[#This Row],[In Stock Date]]&lt;&gt;"",Main[[#This Row],[Revised Due Date]]&lt;&gt;"",Main[[#This Row],[In Stock Date]]&lt;&gt;""),Main[[#This Row],[In Stock Date]]-Main[[#This Row],[Revised Due Date]],""))</f>
        <v/>
      </c>
      <c r="I696" s="139" t="s">
        <v>4</v>
      </c>
      <c r="J696" s="139" t="s">
        <v>4</v>
      </c>
      <c r="K696" s="139" t="s">
        <v>4</v>
      </c>
      <c r="L696" s="129"/>
      <c r="M696" s="114" t="str">
        <f>IF(Main[[#This Row],[Tech Start Date]]&lt;1/1/1990,"",IF(Main[[#This Row],[Class]]="C",WORKDAY(Main[[#This Row],[Tech Start Date]],9),IF(Main[[#This Row],[Class]]="B", WORKDAY(Main[[#This Row],[Tech Start Date]],6),IF(Main[[#This Row],[Class]]="A",WORKDAY(Main[[#This Row],[Tech Start Date]],2),""))))</f>
        <v/>
      </c>
      <c r="N696" s="114" t="str">
        <f>IF(Main[[#This Row],[Tech Start Date]]&lt;1/1/1990,"",IF(Main[[#This Row],[Class]]="C",WORKDAY(Main[[#This Row],[Tech Start Date]],19),IF(Main[[#This Row],[Class]]="B", WORKDAY(Main[[#This Row],[Tech Start Date]],12),IF(Main[[#This Row],[Class]]="A",WORKDAY(Main[[#This Row],[Tech Start Date]],4),""))))</f>
        <v/>
      </c>
      <c r="O696" s="114" t="str">
        <f>IF(Main[[#This Row],[Tech Start Date]]&lt;1/1/1990,"",IF(Main[[#This Row],[Class]]="C",WORKDAY(Main[[#This Row],[Tech Start Date]],23),IF(Main[[#This Row],[Class]]="B", WORKDAY(Main[[#This Row],[Tech Start Date]],15),IF(Main[[#This Row],[Class]]="A",WORKDAY(Main[[#This Row],[Tech Start Date]],5),""))))</f>
        <v/>
      </c>
      <c r="P696" s="114" t="str">
        <f>IF(Main[[#This Row],[Tech Start Date]]&lt;1/1/1990,"",IF(Main[[#This Row],[Class]]="C",WORKDAY(Main[[#This Row],[Tech Start Date]],28),IF(Main[[#This Row],[Class]]="B", WORKDAY(Main[[#This Row],[Tech Start Date]],19),IF(Main[[#This Row],[Class]]="A",WORKDAY(Main[[#This Row],[Tech Start Date]],9),""))))</f>
        <v/>
      </c>
      <c r="Q696" s="129"/>
      <c r="R696" s="129"/>
      <c r="S696" s="139" t="s">
        <v>11</v>
      </c>
      <c r="T696" s="115" t="s">
        <v>4</v>
      </c>
      <c r="U696" s="139" t="s">
        <v>14</v>
      </c>
      <c r="V696" s="139" t="s">
        <v>1915</v>
      </c>
      <c r="W696" s="139" t="s">
        <v>1922</v>
      </c>
      <c r="X696" s="139" t="s">
        <v>2827</v>
      </c>
      <c r="Y696" s="112" t="s">
        <v>2948</v>
      </c>
      <c r="Z696" s="112" t="s">
        <v>4</v>
      </c>
      <c r="AA696" s="139" t="s">
        <v>2827</v>
      </c>
    </row>
    <row r="697" spans="1:27" ht="17.25" customHeight="1">
      <c r="A697" s="69" t="str">
        <f>IF(priority(Main[[#This Row],[Comments]])&lt;&gt;0, priority(Main[[#This Row],[Comments]]),"")</f>
        <v/>
      </c>
      <c r="B697" s="63" t="s">
        <v>1538</v>
      </c>
      <c r="C697" s="148" t="s">
        <v>33</v>
      </c>
      <c r="D697" s="113" t="s">
        <v>617</v>
      </c>
      <c r="E697" s="129"/>
      <c r="F697" s="129"/>
      <c r="G697" s="69" t="str">
        <f>IF(stdProdLT(Main[[#This Row],[Comments]])=0.1,"N/A",IF(stdProdLT(Main[[#This Row],[Comments]])=0,"",stdProdLT(Main[[#This Row],[Comments]])))</f>
        <v/>
      </c>
      <c r="H697" s="138" t="str">
        <f>IF(Main[[#This Row],[In Stock Date]]="N/A", "N/A",IF(AND(Main[[#This Row],[In Stock Date]]&lt;&gt;"",Main[[#This Row],[Revised Due Date]]&lt;&gt;"",Main[[#This Row],[In Stock Date]]&lt;&gt;""),Main[[#This Row],[In Stock Date]]-Main[[#This Row],[Revised Due Date]],""))</f>
        <v/>
      </c>
      <c r="I697" s="139" t="s">
        <v>4</v>
      </c>
      <c r="J697" s="139" t="s">
        <v>4</v>
      </c>
      <c r="K697" s="139" t="s">
        <v>4</v>
      </c>
      <c r="L697" s="129"/>
      <c r="M697" s="114" t="str">
        <f>IF(Main[[#This Row],[Tech Start Date]]&lt;1/1/1990,"",IF(Main[[#This Row],[Class]]="C",WORKDAY(Main[[#This Row],[Tech Start Date]],9),IF(Main[[#This Row],[Class]]="B", WORKDAY(Main[[#This Row],[Tech Start Date]],6),IF(Main[[#This Row],[Class]]="A",WORKDAY(Main[[#This Row],[Tech Start Date]],2),""))))</f>
        <v/>
      </c>
      <c r="N697" s="114" t="str">
        <f>IF(Main[[#This Row],[Tech Start Date]]&lt;1/1/1990,"",IF(Main[[#This Row],[Class]]="C",WORKDAY(Main[[#This Row],[Tech Start Date]],19),IF(Main[[#This Row],[Class]]="B", WORKDAY(Main[[#This Row],[Tech Start Date]],12),IF(Main[[#This Row],[Class]]="A",WORKDAY(Main[[#This Row],[Tech Start Date]],4),""))))</f>
        <v/>
      </c>
      <c r="O697" s="114" t="str">
        <f>IF(Main[[#This Row],[Tech Start Date]]&lt;1/1/1990,"",IF(Main[[#This Row],[Class]]="C",WORKDAY(Main[[#This Row],[Tech Start Date]],23),IF(Main[[#This Row],[Class]]="B", WORKDAY(Main[[#This Row],[Tech Start Date]],15),IF(Main[[#This Row],[Class]]="A",WORKDAY(Main[[#This Row],[Tech Start Date]],5),""))))</f>
        <v/>
      </c>
      <c r="P697" s="114" t="str">
        <f>IF(Main[[#This Row],[Tech Start Date]]&lt;1/1/1990,"",IF(Main[[#This Row],[Class]]="C",WORKDAY(Main[[#This Row],[Tech Start Date]],28),IF(Main[[#This Row],[Class]]="B", WORKDAY(Main[[#This Row],[Tech Start Date]],19),IF(Main[[#This Row],[Class]]="A",WORKDAY(Main[[#This Row],[Tech Start Date]],9),""))))</f>
        <v/>
      </c>
      <c r="Q697" s="129"/>
      <c r="R697" s="129"/>
      <c r="S697" s="139" t="s">
        <v>11</v>
      </c>
      <c r="T697" s="115" t="s">
        <v>4</v>
      </c>
      <c r="U697" s="139" t="s">
        <v>14</v>
      </c>
      <c r="V697" s="139" t="s">
        <v>1915</v>
      </c>
      <c r="W697" s="139" t="s">
        <v>1922</v>
      </c>
      <c r="X697" s="139" t="s">
        <v>2827</v>
      </c>
      <c r="Y697" s="112" t="s">
        <v>2948</v>
      </c>
      <c r="Z697" s="112" t="s">
        <v>4</v>
      </c>
      <c r="AA697" s="139" t="s">
        <v>2827</v>
      </c>
    </row>
    <row r="698" spans="1:27" ht="17.25" customHeight="1">
      <c r="A698" s="69" t="str">
        <f>IF(priority(Main[[#This Row],[Comments]])&lt;&gt;0, priority(Main[[#This Row],[Comments]]),"")</f>
        <v/>
      </c>
      <c r="B698" s="63" t="s">
        <v>1539</v>
      </c>
      <c r="C698" s="148" t="s">
        <v>4</v>
      </c>
      <c r="D698" s="113" t="s">
        <v>618</v>
      </c>
      <c r="E698" s="129">
        <v>40294.429988425924</v>
      </c>
      <c r="F698" s="129"/>
      <c r="G698" s="69" t="str">
        <f>IF(stdProdLT(Main[[#This Row],[Comments]])=0.1,"N/A",IF(stdProdLT(Main[[#This Row],[Comments]])=0,"",stdProdLT(Main[[#This Row],[Comments]])))</f>
        <v/>
      </c>
      <c r="H698" s="138" t="str">
        <f>IF(Main[[#This Row],[In Stock Date]]="N/A", "N/A",IF(AND(Main[[#This Row],[In Stock Date]]&lt;&gt;"",Main[[#This Row],[Revised Due Date]]&lt;&gt;"",Main[[#This Row],[In Stock Date]]&lt;&gt;""),Main[[#This Row],[In Stock Date]]-Main[[#This Row],[Revised Due Date]],""))</f>
        <v/>
      </c>
      <c r="I698" s="139" t="s">
        <v>4</v>
      </c>
      <c r="J698" s="139" t="s">
        <v>4</v>
      </c>
      <c r="K698" s="140" t="s">
        <v>4</v>
      </c>
      <c r="L698" s="129"/>
      <c r="M698" s="114" t="str">
        <f>IF(Main[[#This Row],[Tech Start Date]]&lt;1/1/1990,"",IF(Main[[#This Row],[Class]]="C",WORKDAY(Main[[#This Row],[Tech Start Date]],9),IF(Main[[#This Row],[Class]]="B", WORKDAY(Main[[#This Row],[Tech Start Date]],6),IF(Main[[#This Row],[Class]]="A",WORKDAY(Main[[#This Row],[Tech Start Date]],2),""))))</f>
        <v/>
      </c>
      <c r="N698" s="114" t="str">
        <f>IF(Main[[#This Row],[Tech Start Date]]&lt;1/1/1990,"",IF(Main[[#This Row],[Class]]="C",WORKDAY(Main[[#This Row],[Tech Start Date]],19),IF(Main[[#This Row],[Class]]="B", WORKDAY(Main[[#This Row],[Tech Start Date]],12),IF(Main[[#This Row],[Class]]="A",WORKDAY(Main[[#This Row],[Tech Start Date]],4),""))))</f>
        <v/>
      </c>
      <c r="O698" s="114" t="str">
        <f>IF(Main[[#This Row],[Tech Start Date]]&lt;1/1/1990,"",IF(Main[[#This Row],[Class]]="C",WORKDAY(Main[[#This Row],[Tech Start Date]],23),IF(Main[[#This Row],[Class]]="B", WORKDAY(Main[[#This Row],[Tech Start Date]],15),IF(Main[[#This Row],[Class]]="A",WORKDAY(Main[[#This Row],[Tech Start Date]],5),""))))</f>
        <v/>
      </c>
      <c r="P698" s="114" t="str">
        <f>IF(Main[[#This Row],[Tech Start Date]]&lt;1/1/1990,"",IF(Main[[#This Row],[Class]]="C",WORKDAY(Main[[#This Row],[Tech Start Date]],28),IF(Main[[#This Row],[Class]]="B", WORKDAY(Main[[#This Row],[Tech Start Date]],19),IF(Main[[#This Row],[Class]]="A",WORKDAY(Main[[#This Row],[Tech Start Date]],9),""))))</f>
        <v/>
      </c>
      <c r="Q698" s="129">
        <v>40390</v>
      </c>
      <c r="R698" s="129"/>
      <c r="S698" s="139" t="s">
        <v>6</v>
      </c>
      <c r="T698" s="115" t="s">
        <v>4</v>
      </c>
      <c r="U698" s="139" t="s">
        <v>7</v>
      </c>
      <c r="V698" s="139" t="s">
        <v>1914</v>
      </c>
      <c r="W698" s="139" t="s">
        <v>4</v>
      </c>
      <c r="X698" s="139" t="s">
        <v>2819</v>
      </c>
      <c r="Y698" s="112" t="s">
        <v>2932</v>
      </c>
      <c r="Z698" s="112" t="s">
        <v>4</v>
      </c>
      <c r="AA698" s="139" t="s">
        <v>2819</v>
      </c>
    </row>
    <row r="699" spans="1:27" ht="17.25" customHeight="1">
      <c r="A699" s="69" t="str">
        <f>IF(priority(Main[[#This Row],[Comments]])&lt;&gt;0, priority(Main[[#This Row],[Comments]]),"")</f>
        <v/>
      </c>
      <c r="B699" s="63" t="s">
        <v>1540</v>
      </c>
      <c r="C699" s="148" t="s">
        <v>4</v>
      </c>
      <c r="D699" s="113" t="s">
        <v>619</v>
      </c>
      <c r="E699" s="129"/>
      <c r="F699" s="129"/>
      <c r="G699" s="69" t="str">
        <f>IF(stdProdLT(Main[[#This Row],[Comments]])=0.1,"N/A",IF(stdProdLT(Main[[#This Row],[Comments]])=0,"",stdProdLT(Main[[#This Row],[Comments]])))</f>
        <v/>
      </c>
      <c r="H699" s="138" t="str">
        <f>IF(Main[[#This Row],[In Stock Date]]="N/A", "N/A",IF(AND(Main[[#This Row],[In Stock Date]]&lt;&gt;"",Main[[#This Row],[Revised Due Date]]&lt;&gt;"",Main[[#This Row],[In Stock Date]]&lt;&gt;""),Main[[#This Row],[In Stock Date]]-Main[[#This Row],[Revised Due Date]],""))</f>
        <v/>
      </c>
      <c r="I699" s="139" t="s">
        <v>4</v>
      </c>
      <c r="J699" s="139" t="s">
        <v>4</v>
      </c>
      <c r="K699" s="139" t="s">
        <v>4</v>
      </c>
      <c r="L699" s="129"/>
      <c r="M699" s="114" t="str">
        <f>IF(Main[[#This Row],[Tech Start Date]]&lt;1/1/1990,"",IF(Main[[#This Row],[Class]]="C",WORKDAY(Main[[#This Row],[Tech Start Date]],9),IF(Main[[#This Row],[Class]]="B", WORKDAY(Main[[#This Row],[Tech Start Date]],6),IF(Main[[#This Row],[Class]]="A",WORKDAY(Main[[#This Row],[Tech Start Date]],2),""))))</f>
        <v/>
      </c>
      <c r="N699" s="114" t="str">
        <f>IF(Main[[#This Row],[Tech Start Date]]&lt;1/1/1990,"",IF(Main[[#This Row],[Class]]="C",WORKDAY(Main[[#This Row],[Tech Start Date]],19),IF(Main[[#This Row],[Class]]="B", WORKDAY(Main[[#This Row],[Tech Start Date]],12),IF(Main[[#This Row],[Class]]="A",WORKDAY(Main[[#This Row],[Tech Start Date]],4),""))))</f>
        <v/>
      </c>
      <c r="O699" s="114" t="str">
        <f>IF(Main[[#This Row],[Tech Start Date]]&lt;1/1/1990,"",IF(Main[[#This Row],[Class]]="C",WORKDAY(Main[[#This Row],[Tech Start Date]],23),IF(Main[[#This Row],[Class]]="B", WORKDAY(Main[[#This Row],[Tech Start Date]],15),IF(Main[[#This Row],[Class]]="A",WORKDAY(Main[[#This Row],[Tech Start Date]],5),""))))</f>
        <v/>
      </c>
      <c r="P699" s="114" t="str">
        <f>IF(Main[[#This Row],[Tech Start Date]]&lt;1/1/1990,"",IF(Main[[#This Row],[Class]]="C",WORKDAY(Main[[#This Row],[Tech Start Date]],28),IF(Main[[#This Row],[Class]]="B", WORKDAY(Main[[#This Row],[Tech Start Date]],19),IF(Main[[#This Row],[Class]]="A",WORKDAY(Main[[#This Row],[Tech Start Date]],9),""))))</f>
        <v/>
      </c>
      <c r="Q699" s="129"/>
      <c r="R699" s="129"/>
      <c r="S699" s="139" t="s">
        <v>11</v>
      </c>
      <c r="T699" s="115" t="s">
        <v>4</v>
      </c>
      <c r="U699" s="139" t="s">
        <v>14</v>
      </c>
      <c r="V699" s="139" t="s">
        <v>1914</v>
      </c>
      <c r="W699" s="139" t="s">
        <v>1918</v>
      </c>
      <c r="X699" s="139" t="s">
        <v>922</v>
      </c>
      <c r="Y699" s="112" t="s">
        <v>2982</v>
      </c>
      <c r="Z699" s="112" t="s">
        <v>4</v>
      </c>
      <c r="AA699" s="139" t="s">
        <v>922</v>
      </c>
    </row>
    <row r="700" spans="1:27" ht="17.25" customHeight="1">
      <c r="A700" s="69" t="str">
        <f>IF(priority(Main[[#This Row],[Comments]])&lt;&gt;0, priority(Main[[#This Row],[Comments]]),"")</f>
        <v/>
      </c>
      <c r="B700" s="63" t="s">
        <v>1544</v>
      </c>
      <c r="C700" s="148" t="s">
        <v>4</v>
      </c>
      <c r="D700" s="113" t="s">
        <v>627</v>
      </c>
      <c r="E700" s="129"/>
      <c r="F700" s="129"/>
      <c r="G700" s="69" t="str">
        <f>IF(stdProdLT(Main[[#This Row],[Comments]])=0.1,"N/A",IF(stdProdLT(Main[[#This Row],[Comments]])=0,"",stdProdLT(Main[[#This Row],[Comments]])))</f>
        <v/>
      </c>
      <c r="H700" s="138" t="str">
        <f>IF(Main[[#This Row],[In Stock Date]]="N/A", "N/A",IF(AND(Main[[#This Row],[In Stock Date]]&lt;&gt;"",Main[[#This Row],[Revised Due Date]]&lt;&gt;"",Main[[#This Row],[In Stock Date]]&lt;&gt;""),Main[[#This Row],[In Stock Date]]-Main[[#This Row],[Revised Due Date]],""))</f>
        <v/>
      </c>
      <c r="I700" s="139" t="s">
        <v>4</v>
      </c>
      <c r="J700" s="139" t="s">
        <v>4</v>
      </c>
      <c r="K700" s="139" t="s">
        <v>4</v>
      </c>
      <c r="L700" s="129"/>
      <c r="M700" s="114" t="str">
        <f>IF(Main[[#This Row],[Tech Start Date]]&lt;1/1/1990,"",IF(Main[[#This Row],[Class]]="C",WORKDAY(Main[[#This Row],[Tech Start Date]],9),IF(Main[[#This Row],[Class]]="B", WORKDAY(Main[[#This Row],[Tech Start Date]],6),IF(Main[[#This Row],[Class]]="A",WORKDAY(Main[[#This Row],[Tech Start Date]],2),""))))</f>
        <v/>
      </c>
      <c r="N700" s="114" t="str">
        <f>IF(Main[[#This Row],[Tech Start Date]]&lt;1/1/1990,"",IF(Main[[#This Row],[Class]]="C",WORKDAY(Main[[#This Row],[Tech Start Date]],19),IF(Main[[#This Row],[Class]]="B", WORKDAY(Main[[#This Row],[Tech Start Date]],12),IF(Main[[#This Row],[Class]]="A",WORKDAY(Main[[#This Row],[Tech Start Date]],4),""))))</f>
        <v/>
      </c>
      <c r="O700" s="114" t="str">
        <f>IF(Main[[#This Row],[Tech Start Date]]&lt;1/1/1990,"",IF(Main[[#This Row],[Class]]="C",WORKDAY(Main[[#This Row],[Tech Start Date]],23),IF(Main[[#This Row],[Class]]="B", WORKDAY(Main[[#This Row],[Tech Start Date]],15),IF(Main[[#This Row],[Class]]="A",WORKDAY(Main[[#This Row],[Tech Start Date]],5),""))))</f>
        <v/>
      </c>
      <c r="P700" s="114" t="str">
        <f>IF(Main[[#This Row],[Tech Start Date]]&lt;1/1/1990,"",IF(Main[[#This Row],[Class]]="C",WORKDAY(Main[[#This Row],[Tech Start Date]],28),IF(Main[[#This Row],[Class]]="B", WORKDAY(Main[[#This Row],[Tech Start Date]],19),IF(Main[[#This Row],[Class]]="A",WORKDAY(Main[[#This Row],[Tech Start Date]],9),""))))</f>
        <v/>
      </c>
      <c r="Q700" s="129"/>
      <c r="R700" s="129"/>
      <c r="S700" s="139" t="s">
        <v>6</v>
      </c>
      <c r="T700" s="115" t="s">
        <v>4</v>
      </c>
      <c r="U700" s="139" t="s">
        <v>12</v>
      </c>
      <c r="V700" s="139" t="s">
        <v>1914</v>
      </c>
      <c r="W700" s="139" t="s">
        <v>4</v>
      </c>
      <c r="X700" s="139" t="s">
        <v>708</v>
      </c>
      <c r="Y700" s="112" t="s">
        <v>3078</v>
      </c>
      <c r="Z700" s="112" t="s">
        <v>4</v>
      </c>
      <c r="AA700" s="139" t="s">
        <v>3424</v>
      </c>
    </row>
    <row r="701" spans="1:27" ht="17.25" customHeight="1">
      <c r="A701" s="69" t="str">
        <f>IF(priority(Main[[#This Row],[Comments]])&lt;&gt;0, priority(Main[[#This Row],[Comments]]),"")</f>
        <v/>
      </c>
      <c r="B701" s="63" t="s">
        <v>1545</v>
      </c>
      <c r="C701" s="148" t="s">
        <v>93</v>
      </c>
      <c r="D701" s="113" t="s">
        <v>628</v>
      </c>
      <c r="E701" s="129"/>
      <c r="F701" s="129">
        <v>40162</v>
      </c>
      <c r="G701" s="69" t="str">
        <f>IF(stdProdLT(Main[[#This Row],[Comments]])=0.1,"N/A",IF(stdProdLT(Main[[#This Row],[Comments]])=0,"",stdProdLT(Main[[#This Row],[Comments]])))</f>
        <v/>
      </c>
      <c r="H701" s="138" t="str">
        <f>IF(Main[[#This Row],[In Stock Date]]="N/A", "N/A",IF(AND(Main[[#This Row],[In Stock Date]]&lt;&gt;"",Main[[#This Row],[Revised Due Date]]&lt;&gt;"",Main[[#This Row],[In Stock Date]]&lt;&gt;""),Main[[#This Row],[In Stock Date]]-Main[[#This Row],[Revised Due Date]],""))</f>
        <v/>
      </c>
      <c r="I701" s="139" t="s">
        <v>4</v>
      </c>
      <c r="J701" s="139" t="s">
        <v>4</v>
      </c>
      <c r="K701" s="140" t="s">
        <v>4</v>
      </c>
      <c r="L701" s="129"/>
      <c r="M701" s="114" t="str">
        <f>IF(Main[[#This Row],[Tech Start Date]]&lt;1/1/1990,"",IF(Main[[#This Row],[Class]]="C",WORKDAY(Main[[#This Row],[Tech Start Date]],9),IF(Main[[#This Row],[Class]]="B", WORKDAY(Main[[#This Row],[Tech Start Date]],6),IF(Main[[#This Row],[Class]]="A",WORKDAY(Main[[#This Row],[Tech Start Date]],2),""))))</f>
        <v/>
      </c>
      <c r="N701" s="114" t="str">
        <f>IF(Main[[#This Row],[Tech Start Date]]&lt;1/1/1990,"",IF(Main[[#This Row],[Class]]="C",WORKDAY(Main[[#This Row],[Tech Start Date]],19),IF(Main[[#This Row],[Class]]="B", WORKDAY(Main[[#This Row],[Tech Start Date]],12),IF(Main[[#This Row],[Class]]="A",WORKDAY(Main[[#This Row],[Tech Start Date]],4),""))))</f>
        <v/>
      </c>
      <c r="O701" s="114" t="str">
        <f>IF(Main[[#This Row],[Tech Start Date]]&lt;1/1/1990,"",IF(Main[[#This Row],[Class]]="C",WORKDAY(Main[[#This Row],[Tech Start Date]],23),IF(Main[[#This Row],[Class]]="B", WORKDAY(Main[[#This Row],[Tech Start Date]],15),IF(Main[[#This Row],[Class]]="A",WORKDAY(Main[[#This Row],[Tech Start Date]],5),""))))</f>
        <v/>
      </c>
      <c r="P701" s="114" t="str">
        <f>IF(Main[[#This Row],[Tech Start Date]]&lt;1/1/1990,"",IF(Main[[#This Row],[Class]]="C",WORKDAY(Main[[#This Row],[Tech Start Date]],28),IF(Main[[#This Row],[Class]]="B", WORKDAY(Main[[#This Row],[Tech Start Date]],19),IF(Main[[#This Row],[Class]]="A",WORKDAY(Main[[#This Row],[Tech Start Date]],9),""))))</f>
        <v/>
      </c>
      <c r="Q701" s="129">
        <v>40147</v>
      </c>
      <c r="R701" s="129"/>
      <c r="S701" s="139" t="s">
        <v>11</v>
      </c>
      <c r="T701" s="115" t="s">
        <v>4</v>
      </c>
      <c r="U701" s="139" t="s">
        <v>14</v>
      </c>
      <c r="V701" s="139" t="s">
        <v>1924</v>
      </c>
      <c r="W701" s="139" t="s">
        <v>1920</v>
      </c>
      <c r="X701" s="139" t="s">
        <v>2845</v>
      </c>
      <c r="Y701" s="112" t="s">
        <v>4</v>
      </c>
      <c r="Z701" s="112" t="s">
        <v>4</v>
      </c>
      <c r="AA701" s="139" t="s">
        <v>2845</v>
      </c>
    </row>
    <row r="702" spans="1:27" ht="17.25" customHeight="1">
      <c r="A702" s="69" t="str">
        <f>IF(priority(Main[[#This Row],[Comments]])&lt;&gt;0, priority(Main[[#This Row],[Comments]]),"")</f>
        <v/>
      </c>
      <c r="B702" s="63" t="s">
        <v>1546</v>
      </c>
      <c r="C702" s="148" t="s">
        <v>4</v>
      </c>
      <c r="D702" s="113" t="s">
        <v>629</v>
      </c>
      <c r="E702" s="129"/>
      <c r="F702" s="129"/>
      <c r="G702" s="69" t="str">
        <f>IF(stdProdLT(Main[[#This Row],[Comments]])=0.1,"N/A",IF(stdProdLT(Main[[#This Row],[Comments]])=0,"",stdProdLT(Main[[#This Row],[Comments]])))</f>
        <v/>
      </c>
      <c r="H702" s="138" t="str">
        <f>IF(Main[[#This Row],[In Stock Date]]="N/A", "N/A",IF(AND(Main[[#This Row],[In Stock Date]]&lt;&gt;"",Main[[#This Row],[Revised Due Date]]&lt;&gt;"",Main[[#This Row],[In Stock Date]]&lt;&gt;""),Main[[#This Row],[In Stock Date]]-Main[[#This Row],[Revised Due Date]],""))</f>
        <v/>
      </c>
      <c r="I702" s="139" t="s">
        <v>4</v>
      </c>
      <c r="J702" s="139" t="s">
        <v>28</v>
      </c>
      <c r="K702" s="139" t="s">
        <v>1927</v>
      </c>
      <c r="L702" s="129"/>
      <c r="M702" s="114" t="str">
        <f>IF(Main[[#This Row],[Tech Start Date]]&lt;1/1/1990,"",IF(Main[[#This Row],[Class]]="C",WORKDAY(Main[[#This Row],[Tech Start Date]],9),IF(Main[[#This Row],[Class]]="B", WORKDAY(Main[[#This Row],[Tech Start Date]],6),IF(Main[[#This Row],[Class]]="A",WORKDAY(Main[[#This Row],[Tech Start Date]],2),""))))</f>
        <v/>
      </c>
      <c r="N702" s="114" t="str">
        <f>IF(Main[[#This Row],[Tech Start Date]]&lt;1/1/1990,"",IF(Main[[#This Row],[Class]]="C",WORKDAY(Main[[#This Row],[Tech Start Date]],19),IF(Main[[#This Row],[Class]]="B", WORKDAY(Main[[#This Row],[Tech Start Date]],12),IF(Main[[#This Row],[Class]]="A",WORKDAY(Main[[#This Row],[Tech Start Date]],4),""))))</f>
        <v/>
      </c>
      <c r="O702" s="114" t="str">
        <f>IF(Main[[#This Row],[Tech Start Date]]&lt;1/1/1990,"",IF(Main[[#This Row],[Class]]="C",WORKDAY(Main[[#This Row],[Tech Start Date]],23),IF(Main[[#This Row],[Class]]="B", WORKDAY(Main[[#This Row],[Tech Start Date]],15),IF(Main[[#This Row],[Class]]="A",WORKDAY(Main[[#This Row],[Tech Start Date]],5),""))))</f>
        <v/>
      </c>
      <c r="P702" s="114" t="str">
        <f>IF(Main[[#This Row],[Tech Start Date]]&lt;1/1/1990,"",IF(Main[[#This Row],[Class]]="C",WORKDAY(Main[[#This Row],[Tech Start Date]],28),IF(Main[[#This Row],[Class]]="B", WORKDAY(Main[[#This Row],[Tech Start Date]],19),IF(Main[[#This Row],[Class]]="A",WORKDAY(Main[[#This Row],[Tech Start Date]],9),""))))</f>
        <v/>
      </c>
      <c r="Q702" s="129"/>
      <c r="R702" s="129"/>
      <c r="S702" s="139" t="s">
        <v>11</v>
      </c>
      <c r="T702" s="115" t="s">
        <v>4</v>
      </c>
      <c r="U702" s="139" t="s">
        <v>14</v>
      </c>
      <c r="V702" s="139" t="s">
        <v>1914</v>
      </c>
      <c r="W702" s="139" t="s">
        <v>1918</v>
      </c>
      <c r="X702" s="139" t="s">
        <v>2052</v>
      </c>
      <c r="Y702" s="112" t="s">
        <v>3002</v>
      </c>
      <c r="Z702" s="112" t="s">
        <v>129</v>
      </c>
      <c r="AA702" s="139" t="s">
        <v>2052</v>
      </c>
    </row>
    <row r="703" spans="1:27" ht="17.25" customHeight="1">
      <c r="A703" s="69" t="str">
        <f>IF(priority(Main[[#This Row],[Comments]])&lt;&gt;0, priority(Main[[#This Row],[Comments]]),"")</f>
        <v/>
      </c>
      <c r="B703" s="63" t="s">
        <v>1119</v>
      </c>
      <c r="C703" s="148" t="s">
        <v>4</v>
      </c>
      <c r="D703" s="113" t="s">
        <v>168</v>
      </c>
      <c r="E703" s="129"/>
      <c r="F703" s="129"/>
      <c r="G703" s="69" t="str">
        <f>IF(stdProdLT(Main[[#This Row],[Comments]])=0.1,"N/A",IF(stdProdLT(Main[[#This Row],[Comments]])=0,"",stdProdLT(Main[[#This Row],[Comments]])))</f>
        <v/>
      </c>
      <c r="H703" s="138" t="str">
        <f>IF(Main[[#This Row],[In Stock Date]]="N/A", "N/A",IF(AND(Main[[#This Row],[In Stock Date]]&lt;&gt;"",Main[[#This Row],[Revised Due Date]]&lt;&gt;"",Main[[#This Row],[In Stock Date]]&lt;&gt;""),Main[[#This Row],[In Stock Date]]-Main[[#This Row],[Revised Due Date]],""))</f>
        <v/>
      </c>
      <c r="I703" s="139" t="s">
        <v>4</v>
      </c>
      <c r="J703" s="139" t="s">
        <v>4</v>
      </c>
      <c r="K703" s="139" t="s">
        <v>4</v>
      </c>
      <c r="L703" s="129"/>
      <c r="M703" s="114" t="str">
        <f>IF(Main[[#This Row],[Tech Start Date]]&lt;1/1/1990,"",IF(Main[[#This Row],[Class]]="C",WORKDAY(Main[[#This Row],[Tech Start Date]],9),IF(Main[[#This Row],[Class]]="B", WORKDAY(Main[[#This Row],[Tech Start Date]],6),IF(Main[[#This Row],[Class]]="A",WORKDAY(Main[[#This Row],[Tech Start Date]],2),""))))</f>
        <v/>
      </c>
      <c r="N703" s="114" t="str">
        <f>IF(Main[[#This Row],[Tech Start Date]]&lt;1/1/1990,"",IF(Main[[#This Row],[Class]]="C",WORKDAY(Main[[#This Row],[Tech Start Date]],19),IF(Main[[#This Row],[Class]]="B", WORKDAY(Main[[#This Row],[Tech Start Date]],12),IF(Main[[#This Row],[Class]]="A",WORKDAY(Main[[#This Row],[Tech Start Date]],4),""))))</f>
        <v/>
      </c>
      <c r="O703" s="114" t="str">
        <f>IF(Main[[#This Row],[Tech Start Date]]&lt;1/1/1990,"",IF(Main[[#This Row],[Class]]="C",WORKDAY(Main[[#This Row],[Tech Start Date]],23),IF(Main[[#This Row],[Class]]="B", WORKDAY(Main[[#This Row],[Tech Start Date]],15),IF(Main[[#This Row],[Class]]="A",WORKDAY(Main[[#This Row],[Tech Start Date]],5),""))))</f>
        <v/>
      </c>
      <c r="P703" s="114" t="str">
        <f>IF(Main[[#This Row],[Tech Start Date]]&lt;1/1/1990,"",IF(Main[[#This Row],[Class]]="C",WORKDAY(Main[[#This Row],[Tech Start Date]],28),IF(Main[[#This Row],[Class]]="B", WORKDAY(Main[[#This Row],[Tech Start Date]],19),IF(Main[[#This Row],[Class]]="A",WORKDAY(Main[[#This Row],[Tech Start Date]],9),""))))</f>
        <v/>
      </c>
      <c r="Q703" s="129">
        <v>40737</v>
      </c>
      <c r="R703" s="129"/>
      <c r="S703" s="139" t="s">
        <v>6</v>
      </c>
      <c r="T703" s="115" t="s">
        <v>4</v>
      </c>
      <c r="U703" s="139" t="s">
        <v>14</v>
      </c>
      <c r="V703" s="139" t="s">
        <v>1917</v>
      </c>
      <c r="W703" s="139" t="s">
        <v>1918</v>
      </c>
      <c r="X703" s="139" t="s">
        <v>2836</v>
      </c>
      <c r="Y703" s="112" t="s">
        <v>2965</v>
      </c>
      <c r="Z703" s="112" t="s">
        <v>4</v>
      </c>
      <c r="AA703" s="139" t="s">
        <v>2836</v>
      </c>
    </row>
    <row r="704" spans="1:27" ht="17.25" customHeight="1">
      <c r="A704" s="69" t="str">
        <f>IF(priority(Main[[#This Row],[Comments]])&lt;&gt;0, priority(Main[[#This Row],[Comments]]),"")</f>
        <v/>
      </c>
      <c r="B704" s="63" t="s">
        <v>1899</v>
      </c>
      <c r="C704" s="148" t="s">
        <v>72</v>
      </c>
      <c r="D704" s="113" t="s">
        <v>2094</v>
      </c>
      <c r="E704" s="129">
        <v>40469.931226851855</v>
      </c>
      <c r="F704" s="129">
        <v>40487</v>
      </c>
      <c r="G704" s="69" t="str">
        <f>IF(stdProdLT(Main[[#This Row],[Comments]])=0.1,"N/A",IF(stdProdLT(Main[[#This Row],[Comments]])=0,"",stdProdLT(Main[[#This Row],[Comments]])))</f>
        <v/>
      </c>
      <c r="H704" s="138">
        <f>IF(Main[[#This Row],[In Stock Date]]="N/A", "N/A",IF(AND(Main[[#This Row],[In Stock Date]]&lt;&gt;"",Main[[#This Row],[Revised Due Date]]&lt;&gt;"",Main[[#This Row],[In Stock Date]]&lt;&gt;""),Main[[#This Row],[In Stock Date]]-Main[[#This Row],[Revised Due Date]],""))</f>
        <v>-294</v>
      </c>
      <c r="I704" s="139" t="s">
        <v>2053</v>
      </c>
      <c r="J704" s="139" t="s">
        <v>52</v>
      </c>
      <c r="K704" s="140" t="s">
        <v>1921</v>
      </c>
      <c r="L704" s="129"/>
      <c r="M704" s="114" t="str">
        <f>IF(Main[[#This Row],[Tech Start Date]]&lt;1/1/1990,"",IF(Main[[#This Row],[Class]]="C",WORKDAY(Main[[#This Row],[Tech Start Date]],9),IF(Main[[#This Row],[Class]]="B", WORKDAY(Main[[#This Row],[Tech Start Date]],6),IF(Main[[#This Row],[Class]]="A",WORKDAY(Main[[#This Row],[Tech Start Date]],2),""))))</f>
        <v/>
      </c>
      <c r="N704" s="114" t="str">
        <f>IF(Main[[#This Row],[Tech Start Date]]&lt;1/1/1990,"",IF(Main[[#This Row],[Class]]="C",WORKDAY(Main[[#This Row],[Tech Start Date]],19),IF(Main[[#This Row],[Class]]="B", WORKDAY(Main[[#This Row],[Tech Start Date]],12),IF(Main[[#This Row],[Class]]="A",WORKDAY(Main[[#This Row],[Tech Start Date]],4),""))))</f>
        <v/>
      </c>
      <c r="O704" s="114" t="str">
        <f>IF(Main[[#This Row],[Tech Start Date]]&lt;1/1/1990,"",IF(Main[[#This Row],[Class]]="C",WORKDAY(Main[[#This Row],[Tech Start Date]],23),IF(Main[[#This Row],[Class]]="B", WORKDAY(Main[[#This Row],[Tech Start Date]],15),IF(Main[[#This Row],[Class]]="A",WORKDAY(Main[[#This Row],[Tech Start Date]],5),""))))</f>
        <v/>
      </c>
      <c r="P704" s="114" t="str">
        <f>IF(Main[[#This Row],[Tech Start Date]]&lt;1/1/1990,"",IF(Main[[#This Row],[Class]]="C",WORKDAY(Main[[#This Row],[Tech Start Date]],28),IF(Main[[#This Row],[Class]]="B", WORKDAY(Main[[#This Row],[Tech Start Date]],19),IF(Main[[#This Row],[Class]]="A",WORKDAY(Main[[#This Row],[Tech Start Date]],9),""))))</f>
        <v/>
      </c>
      <c r="Q704" s="129"/>
      <c r="R704" s="129">
        <v>40781</v>
      </c>
      <c r="S704" s="139" t="s">
        <v>6</v>
      </c>
      <c r="T704" s="115" t="s">
        <v>2095</v>
      </c>
      <c r="U704" s="139" t="s">
        <v>29</v>
      </c>
      <c r="V704" s="139" t="s">
        <v>1915</v>
      </c>
      <c r="W704" s="139" t="s">
        <v>1916</v>
      </c>
      <c r="X704" s="139" t="s">
        <v>2901</v>
      </c>
      <c r="Y704" s="112" t="s">
        <v>3079</v>
      </c>
      <c r="Z704" s="112" t="s">
        <v>108</v>
      </c>
      <c r="AA704" s="139" t="s">
        <v>2901</v>
      </c>
    </row>
    <row r="705" spans="1:27" ht="17.25" customHeight="1">
      <c r="A705" s="69" t="str">
        <f>IF(priority(Main[[#This Row],[Comments]])&lt;&gt;0, priority(Main[[#This Row],[Comments]]),"")</f>
        <v/>
      </c>
      <c r="B705" s="63" t="s">
        <v>1547</v>
      </c>
      <c r="C705" s="148" t="s">
        <v>4</v>
      </c>
      <c r="D705" s="113" t="s">
        <v>39</v>
      </c>
      <c r="E705" s="129"/>
      <c r="F705" s="129"/>
      <c r="G705" s="69" t="str">
        <f>IF(stdProdLT(Main[[#This Row],[Comments]])=0.1,"N/A",IF(stdProdLT(Main[[#This Row],[Comments]])=0,"",stdProdLT(Main[[#This Row],[Comments]])))</f>
        <v/>
      </c>
      <c r="H705" s="138" t="str">
        <f>IF(Main[[#This Row],[In Stock Date]]="N/A", "N/A",IF(AND(Main[[#This Row],[In Stock Date]]&lt;&gt;"",Main[[#This Row],[Revised Due Date]]&lt;&gt;"",Main[[#This Row],[In Stock Date]]&lt;&gt;""),Main[[#This Row],[In Stock Date]]-Main[[#This Row],[Revised Due Date]],""))</f>
        <v/>
      </c>
      <c r="I705" s="139" t="s">
        <v>4</v>
      </c>
      <c r="J705" s="139" t="s">
        <v>4</v>
      </c>
      <c r="K705" s="140" t="s">
        <v>4</v>
      </c>
      <c r="L705" s="129"/>
      <c r="M705" s="114" t="str">
        <f>IF(Main[[#This Row],[Tech Start Date]]&lt;1/1/1990,"",IF(Main[[#This Row],[Class]]="C",WORKDAY(Main[[#This Row],[Tech Start Date]],9),IF(Main[[#This Row],[Class]]="B", WORKDAY(Main[[#This Row],[Tech Start Date]],6),IF(Main[[#This Row],[Class]]="A",WORKDAY(Main[[#This Row],[Tech Start Date]],2),""))))</f>
        <v/>
      </c>
      <c r="N705" s="114" t="str">
        <f>IF(Main[[#This Row],[Tech Start Date]]&lt;1/1/1990,"",IF(Main[[#This Row],[Class]]="C",WORKDAY(Main[[#This Row],[Tech Start Date]],19),IF(Main[[#This Row],[Class]]="B", WORKDAY(Main[[#This Row],[Tech Start Date]],12),IF(Main[[#This Row],[Class]]="A",WORKDAY(Main[[#This Row],[Tech Start Date]],4),""))))</f>
        <v/>
      </c>
      <c r="O705" s="114" t="str">
        <f>IF(Main[[#This Row],[Tech Start Date]]&lt;1/1/1990,"",IF(Main[[#This Row],[Class]]="C",WORKDAY(Main[[#This Row],[Tech Start Date]],23),IF(Main[[#This Row],[Class]]="B", WORKDAY(Main[[#This Row],[Tech Start Date]],15),IF(Main[[#This Row],[Class]]="A",WORKDAY(Main[[#This Row],[Tech Start Date]],5),""))))</f>
        <v/>
      </c>
      <c r="P705" s="114" t="str">
        <f>IF(Main[[#This Row],[Tech Start Date]]&lt;1/1/1990,"",IF(Main[[#This Row],[Class]]="C",WORKDAY(Main[[#This Row],[Tech Start Date]],28),IF(Main[[#This Row],[Class]]="B", WORKDAY(Main[[#This Row],[Tech Start Date]],19),IF(Main[[#This Row],[Class]]="A",WORKDAY(Main[[#This Row],[Tech Start Date]],9),""))))</f>
        <v/>
      </c>
      <c r="Q705" s="129">
        <v>40669</v>
      </c>
      <c r="R705" s="129"/>
      <c r="S705" s="139" t="s">
        <v>6</v>
      </c>
      <c r="T705" s="115" t="s">
        <v>4</v>
      </c>
      <c r="U705" s="139" t="s">
        <v>14</v>
      </c>
      <c r="V705" s="139" t="s">
        <v>1917</v>
      </c>
      <c r="W705" s="139" t="s">
        <v>4</v>
      </c>
      <c r="X705" s="139" t="s">
        <v>2818</v>
      </c>
      <c r="Y705" s="112" t="s">
        <v>2929</v>
      </c>
      <c r="Z705" s="112" t="s">
        <v>4</v>
      </c>
      <c r="AA705" s="139" t="s">
        <v>2818</v>
      </c>
    </row>
    <row r="706" spans="1:27" ht="17.25" customHeight="1">
      <c r="A706" s="69" t="str">
        <f>IF(priority(Main[[#This Row],[Comments]])&lt;&gt;0, priority(Main[[#This Row],[Comments]]),"")</f>
        <v/>
      </c>
      <c r="B706" s="63" t="s">
        <v>2727</v>
      </c>
      <c r="C706" s="148" t="s">
        <v>4</v>
      </c>
      <c r="D706" s="113" t="s">
        <v>3227</v>
      </c>
      <c r="E706" s="129">
        <v>40917.478506944448</v>
      </c>
      <c r="F706" s="129"/>
      <c r="G706" s="69" t="str">
        <f>IF(stdProdLT(Main[[#This Row],[Comments]])=0.1,"N/A",IF(stdProdLT(Main[[#This Row],[Comments]])=0,"",stdProdLT(Main[[#This Row],[Comments]])))</f>
        <v/>
      </c>
      <c r="H706" s="138" t="str">
        <f>IF(Main[[#This Row],[In Stock Date]]="N/A", "N/A",IF(AND(Main[[#This Row],[In Stock Date]]&lt;&gt;"",Main[[#This Row],[Revised Due Date]]&lt;&gt;"",Main[[#This Row],[In Stock Date]]&lt;&gt;""),Main[[#This Row],[In Stock Date]]-Main[[#This Row],[Revised Due Date]],""))</f>
        <v/>
      </c>
      <c r="I706" s="139" t="s">
        <v>4</v>
      </c>
      <c r="J706" s="139" t="s">
        <v>4</v>
      </c>
      <c r="K706" s="139" t="s">
        <v>4</v>
      </c>
      <c r="L706" s="129"/>
      <c r="M706" s="114" t="str">
        <f>IF(Main[[#This Row],[Tech Start Date]]&lt;1/1/1990,"",IF(Main[[#This Row],[Class]]="C",WORKDAY(Main[[#This Row],[Tech Start Date]],9),IF(Main[[#This Row],[Class]]="B", WORKDAY(Main[[#This Row],[Tech Start Date]],6),IF(Main[[#This Row],[Class]]="A",WORKDAY(Main[[#This Row],[Tech Start Date]],2),""))))</f>
        <v/>
      </c>
      <c r="N706" s="114" t="str">
        <f>IF(Main[[#This Row],[Tech Start Date]]&lt;1/1/1990,"",IF(Main[[#This Row],[Class]]="C",WORKDAY(Main[[#This Row],[Tech Start Date]],19),IF(Main[[#This Row],[Class]]="B", WORKDAY(Main[[#This Row],[Tech Start Date]],12),IF(Main[[#This Row],[Class]]="A",WORKDAY(Main[[#This Row],[Tech Start Date]],4),""))))</f>
        <v/>
      </c>
      <c r="O706" s="114" t="str">
        <f>IF(Main[[#This Row],[Tech Start Date]]&lt;1/1/1990,"",IF(Main[[#This Row],[Class]]="C",WORKDAY(Main[[#This Row],[Tech Start Date]],23),IF(Main[[#This Row],[Class]]="B", WORKDAY(Main[[#This Row],[Tech Start Date]],15),IF(Main[[#This Row],[Class]]="A",WORKDAY(Main[[#This Row],[Tech Start Date]],5),""))))</f>
        <v/>
      </c>
      <c r="P706" s="114" t="str">
        <f>IF(Main[[#This Row],[Tech Start Date]]&lt;1/1/1990,"",IF(Main[[#This Row],[Class]]="C",WORKDAY(Main[[#This Row],[Tech Start Date]],28),IF(Main[[#This Row],[Class]]="B", WORKDAY(Main[[#This Row],[Tech Start Date]],19),IF(Main[[#This Row],[Class]]="A",WORKDAY(Main[[#This Row],[Tech Start Date]],9),""))))</f>
        <v/>
      </c>
      <c r="Q706" s="129"/>
      <c r="R706" s="129"/>
      <c r="S706" s="139" t="s">
        <v>6</v>
      </c>
      <c r="T706" s="115" t="s">
        <v>4</v>
      </c>
      <c r="U706" s="139" t="s">
        <v>7</v>
      </c>
      <c r="V706" s="139" t="s">
        <v>1914</v>
      </c>
      <c r="W706" s="139" t="s">
        <v>1918</v>
      </c>
      <c r="X706" s="139" t="s">
        <v>102</v>
      </c>
      <c r="Y706" s="112" t="s">
        <v>3080</v>
      </c>
      <c r="Z706" s="112" t="s">
        <v>4</v>
      </c>
      <c r="AA706" s="139" t="s">
        <v>3385</v>
      </c>
    </row>
    <row r="707" spans="1:27" ht="17.25" customHeight="1">
      <c r="A707" s="69" t="str">
        <f>IF(priority(Main[[#This Row],[Comments]])&lt;&gt;0, priority(Main[[#This Row],[Comments]]),"")</f>
        <v/>
      </c>
      <c r="B707" s="63" t="s">
        <v>1549</v>
      </c>
      <c r="C707" s="148" t="s">
        <v>4</v>
      </c>
      <c r="D707" s="113" t="s">
        <v>630</v>
      </c>
      <c r="E707" s="129">
        <v>40371.35765046296</v>
      </c>
      <c r="F707" s="129"/>
      <c r="G707" s="69" t="str">
        <f>IF(stdProdLT(Main[[#This Row],[Comments]])=0.1,"N/A",IF(stdProdLT(Main[[#This Row],[Comments]])=0,"",stdProdLT(Main[[#This Row],[Comments]])))</f>
        <v/>
      </c>
      <c r="H707" s="138" t="str">
        <f>IF(Main[[#This Row],[In Stock Date]]="N/A", "N/A",IF(AND(Main[[#This Row],[In Stock Date]]&lt;&gt;"",Main[[#This Row],[Revised Due Date]]&lt;&gt;"",Main[[#This Row],[In Stock Date]]&lt;&gt;""),Main[[#This Row],[In Stock Date]]-Main[[#This Row],[Revised Due Date]],""))</f>
        <v/>
      </c>
      <c r="I707" s="139" t="s">
        <v>4</v>
      </c>
      <c r="J707" s="139" t="s">
        <v>4</v>
      </c>
      <c r="K707" s="139" t="s">
        <v>4</v>
      </c>
      <c r="L707" s="129"/>
      <c r="M707" s="114" t="str">
        <f>IF(Main[[#This Row],[Tech Start Date]]&lt;1/1/1990,"",IF(Main[[#This Row],[Class]]="C",WORKDAY(Main[[#This Row],[Tech Start Date]],9),IF(Main[[#This Row],[Class]]="B", WORKDAY(Main[[#This Row],[Tech Start Date]],6),IF(Main[[#This Row],[Class]]="A",WORKDAY(Main[[#This Row],[Tech Start Date]],2),""))))</f>
        <v/>
      </c>
      <c r="N707" s="114" t="str">
        <f>IF(Main[[#This Row],[Tech Start Date]]&lt;1/1/1990,"",IF(Main[[#This Row],[Class]]="C",WORKDAY(Main[[#This Row],[Tech Start Date]],19),IF(Main[[#This Row],[Class]]="B", WORKDAY(Main[[#This Row],[Tech Start Date]],12),IF(Main[[#This Row],[Class]]="A",WORKDAY(Main[[#This Row],[Tech Start Date]],4),""))))</f>
        <v/>
      </c>
      <c r="O707" s="114" t="str">
        <f>IF(Main[[#This Row],[Tech Start Date]]&lt;1/1/1990,"",IF(Main[[#This Row],[Class]]="C",WORKDAY(Main[[#This Row],[Tech Start Date]],23),IF(Main[[#This Row],[Class]]="B", WORKDAY(Main[[#This Row],[Tech Start Date]],15),IF(Main[[#This Row],[Class]]="A",WORKDAY(Main[[#This Row],[Tech Start Date]],5),""))))</f>
        <v/>
      </c>
      <c r="P707" s="114" t="str">
        <f>IF(Main[[#This Row],[Tech Start Date]]&lt;1/1/1990,"",IF(Main[[#This Row],[Class]]="C",WORKDAY(Main[[#This Row],[Tech Start Date]],28),IF(Main[[#This Row],[Class]]="B", WORKDAY(Main[[#This Row],[Tech Start Date]],19),IF(Main[[#This Row],[Class]]="A",WORKDAY(Main[[#This Row],[Tech Start Date]],9),""))))</f>
        <v/>
      </c>
      <c r="Q707" s="129">
        <v>40385</v>
      </c>
      <c r="R707" s="129"/>
      <c r="S707" s="139" t="s">
        <v>6</v>
      </c>
      <c r="T707" s="115" t="s">
        <v>4</v>
      </c>
      <c r="U707" s="139" t="s">
        <v>7</v>
      </c>
      <c r="V707" s="139" t="s">
        <v>1914</v>
      </c>
      <c r="W707" s="139" t="s">
        <v>1916</v>
      </c>
      <c r="X707" s="139" t="s">
        <v>102</v>
      </c>
      <c r="Y707" s="112" t="s">
        <v>3032</v>
      </c>
      <c r="Z707" s="112" t="s">
        <v>4</v>
      </c>
      <c r="AA707" s="139" t="s">
        <v>3396</v>
      </c>
    </row>
    <row r="708" spans="1:27" ht="17.25" customHeight="1">
      <c r="A708" s="69" t="str">
        <f>IF(priority(Main[[#This Row],[Comments]])&lt;&gt;0, priority(Main[[#This Row],[Comments]]),"")</f>
        <v/>
      </c>
      <c r="B708" s="63" t="s">
        <v>1550</v>
      </c>
      <c r="C708" s="148" t="s">
        <v>4</v>
      </c>
      <c r="D708" s="113" t="s">
        <v>631</v>
      </c>
      <c r="E708" s="129">
        <v>40371.37263888889</v>
      </c>
      <c r="F708" s="129"/>
      <c r="G708" s="69" t="str">
        <f>IF(stdProdLT(Main[[#This Row],[Comments]])=0.1,"N/A",IF(stdProdLT(Main[[#This Row],[Comments]])=0,"",stdProdLT(Main[[#This Row],[Comments]])))</f>
        <v/>
      </c>
      <c r="H708" s="138" t="str">
        <f>IF(Main[[#This Row],[In Stock Date]]="N/A", "N/A",IF(AND(Main[[#This Row],[In Stock Date]]&lt;&gt;"",Main[[#This Row],[Revised Due Date]]&lt;&gt;"",Main[[#This Row],[In Stock Date]]&lt;&gt;""),Main[[#This Row],[In Stock Date]]-Main[[#This Row],[Revised Due Date]],""))</f>
        <v/>
      </c>
      <c r="I708" s="139" t="s">
        <v>4</v>
      </c>
      <c r="J708" s="139" t="s">
        <v>4</v>
      </c>
      <c r="K708" s="139" t="s">
        <v>4</v>
      </c>
      <c r="L708" s="129"/>
      <c r="M708" s="114" t="str">
        <f>IF(Main[[#This Row],[Tech Start Date]]&lt;1/1/1990,"",IF(Main[[#This Row],[Class]]="C",WORKDAY(Main[[#This Row],[Tech Start Date]],9),IF(Main[[#This Row],[Class]]="B", WORKDAY(Main[[#This Row],[Tech Start Date]],6),IF(Main[[#This Row],[Class]]="A",WORKDAY(Main[[#This Row],[Tech Start Date]],2),""))))</f>
        <v/>
      </c>
      <c r="N708" s="114" t="str">
        <f>IF(Main[[#This Row],[Tech Start Date]]&lt;1/1/1990,"",IF(Main[[#This Row],[Class]]="C",WORKDAY(Main[[#This Row],[Tech Start Date]],19),IF(Main[[#This Row],[Class]]="B", WORKDAY(Main[[#This Row],[Tech Start Date]],12),IF(Main[[#This Row],[Class]]="A",WORKDAY(Main[[#This Row],[Tech Start Date]],4),""))))</f>
        <v/>
      </c>
      <c r="O708" s="114" t="str">
        <f>IF(Main[[#This Row],[Tech Start Date]]&lt;1/1/1990,"",IF(Main[[#This Row],[Class]]="C",WORKDAY(Main[[#This Row],[Tech Start Date]],23),IF(Main[[#This Row],[Class]]="B", WORKDAY(Main[[#This Row],[Tech Start Date]],15),IF(Main[[#This Row],[Class]]="A",WORKDAY(Main[[#This Row],[Tech Start Date]],5),""))))</f>
        <v/>
      </c>
      <c r="P708" s="114" t="str">
        <f>IF(Main[[#This Row],[Tech Start Date]]&lt;1/1/1990,"",IF(Main[[#This Row],[Class]]="C",WORKDAY(Main[[#This Row],[Tech Start Date]],28),IF(Main[[#This Row],[Class]]="B", WORKDAY(Main[[#This Row],[Tech Start Date]],19),IF(Main[[#This Row],[Class]]="A",WORKDAY(Main[[#This Row],[Tech Start Date]],9),""))))</f>
        <v/>
      </c>
      <c r="Q708" s="129">
        <v>40385</v>
      </c>
      <c r="R708" s="129"/>
      <c r="S708" s="139" t="s">
        <v>6</v>
      </c>
      <c r="T708" s="115" t="s">
        <v>4</v>
      </c>
      <c r="U708" s="139" t="s">
        <v>7</v>
      </c>
      <c r="V708" s="139" t="s">
        <v>1914</v>
      </c>
      <c r="W708" s="139" t="s">
        <v>1916</v>
      </c>
      <c r="X708" s="139" t="s">
        <v>102</v>
      </c>
      <c r="Y708" s="112" t="s">
        <v>3032</v>
      </c>
      <c r="Z708" s="112" t="s">
        <v>4</v>
      </c>
      <c r="AA708" s="139" t="s">
        <v>3396</v>
      </c>
    </row>
    <row r="709" spans="1:27" ht="17.25" customHeight="1">
      <c r="A709" s="69" t="str">
        <f>IF(priority(Main[[#This Row],[Comments]])&lt;&gt;0, priority(Main[[#This Row],[Comments]]),"")</f>
        <v/>
      </c>
      <c r="B709" s="63" t="s">
        <v>1396</v>
      </c>
      <c r="C709" s="148" t="s">
        <v>4</v>
      </c>
      <c r="D709" s="113" t="s">
        <v>480</v>
      </c>
      <c r="E709" s="129"/>
      <c r="F709" s="129"/>
      <c r="G709" s="69" t="str">
        <f>IF(stdProdLT(Main[[#This Row],[Comments]])=0.1,"N/A",IF(stdProdLT(Main[[#This Row],[Comments]])=0,"",stdProdLT(Main[[#This Row],[Comments]])))</f>
        <v/>
      </c>
      <c r="H709" s="138" t="str">
        <f>IF(Main[[#This Row],[In Stock Date]]="N/A", "N/A",IF(AND(Main[[#This Row],[In Stock Date]]&lt;&gt;"",Main[[#This Row],[Revised Due Date]]&lt;&gt;"",Main[[#This Row],[In Stock Date]]&lt;&gt;""),Main[[#This Row],[In Stock Date]]-Main[[#This Row],[Revised Due Date]],""))</f>
        <v/>
      </c>
      <c r="I709" s="139" t="s">
        <v>4</v>
      </c>
      <c r="J709" s="139" t="s">
        <v>4</v>
      </c>
      <c r="K709" s="139" t="s">
        <v>4</v>
      </c>
      <c r="L709" s="129"/>
      <c r="M709" s="114" t="str">
        <f>IF(Main[[#This Row],[Tech Start Date]]&lt;1/1/1990,"",IF(Main[[#This Row],[Class]]="C",WORKDAY(Main[[#This Row],[Tech Start Date]],9),IF(Main[[#This Row],[Class]]="B", WORKDAY(Main[[#This Row],[Tech Start Date]],6),IF(Main[[#This Row],[Class]]="A",WORKDAY(Main[[#This Row],[Tech Start Date]],2),""))))</f>
        <v/>
      </c>
      <c r="N709" s="114" t="str">
        <f>IF(Main[[#This Row],[Tech Start Date]]&lt;1/1/1990,"",IF(Main[[#This Row],[Class]]="C",WORKDAY(Main[[#This Row],[Tech Start Date]],19),IF(Main[[#This Row],[Class]]="B", WORKDAY(Main[[#This Row],[Tech Start Date]],12),IF(Main[[#This Row],[Class]]="A",WORKDAY(Main[[#This Row],[Tech Start Date]],4),""))))</f>
        <v/>
      </c>
      <c r="O709" s="114" t="str">
        <f>IF(Main[[#This Row],[Tech Start Date]]&lt;1/1/1990,"",IF(Main[[#This Row],[Class]]="C",WORKDAY(Main[[#This Row],[Tech Start Date]],23),IF(Main[[#This Row],[Class]]="B", WORKDAY(Main[[#This Row],[Tech Start Date]],15),IF(Main[[#This Row],[Class]]="A",WORKDAY(Main[[#This Row],[Tech Start Date]],5),""))))</f>
        <v/>
      </c>
      <c r="P709" s="114" t="str">
        <f>IF(Main[[#This Row],[Tech Start Date]]&lt;1/1/1990,"",IF(Main[[#This Row],[Class]]="C",WORKDAY(Main[[#This Row],[Tech Start Date]],28),IF(Main[[#This Row],[Class]]="B", WORKDAY(Main[[#This Row],[Tech Start Date]],19),IF(Main[[#This Row],[Class]]="A",WORKDAY(Main[[#This Row],[Tech Start Date]],9),""))))</f>
        <v/>
      </c>
      <c r="Q709" s="129"/>
      <c r="R709" s="129"/>
      <c r="S709" s="139" t="s">
        <v>4</v>
      </c>
      <c r="T709" s="115" t="s">
        <v>4</v>
      </c>
      <c r="U709" s="139" t="s">
        <v>14</v>
      </c>
      <c r="V709" s="139" t="s">
        <v>1917</v>
      </c>
      <c r="W709" s="139" t="s">
        <v>4</v>
      </c>
      <c r="X709" s="139" t="s">
        <v>2819</v>
      </c>
      <c r="Y709" s="112" t="s">
        <v>2932</v>
      </c>
      <c r="Z709" s="112" t="s">
        <v>4</v>
      </c>
      <c r="AA709" s="139" t="s">
        <v>2819</v>
      </c>
    </row>
    <row r="710" spans="1:27" ht="17.25" customHeight="1">
      <c r="A710" s="69" t="str">
        <f>IF(priority(Main[[#This Row],[Comments]])&lt;&gt;0, priority(Main[[#This Row],[Comments]]),"")</f>
        <v/>
      </c>
      <c r="B710" s="63" t="s">
        <v>1151</v>
      </c>
      <c r="C710" s="148" t="s">
        <v>4</v>
      </c>
      <c r="D710" s="113" t="s">
        <v>208</v>
      </c>
      <c r="E710" s="129"/>
      <c r="F710" s="129"/>
      <c r="G710" s="69" t="str">
        <f>IF(stdProdLT(Main[[#This Row],[Comments]])=0.1,"N/A",IF(stdProdLT(Main[[#This Row],[Comments]])=0,"",stdProdLT(Main[[#This Row],[Comments]])))</f>
        <v/>
      </c>
      <c r="H710" s="138" t="str">
        <f>IF(Main[[#This Row],[In Stock Date]]="N/A", "N/A",IF(AND(Main[[#This Row],[In Stock Date]]&lt;&gt;"",Main[[#This Row],[Revised Due Date]]&lt;&gt;"",Main[[#This Row],[In Stock Date]]&lt;&gt;""),Main[[#This Row],[In Stock Date]]-Main[[#This Row],[Revised Due Date]],""))</f>
        <v/>
      </c>
      <c r="I710" s="139" t="s">
        <v>4</v>
      </c>
      <c r="J710" s="139" t="s">
        <v>28</v>
      </c>
      <c r="K710" s="139" t="s">
        <v>4</v>
      </c>
      <c r="L710" s="129"/>
      <c r="M710" s="114" t="str">
        <f>IF(Main[[#This Row],[Tech Start Date]]&lt;1/1/1990,"",IF(Main[[#This Row],[Class]]="C",WORKDAY(Main[[#This Row],[Tech Start Date]],9),IF(Main[[#This Row],[Class]]="B", WORKDAY(Main[[#This Row],[Tech Start Date]],6),IF(Main[[#This Row],[Class]]="A",WORKDAY(Main[[#This Row],[Tech Start Date]],2),""))))</f>
        <v/>
      </c>
      <c r="N710" s="114" t="str">
        <f>IF(Main[[#This Row],[Tech Start Date]]&lt;1/1/1990,"",IF(Main[[#This Row],[Class]]="C",WORKDAY(Main[[#This Row],[Tech Start Date]],19),IF(Main[[#This Row],[Class]]="B", WORKDAY(Main[[#This Row],[Tech Start Date]],12),IF(Main[[#This Row],[Class]]="A",WORKDAY(Main[[#This Row],[Tech Start Date]],4),""))))</f>
        <v/>
      </c>
      <c r="O710" s="114" t="str">
        <f>IF(Main[[#This Row],[Tech Start Date]]&lt;1/1/1990,"",IF(Main[[#This Row],[Class]]="C",WORKDAY(Main[[#This Row],[Tech Start Date]],23),IF(Main[[#This Row],[Class]]="B", WORKDAY(Main[[#This Row],[Tech Start Date]],15),IF(Main[[#This Row],[Class]]="A",WORKDAY(Main[[#This Row],[Tech Start Date]],5),""))))</f>
        <v/>
      </c>
      <c r="P710" s="114" t="str">
        <f>IF(Main[[#This Row],[Tech Start Date]]&lt;1/1/1990,"",IF(Main[[#This Row],[Class]]="C",WORKDAY(Main[[#This Row],[Tech Start Date]],28),IF(Main[[#This Row],[Class]]="B", WORKDAY(Main[[#This Row],[Tech Start Date]],19),IF(Main[[#This Row],[Class]]="A",WORKDAY(Main[[#This Row],[Tech Start Date]],9),""))))</f>
        <v/>
      </c>
      <c r="Q710" s="129"/>
      <c r="R710" s="129"/>
      <c r="S710" s="139" t="s">
        <v>6</v>
      </c>
      <c r="T710" s="115" t="s">
        <v>4</v>
      </c>
      <c r="U710" s="139" t="s">
        <v>14</v>
      </c>
      <c r="V710" s="139" t="s">
        <v>1924</v>
      </c>
      <c r="W710" s="139" t="s">
        <v>1920</v>
      </c>
      <c r="X710" s="139" t="s">
        <v>50</v>
      </c>
      <c r="Y710" s="112" t="s">
        <v>2963</v>
      </c>
      <c r="Z710" s="112" t="s">
        <v>30</v>
      </c>
      <c r="AA710" s="139" t="s">
        <v>883</v>
      </c>
    </row>
    <row r="711" spans="1:27" ht="17.25" customHeight="1">
      <c r="A711" s="69" t="str">
        <f>IF(priority(Main[[#This Row],[Comments]])&lt;&gt;0, priority(Main[[#This Row],[Comments]]),"")</f>
        <v/>
      </c>
      <c r="B711" s="63" t="s">
        <v>1398</v>
      </c>
      <c r="C711" s="148" t="s">
        <v>47</v>
      </c>
      <c r="D711" s="113" t="s">
        <v>482</v>
      </c>
      <c r="E711" s="129">
        <v>39937.619513888887</v>
      </c>
      <c r="F711" s="129"/>
      <c r="G711" s="69" t="str">
        <f>IF(stdProdLT(Main[[#This Row],[Comments]])=0.1,"N/A",IF(stdProdLT(Main[[#This Row],[Comments]])=0,"",stdProdLT(Main[[#This Row],[Comments]])))</f>
        <v/>
      </c>
      <c r="H711" s="138" t="str">
        <f>IF(Main[[#This Row],[In Stock Date]]="N/A", "N/A",IF(AND(Main[[#This Row],[In Stock Date]]&lt;&gt;"",Main[[#This Row],[Revised Due Date]]&lt;&gt;"",Main[[#This Row],[In Stock Date]]&lt;&gt;""),Main[[#This Row],[In Stock Date]]-Main[[#This Row],[Revised Due Date]],""))</f>
        <v/>
      </c>
      <c r="I711" s="139" t="s">
        <v>4</v>
      </c>
      <c r="J711" s="139" t="s">
        <v>4</v>
      </c>
      <c r="K711" s="139" t="s">
        <v>4</v>
      </c>
      <c r="L711" s="129"/>
      <c r="M711" s="114" t="str">
        <f>IF(Main[[#This Row],[Tech Start Date]]&lt;1/1/1990,"",IF(Main[[#This Row],[Class]]="C",WORKDAY(Main[[#This Row],[Tech Start Date]],9),IF(Main[[#This Row],[Class]]="B", WORKDAY(Main[[#This Row],[Tech Start Date]],6),IF(Main[[#This Row],[Class]]="A",WORKDAY(Main[[#This Row],[Tech Start Date]],2),""))))</f>
        <v/>
      </c>
      <c r="N711" s="114" t="str">
        <f>IF(Main[[#This Row],[Tech Start Date]]&lt;1/1/1990,"",IF(Main[[#This Row],[Class]]="C",WORKDAY(Main[[#This Row],[Tech Start Date]],19),IF(Main[[#This Row],[Class]]="B", WORKDAY(Main[[#This Row],[Tech Start Date]],12),IF(Main[[#This Row],[Class]]="A",WORKDAY(Main[[#This Row],[Tech Start Date]],4),""))))</f>
        <v/>
      </c>
      <c r="O711" s="114" t="str">
        <f>IF(Main[[#This Row],[Tech Start Date]]&lt;1/1/1990,"",IF(Main[[#This Row],[Class]]="C",WORKDAY(Main[[#This Row],[Tech Start Date]],23),IF(Main[[#This Row],[Class]]="B", WORKDAY(Main[[#This Row],[Tech Start Date]],15),IF(Main[[#This Row],[Class]]="A",WORKDAY(Main[[#This Row],[Tech Start Date]],5),""))))</f>
        <v/>
      </c>
      <c r="P711" s="114" t="str">
        <f>IF(Main[[#This Row],[Tech Start Date]]&lt;1/1/1990,"",IF(Main[[#This Row],[Class]]="C",WORKDAY(Main[[#This Row],[Tech Start Date]],28),IF(Main[[#This Row],[Class]]="B", WORKDAY(Main[[#This Row],[Tech Start Date]],19),IF(Main[[#This Row],[Class]]="A",WORKDAY(Main[[#This Row],[Tech Start Date]],9),""))))</f>
        <v/>
      </c>
      <c r="Q711" s="129"/>
      <c r="R711" s="129"/>
      <c r="S711" s="139" t="s">
        <v>17</v>
      </c>
      <c r="T711" s="115" t="s">
        <v>4</v>
      </c>
      <c r="U711" s="139" t="s">
        <v>7</v>
      </c>
      <c r="V711" s="139" t="s">
        <v>1917</v>
      </c>
      <c r="W711" s="139" t="s">
        <v>4</v>
      </c>
      <c r="X711" s="139" t="s">
        <v>2827</v>
      </c>
      <c r="Y711" s="112" t="s">
        <v>2948</v>
      </c>
      <c r="Z711" s="112" t="s">
        <v>4</v>
      </c>
      <c r="AA711" s="139" t="s">
        <v>2827</v>
      </c>
    </row>
    <row r="712" spans="1:27" ht="17.25" customHeight="1">
      <c r="A712" s="69" t="str">
        <f>IF(priority(Main[[#This Row],[Comments]])&lt;&gt;0, priority(Main[[#This Row],[Comments]]),"")</f>
        <v/>
      </c>
      <c r="B712" s="63" t="s">
        <v>1399</v>
      </c>
      <c r="C712" s="148" t="s">
        <v>93</v>
      </c>
      <c r="D712" s="113" t="s">
        <v>562</v>
      </c>
      <c r="E712" s="129"/>
      <c r="F712" s="129">
        <v>40210</v>
      </c>
      <c r="G712" s="69" t="str">
        <f>IF(stdProdLT(Main[[#This Row],[Comments]])=0.1,"N/A",IF(stdProdLT(Main[[#This Row],[Comments]])=0,"",stdProdLT(Main[[#This Row],[Comments]])))</f>
        <v/>
      </c>
      <c r="H712" s="138" t="str">
        <f>IF(Main[[#This Row],[In Stock Date]]="N/A", "N/A",IF(AND(Main[[#This Row],[In Stock Date]]&lt;&gt;"",Main[[#This Row],[Revised Due Date]]&lt;&gt;"",Main[[#This Row],[In Stock Date]]&lt;&gt;""),Main[[#This Row],[In Stock Date]]-Main[[#This Row],[Revised Due Date]],""))</f>
        <v/>
      </c>
      <c r="I712" s="139" t="s">
        <v>4</v>
      </c>
      <c r="J712" s="139" t="s">
        <v>4</v>
      </c>
      <c r="K712" s="140" t="s">
        <v>4</v>
      </c>
      <c r="L712" s="129"/>
      <c r="M712" s="114" t="str">
        <f>IF(Main[[#This Row],[Tech Start Date]]&lt;1/1/1990,"",IF(Main[[#This Row],[Class]]="C",WORKDAY(Main[[#This Row],[Tech Start Date]],9),IF(Main[[#This Row],[Class]]="B", WORKDAY(Main[[#This Row],[Tech Start Date]],6),IF(Main[[#This Row],[Class]]="A",WORKDAY(Main[[#This Row],[Tech Start Date]],2),""))))</f>
        <v/>
      </c>
      <c r="N712" s="114" t="str">
        <f>IF(Main[[#This Row],[Tech Start Date]]&lt;1/1/1990,"",IF(Main[[#This Row],[Class]]="C",WORKDAY(Main[[#This Row],[Tech Start Date]],19),IF(Main[[#This Row],[Class]]="B", WORKDAY(Main[[#This Row],[Tech Start Date]],12),IF(Main[[#This Row],[Class]]="A",WORKDAY(Main[[#This Row],[Tech Start Date]],4),""))))</f>
        <v/>
      </c>
      <c r="O712" s="114" t="str">
        <f>IF(Main[[#This Row],[Tech Start Date]]&lt;1/1/1990,"",IF(Main[[#This Row],[Class]]="C",WORKDAY(Main[[#This Row],[Tech Start Date]],23),IF(Main[[#This Row],[Class]]="B", WORKDAY(Main[[#This Row],[Tech Start Date]],15),IF(Main[[#This Row],[Class]]="A",WORKDAY(Main[[#This Row],[Tech Start Date]],5),""))))</f>
        <v/>
      </c>
      <c r="P712" s="114" t="str">
        <f>IF(Main[[#This Row],[Tech Start Date]]&lt;1/1/1990,"",IF(Main[[#This Row],[Class]]="C",WORKDAY(Main[[#This Row],[Tech Start Date]],28),IF(Main[[#This Row],[Class]]="B", WORKDAY(Main[[#This Row],[Tech Start Date]],19),IF(Main[[#This Row],[Class]]="A",WORKDAY(Main[[#This Row],[Tech Start Date]],9),""))))</f>
        <v/>
      </c>
      <c r="Q712" s="129">
        <v>40195</v>
      </c>
      <c r="R712" s="129"/>
      <c r="S712" s="139" t="s">
        <v>11</v>
      </c>
      <c r="T712" s="115" t="s">
        <v>4</v>
      </c>
      <c r="U712" s="139" t="s">
        <v>12</v>
      </c>
      <c r="V712" s="139" t="s">
        <v>1924</v>
      </c>
      <c r="W712" s="139" t="s">
        <v>1925</v>
      </c>
      <c r="X712" s="139" t="s">
        <v>2845</v>
      </c>
      <c r="Y712" s="112" t="s">
        <v>4</v>
      </c>
      <c r="Z712" s="112" t="s">
        <v>4</v>
      </c>
      <c r="AA712" s="139" t="s">
        <v>2845</v>
      </c>
    </row>
    <row r="713" spans="1:27" ht="17.25" customHeight="1">
      <c r="A713" s="69" t="str">
        <f>IF(priority(Main[[#This Row],[Comments]])&lt;&gt;0, priority(Main[[#This Row],[Comments]]),"")</f>
        <v/>
      </c>
      <c r="B713" s="63" t="s">
        <v>1744</v>
      </c>
      <c r="C713" s="148" t="s">
        <v>4</v>
      </c>
      <c r="D713" s="113" t="s">
        <v>793</v>
      </c>
      <c r="E713" s="129">
        <v>40584.406446759262</v>
      </c>
      <c r="F713" s="129">
        <v>40602</v>
      </c>
      <c r="G713" s="69" t="str">
        <f>IF(stdProdLT(Main[[#This Row],[Comments]])=0.1,"N/A",IF(stdProdLT(Main[[#This Row],[Comments]])=0,"",stdProdLT(Main[[#This Row],[Comments]])))</f>
        <v/>
      </c>
      <c r="H713" s="138" t="str">
        <f>IF(Main[[#This Row],[In Stock Date]]="N/A", "N/A",IF(AND(Main[[#This Row],[In Stock Date]]&lt;&gt;"",Main[[#This Row],[Revised Due Date]]&lt;&gt;"",Main[[#This Row],[In Stock Date]]&lt;&gt;""),Main[[#This Row],[In Stock Date]]-Main[[#This Row],[Revised Due Date]],""))</f>
        <v/>
      </c>
      <c r="I713" s="139" t="s">
        <v>4</v>
      </c>
      <c r="J713" s="139" t="s">
        <v>28</v>
      </c>
      <c r="K713" s="140" t="s">
        <v>1926</v>
      </c>
      <c r="L713" s="129"/>
      <c r="M713" s="114" t="str">
        <f>IF(Main[[#This Row],[Tech Start Date]]&lt;1/1/1990,"",IF(Main[[#This Row],[Class]]="C",WORKDAY(Main[[#This Row],[Tech Start Date]],9),IF(Main[[#This Row],[Class]]="B", WORKDAY(Main[[#This Row],[Tech Start Date]],6),IF(Main[[#This Row],[Class]]="A",WORKDAY(Main[[#This Row],[Tech Start Date]],2),""))))</f>
        <v/>
      </c>
      <c r="N713" s="114" t="str">
        <f>IF(Main[[#This Row],[Tech Start Date]]&lt;1/1/1990,"",IF(Main[[#This Row],[Class]]="C",WORKDAY(Main[[#This Row],[Tech Start Date]],19),IF(Main[[#This Row],[Class]]="B", WORKDAY(Main[[#This Row],[Tech Start Date]],12),IF(Main[[#This Row],[Class]]="A",WORKDAY(Main[[#This Row],[Tech Start Date]],4),""))))</f>
        <v/>
      </c>
      <c r="O713" s="114" t="str">
        <f>IF(Main[[#This Row],[Tech Start Date]]&lt;1/1/1990,"",IF(Main[[#This Row],[Class]]="C",WORKDAY(Main[[#This Row],[Tech Start Date]],23),IF(Main[[#This Row],[Class]]="B", WORKDAY(Main[[#This Row],[Tech Start Date]],15),IF(Main[[#This Row],[Class]]="A",WORKDAY(Main[[#This Row],[Tech Start Date]],5),""))))</f>
        <v/>
      </c>
      <c r="P713" s="114" t="str">
        <f>IF(Main[[#This Row],[Tech Start Date]]&lt;1/1/1990,"",IF(Main[[#This Row],[Class]]="C",WORKDAY(Main[[#This Row],[Tech Start Date]],28),IF(Main[[#This Row],[Class]]="B", WORKDAY(Main[[#This Row],[Tech Start Date]],19),IF(Main[[#This Row],[Class]]="A",WORKDAY(Main[[#This Row],[Tech Start Date]],9),""))))</f>
        <v/>
      </c>
      <c r="Q713" s="129">
        <v>40602</v>
      </c>
      <c r="R713" s="129"/>
      <c r="S713" s="139" t="s">
        <v>17</v>
      </c>
      <c r="T713" s="115" t="s">
        <v>4</v>
      </c>
      <c r="U713" s="139" t="s">
        <v>7</v>
      </c>
      <c r="V713" s="139" t="s">
        <v>1914</v>
      </c>
      <c r="W713" s="139" t="s">
        <v>1922</v>
      </c>
      <c r="X713" s="139" t="s">
        <v>2828</v>
      </c>
      <c r="Y713" s="112" t="s">
        <v>2950</v>
      </c>
      <c r="Z713" s="112" t="s">
        <v>129</v>
      </c>
      <c r="AA713" s="139" t="s">
        <v>2828</v>
      </c>
    </row>
    <row r="714" spans="1:27" ht="17.25" customHeight="1">
      <c r="A714" s="69" t="str">
        <f>IF(priority(Main[[#This Row],[Comments]])&lt;&gt;0, priority(Main[[#This Row],[Comments]]),"")</f>
        <v/>
      </c>
      <c r="B714" s="63" t="s">
        <v>1402</v>
      </c>
      <c r="C714" s="148" t="s">
        <v>31</v>
      </c>
      <c r="D714" s="113" t="s">
        <v>484</v>
      </c>
      <c r="E714" s="129"/>
      <c r="F714" s="129"/>
      <c r="G714" s="69" t="str">
        <f>IF(stdProdLT(Main[[#This Row],[Comments]])=0.1,"N/A",IF(stdProdLT(Main[[#This Row],[Comments]])=0,"",stdProdLT(Main[[#This Row],[Comments]])))</f>
        <v/>
      </c>
      <c r="H714" s="138" t="str">
        <f>IF(Main[[#This Row],[In Stock Date]]="N/A", "N/A",IF(AND(Main[[#This Row],[In Stock Date]]&lt;&gt;"",Main[[#This Row],[Revised Due Date]]&lt;&gt;"",Main[[#This Row],[In Stock Date]]&lt;&gt;""),Main[[#This Row],[In Stock Date]]-Main[[#This Row],[Revised Due Date]],""))</f>
        <v/>
      </c>
      <c r="I714" s="139" t="s">
        <v>4</v>
      </c>
      <c r="J714" s="139" t="s">
        <v>4</v>
      </c>
      <c r="K714" s="139" t="s">
        <v>4</v>
      </c>
      <c r="L714" s="129"/>
      <c r="M714" s="114" t="str">
        <f>IF(Main[[#This Row],[Tech Start Date]]&lt;1/1/1990,"",IF(Main[[#This Row],[Class]]="C",WORKDAY(Main[[#This Row],[Tech Start Date]],9),IF(Main[[#This Row],[Class]]="B", WORKDAY(Main[[#This Row],[Tech Start Date]],6),IF(Main[[#This Row],[Class]]="A",WORKDAY(Main[[#This Row],[Tech Start Date]],2),""))))</f>
        <v/>
      </c>
      <c r="N714" s="114" t="str">
        <f>IF(Main[[#This Row],[Tech Start Date]]&lt;1/1/1990,"",IF(Main[[#This Row],[Class]]="C",WORKDAY(Main[[#This Row],[Tech Start Date]],19),IF(Main[[#This Row],[Class]]="B", WORKDAY(Main[[#This Row],[Tech Start Date]],12),IF(Main[[#This Row],[Class]]="A",WORKDAY(Main[[#This Row],[Tech Start Date]],4),""))))</f>
        <v/>
      </c>
      <c r="O714" s="114" t="str">
        <f>IF(Main[[#This Row],[Tech Start Date]]&lt;1/1/1990,"",IF(Main[[#This Row],[Class]]="C",WORKDAY(Main[[#This Row],[Tech Start Date]],23),IF(Main[[#This Row],[Class]]="B", WORKDAY(Main[[#This Row],[Tech Start Date]],15),IF(Main[[#This Row],[Class]]="A",WORKDAY(Main[[#This Row],[Tech Start Date]],5),""))))</f>
        <v/>
      </c>
      <c r="P714" s="114" t="str">
        <f>IF(Main[[#This Row],[Tech Start Date]]&lt;1/1/1990,"",IF(Main[[#This Row],[Class]]="C",WORKDAY(Main[[#This Row],[Tech Start Date]],28),IF(Main[[#This Row],[Class]]="B", WORKDAY(Main[[#This Row],[Tech Start Date]],19),IF(Main[[#This Row],[Class]]="A",WORKDAY(Main[[#This Row],[Tech Start Date]],9),""))))</f>
        <v/>
      </c>
      <c r="Q714" s="129">
        <v>40318</v>
      </c>
      <c r="R714" s="129"/>
      <c r="S714" s="139" t="s">
        <v>11</v>
      </c>
      <c r="T714" s="115" t="s">
        <v>4</v>
      </c>
      <c r="U714" s="139" t="s">
        <v>14</v>
      </c>
      <c r="V714" s="139" t="s">
        <v>1917</v>
      </c>
      <c r="W714" s="139" t="s">
        <v>1916</v>
      </c>
      <c r="X714" s="139" t="s">
        <v>2830</v>
      </c>
      <c r="Y714" s="112" t="s">
        <v>4</v>
      </c>
      <c r="Z714" s="112" t="s">
        <v>4</v>
      </c>
      <c r="AA714" s="139" t="s">
        <v>2830</v>
      </c>
    </row>
    <row r="715" spans="1:27" ht="17.25" customHeight="1">
      <c r="A715" s="69" t="str">
        <f>IF(priority(Main[[#This Row],[Comments]])&lt;&gt;0, priority(Main[[#This Row],[Comments]]),"")</f>
        <v/>
      </c>
      <c r="B715" s="63" t="s">
        <v>2190</v>
      </c>
      <c r="C715" s="148" t="s">
        <v>4</v>
      </c>
      <c r="D715" s="113" t="s">
        <v>2191</v>
      </c>
      <c r="E715" s="129">
        <v>40784.623067129629</v>
      </c>
      <c r="F715" s="129"/>
      <c r="G715" s="69" t="str">
        <f>IF(stdProdLT(Main[[#This Row],[Comments]])=0.1,"N/A",IF(stdProdLT(Main[[#This Row],[Comments]])=0,"",stdProdLT(Main[[#This Row],[Comments]])))</f>
        <v/>
      </c>
      <c r="H715" s="138" t="str">
        <f>IF(Main[[#This Row],[In Stock Date]]="N/A", "N/A",IF(AND(Main[[#This Row],[In Stock Date]]&lt;&gt;"",Main[[#This Row],[Revised Due Date]]&lt;&gt;"",Main[[#This Row],[In Stock Date]]&lt;&gt;""),Main[[#This Row],[In Stock Date]]-Main[[#This Row],[Revised Due Date]],""))</f>
        <v/>
      </c>
      <c r="I715" s="139" t="s">
        <v>4</v>
      </c>
      <c r="J715" s="139" t="s">
        <v>4</v>
      </c>
      <c r="K715" s="139" t="s">
        <v>4</v>
      </c>
      <c r="L715" s="129"/>
      <c r="M715" s="114" t="str">
        <f>IF(Main[[#This Row],[Tech Start Date]]&lt;1/1/1990,"",IF(Main[[#This Row],[Class]]="C",WORKDAY(Main[[#This Row],[Tech Start Date]],9),IF(Main[[#This Row],[Class]]="B", WORKDAY(Main[[#This Row],[Tech Start Date]],6),IF(Main[[#This Row],[Class]]="A",WORKDAY(Main[[#This Row],[Tech Start Date]],2),""))))</f>
        <v/>
      </c>
      <c r="N715" s="114" t="str">
        <f>IF(Main[[#This Row],[Tech Start Date]]&lt;1/1/1990,"",IF(Main[[#This Row],[Class]]="C",WORKDAY(Main[[#This Row],[Tech Start Date]],19),IF(Main[[#This Row],[Class]]="B", WORKDAY(Main[[#This Row],[Tech Start Date]],12),IF(Main[[#This Row],[Class]]="A",WORKDAY(Main[[#This Row],[Tech Start Date]],4),""))))</f>
        <v/>
      </c>
      <c r="O715" s="114" t="str">
        <f>IF(Main[[#This Row],[Tech Start Date]]&lt;1/1/1990,"",IF(Main[[#This Row],[Class]]="C",WORKDAY(Main[[#This Row],[Tech Start Date]],23),IF(Main[[#This Row],[Class]]="B", WORKDAY(Main[[#This Row],[Tech Start Date]],15),IF(Main[[#This Row],[Class]]="A",WORKDAY(Main[[#This Row],[Tech Start Date]],5),""))))</f>
        <v/>
      </c>
      <c r="P715" s="114" t="str">
        <f>IF(Main[[#This Row],[Tech Start Date]]&lt;1/1/1990,"",IF(Main[[#This Row],[Class]]="C",WORKDAY(Main[[#This Row],[Tech Start Date]],28),IF(Main[[#This Row],[Class]]="B", WORKDAY(Main[[#This Row],[Tech Start Date]],19),IF(Main[[#This Row],[Class]]="A",WORKDAY(Main[[#This Row],[Tech Start Date]],9),""))))</f>
        <v/>
      </c>
      <c r="Q715" s="129"/>
      <c r="R715" s="129"/>
      <c r="S715" s="139" t="s">
        <v>17</v>
      </c>
      <c r="T715" s="115" t="s">
        <v>4</v>
      </c>
      <c r="U715" s="139" t="s">
        <v>7</v>
      </c>
      <c r="V715" s="139" t="s">
        <v>1917</v>
      </c>
      <c r="W715" s="139" t="s">
        <v>1919</v>
      </c>
      <c r="X715" s="139" t="s">
        <v>2885</v>
      </c>
      <c r="Y715" s="112" t="s">
        <v>3041</v>
      </c>
      <c r="Z715" s="112" t="s">
        <v>4</v>
      </c>
      <c r="AA715" s="139" t="s">
        <v>2885</v>
      </c>
    </row>
    <row r="716" spans="1:27" ht="17.25" customHeight="1">
      <c r="A716" s="69" t="str">
        <f>IF(priority(Main[[#This Row],[Comments]])&lt;&gt;0, priority(Main[[#This Row],[Comments]]),"")</f>
        <v/>
      </c>
      <c r="B716" s="63" t="s">
        <v>1404</v>
      </c>
      <c r="C716" s="148" t="s">
        <v>184</v>
      </c>
      <c r="D716" s="113" t="s">
        <v>486</v>
      </c>
      <c r="E716" s="129"/>
      <c r="F716" s="129"/>
      <c r="G716" s="69" t="str">
        <f>IF(stdProdLT(Main[[#This Row],[Comments]])=0.1,"N/A",IF(stdProdLT(Main[[#This Row],[Comments]])=0,"",stdProdLT(Main[[#This Row],[Comments]])))</f>
        <v/>
      </c>
      <c r="H716" s="138" t="str">
        <f>IF(Main[[#This Row],[In Stock Date]]="N/A", "N/A",IF(AND(Main[[#This Row],[In Stock Date]]&lt;&gt;"",Main[[#This Row],[Revised Due Date]]&lt;&gt;"",Main[[#This Row],[In Stock Date]]&lt;&gt;""),Main[[#This Row],[In Stock Date]]-Main[[#This Row],[Revised Due Date]],""))</f>
        <v/>
      </c>
      <c r="I716" s="139" t="s">
        <v>4</v>
      </c>
      <c r="J716" s="139" t="s">
        <v>4</v>
      </c>
      <c r="K716" s="139" t="s">
        <v>4</v>
      </c>
      <c r="L716" s="129"/>
      <c r="M716" s="114" t="str">
        <f>IF(Main[[#This Row],[Tech Start Date]]&lt;1/1/1990,"",IF(Main[[#This Row],[Class]]="C",WORKDAY(Main[[#This Row],[Tech Start Date]],9),IF(Main[[#This Row],[Class]]="B", WORKDAY(Main[[#This Row],[Tech Start Date]],6),IF(Main[[#This Row],[Class]]="A",WORKDAY(Main[[#This Row],[Tech Start Date]],2),""))))</f>
        <v/>
      </c>
      <c r="N716" s="114" t="str">
        <f>IF(Main[[#This Row],[Tech Start Date]]&lt;1/1/1990,"",IF(Main[[#This Row],[Class]]="C",WORKDAY(Main[[#This Row],[Tech Start Date]],19),IF(Main[[#This Row],[Class]]="B", WORKDAY(Main[[#This Row],[Tech Start Date]],12),IF(Main[[#This Row],[Class]]="A",WORKDAY(Main[[#This Row],[Tech Start Date]],4),""))))</f>
        <v/>
      </c>
      <c r="O716" s="114" t="str">
        <f>IF(Main[[#This Row],[Tech Start Date]]&lt;1/1/1990,"",IF(Main[[#This Row],[Class]]="C",WORKDAY(Main[[#This Row],[Tech Start Date]],23),IF(Main[[#This Row],[Class]]="B", WORKDAY(Main[[#This Row],[Tech Start Date]],15),IF(Main[[#This Row],[Class]]="A",WORKDAY(Main[[#This Row],[Tech Start Date]],5),""))))</f>
        <v/>
      </c>
      <c r="P716" s="114" t="str">
        <f>IF(Main[[#This Row],[Tech Start Date]]&lt;1/1/1990,"",IF(Main[[#This Row],[Class]]="C",WORKDAY(Main[[#This Row],[Tech Start Date]],28),IF(Main[[#This Row],[Class]]="B", WORKDAY(Main[[#This Row],[Tech Start Date]],19),IF(Main[[#This Row],[Class]]="A",WORKDAY(Main[[#This Row],[Tech Start Date]],9),""))))</f>
        <v/>
      </c>
      <c r="Q716" s="129">
        <v>40116</v>
      </c>
      <c r="R716" s="129"/>
      <c r="S716" s="139" t="s">
        <v>11</v>
      </c>
      <c r="T716" s="115" t="s">
        <v>4</v>
      </c>
      <c r="U716" s="139" t="s">
        <v>14</v>
      </c>
      <c r="V716" s="139" t="s">
        <v>1917</v>
      </c>
      <c r="W716" s="139" t="s">
        <v>1916</v>
      </c>
      <c r="X716" s="139" t="s">
        <v>2863</v>
      </c>
      <c r="Y716" s="112" t="s">
        <v>4</v>
      </c>
      <c r="Z716" s="112" t="s">
        <v>4</v>
      </c>
      <c r="AA716" s="139" t="s">
        <v>2863</v>
      </c>
    </row>
    <row r="717" spans="1:27" ht="17.25" customHeight="1">
      <c r="A717" s="69" t="str">
        <f>IF(priority(Main[[#This Row],[Comments]])&lt;&gt;0, priority(Main[[#This Row],[Comments]]),"")</f>
        <v/>
      </c>
      <c r="B717" s="63" t="s">
        <v>1570</v>
      </c>
      <c r="C717" s="148" t="s">
        <v>650</v>
      </c>
      <c r="D717" s="113" t="s">
        <v>651</v>
      </c>
      <c r="E717" s="129">
        <v>40350.419861111113</v>
      </c>
      <c r="F717" s="129">
        <v>40444</v>
      </c>
      <c r="G717" s="69" t="str">
        <f>IF(stdProdLT(Main[[#This Row],[Comments]])=0.1,"N/A",IF(stdProdLT(Main[[#This Row],[Comments]])=0,"",stdProdLT(Main[[#This Row],[Comments]])))</f>
        <v/>
      </c>
      <c r="H717" s="138" t="str">
        <f>IF(Main[[#This Row],[In Stock Date]]="N/A", "N/A",IF(AND(Main[[#This Row],[In Stock Date]]&lt;&gt;"",Main[[#This Row],[Revised Due Date]]&lt;&gt;"",Main[[#This Row],[In Stock Date]]&lt;&gt;""),Main[[#This Row],[In Stock Date]]-Main[[#This Row],[Revised Due Date]],""))</f>
        <v/>
      </c>
      <c r="I717" s="139" t="s">
        <v>652</v>
      </c>
      <c r="J717" s="139" t="s">
        <v>28</v>
      </c>
      <c r="K717" s="139" t="s">
        <v>1926</v>
      </c>
      <c r="L717" s="129"/>
      <c r="M717" s="114" t="str">
        <f>IF(Main[[#This Row],[Tech Start Date]]&lt;1/1/1990,"",IF(Main[[#This Row],[Class]]="C",WORKDAY(Main[[#This Row],[Tech Start Date]],9),IF(Main[[#This Row],[Class]]="B", WORKDAY(Main[[#This Row],[Tech Start Date]],6),IF(Main[[#This Row],[Class]]="A",WORKDAY(Main[[#This Row],[Tech Start Date]],2),""))))</f>
        <v/>
      </c>
      <c r="N717" s="114" t="str">
        <f>IF(Main[[#This Row],[Tech Start Date]]&lt;1/1/1990,"",IF(Main[[#This Row],[Class]]="C",WORKDAY(Main[[#This Row],[Tech Start Date]],19),IF(Main[[#This Row],[Class]]="B", WORKDAY(Main[[#This Row],[Tech Start Date]],12),IF(Main[[#This Row],[Class]]="A",WORKDAY(Main[[#This Row],[Tech Start Date]],4),""))))</f>
        <v/>
      </c>
      <c r="O717" s="114" t="str">
        <f>IF(Main[[#This Row],[Tech Start Date]]&lt;1/1/1990,"",IF(Main[[#This Row],[Class]]="C",WORKDAY(Main[[#This Row],[Tech Start Date]],23),IF(Main[[#This Row],[Class]]="B", WORKDAY(Main[[#This Row],[Tech Start Date]],15),IF(Main[[#This Row],[Class]]="A",WORKDAY(Main[[#This Row],[Tech Start Date]],5),""))))</f>
        <v/>
      </c>
      <c r="P717" s="114" t="str">
        <f>IF(Main[[#This Row],[Tech Start Date]]&lt;1/1/1990,"",IF(Main[[#This Row],[Class]]="C",WORKDAY(Main[[#This Row],[Tech Start Date]],28),IF(Main[[#This Row],[Class]]="B", WORKDAY(Main[[#This Row],[Tech Start Date]],19),IF(Main[[#This Row],[Class]]="A",WORKDAY(Main[[#This Row],[Tech Start Date]],9),""))))</f>
        <v/>
      </c>
      <c r="Q717" s="129">
        <v>40353</v>
      </c>
      <c r="R717" s="129"/>
      <c r="S717" s="139" t="s">
        <v>17</v>
      </c>
      <c r="T717" s="115" t="s">
        <v>4</v>
      </c>
      <c r="U717" s="139" t="s">
        <v>7</v>
      </c>
      <c r="V717" s="139" t="s">
        <v>1917</v>
      </c>
      <c r="W717" s="139" t="s">
        <v>1919</v>
      </c>
      <c r="X717" s="139" t="s">
        <v>2886</v>
      </c>
      <c r="Y717" s="112" t="s">
        <v>3042</v>
      </c>
      <c r="Z717" s="112" t="s">
        <v>530</v>
      </c>
      <c r="AA717" s="139" t="s">
        <v>3413</v>
      </c>
    </row>
    <row r="718" spans="1:27" ht="17.25" customHeight="1">
      <c r="A718" s="69" t="str">
        <f>IF(priority(Main[[#This Row],[Comments]])&lt;&gt;0, priority(Main[[#This Row],[Comments]]),"")</f>
        <v/>
      </c>
      <c r="B718" s="63" t="s">
        <v>1406</v>
      </c>
      <c r="C718" s="148" t="s">
        <v>67</v>
      </c>
      <c r="D718" s="113" t="s">
        <v>488</v>
      </c>
      <c r="E718" s="129"/>
      <c r="F718" s="129">
        <v>40561</v>
      </c>
      <c r="G718" s="69" t="str">
        <f>IF(stdProdLT(Main[[#This Row],[Comments]])=0.1,"N/A",IF(stdProdLT(Main[[#This Row],[Comments]])=0,"",stdProdLT(Main[[#This Row],[Comments]])))</f>
        <v/>
      </c>
      <c r="H718" s="138" t="str">
        <f>IF(Main[[#This Row],[In Stock Date]]="N/A", "N/A",IF(AND(Main[[#This Row],[In Stock Date]]&lt;&gt;"",Main[[#This Row],[Revised Due Date]]&lt;&gt;"",Main[[#This Row],[In Stock Date]]&lt;&gt;""),Main[[#This Row],[In Stock Date]]-Main[[#This Row],[Revised Due Date]],""))</f>
        <v/>
      </c>
      <c r="I718" s="139" t="s">
        <v>4</v>
      </c>
      <c r="J718" s="139" t="s">
        <v>4</v>
      </c>
      <c r="K718" s="140" t="s">
        <v>4</v>
      </c>
      <c r="L718" s="129"/>
      <c r="M718" s="114" t="str">
        <f>IF(Main[[#This Row],[Tech Start Date]]&lt;1/1/1990,"",IF(Main[[#This Row],[Class]]="C",WORKDAY(Main[[#This Row],[Tech Start Date]],9),IF(Main[[#This Row],[Class]]="B", WORKDAY(Main[[#This Row],[Tech Start Date]],6),IF(Main[[#This Row],[Class]]="A",WORKDAY(Main[[#This Row],[Tech Start Date]],2),""))))</f>
        <v/>
      </c>
      <c r="N718" s="114" t="str">
        <f>IF(Main[[#This Row],[Tech Start Date]]&lt;1/1/1990,"",IF(Main[[#This Row],[Class]]="C",WORKDAY(Main[[#This Row],[Tech Start Date]],19),IF(Main[[#This Row],[Class]]="B", WORKDAY(Main[[#This Row],[Tech Start Date]],12),IF(Main[[#This Row],[Class]]="A",WORKDAY(Main[[#This Row],[Tech Start Date]],4),""))))</f>
        <v/>
      </c>
      <c r="O718" s="114" t="str">
        <f>IF(Main[[#This Row],[Tech Start Date]]&lt;1/1/1990,"",IF(Main[[#This Row],[Class]]="C",WORKDAY(Main[[#This Row],[Tech Start Date]],23),IF(Main[[#This Row],[Class]]="B", WORKDAY(Main[[#This Row],[Tech Start Date]],15),IF(Main[[#This Row],[Class]]="A",WORKDAY(Main[[#This Row],[Tech Start Date]],5),""))))</f>
        <v/>
      </c>
      <c r="P718" s="114" t="str">
        <f>IF(Main[[#This Row],[Tech Start Date]]&lt;1/1/1990,"",IF(Main[[#This Row],[Class]]="C",WORKDAY(Main[[#This Row],[Tech Start Date]],28),IF(Main[[#This Row],[Class]]="B", WORKDAY(Main[[#This Row],[Tech Start Date]],19),IF(Main[[#This Row],[Class]]="A",WORKDAY(Main[[#This Row],[Tech Start Date]],9),""))))</f>
        <v/>
      </c>
      <c r="Q718" s="129"/>
      <c r="R718" s="129"/>
      <c r="S718" s="139" t="s">
        <v>11</v>
      </c>
      <c r="T718" s="115" t="s">
        <v>4</v>
      </c>
      <c r="U718" s="139" t="s">
        <v>14</v>
      </c>
      <c r="V718" s="139" t="s">
        <v>1917</v>
      </c>
      <c r="W718" s="139" t="s">
        <v>1920</v>
      </c>
      <c r="X718" s="139" t="s">
        <v>50</v>
      </c>
      <c r="Y718" s="112" t="s">
        <v>4</v>
      </c>
      <c r="Z718" s="112" t="s">
        <v>4</v>
      </c>
      <c r="AA718" s="139" t="s">
        <v>4</v>
      </c>
    </row>
    <row r="719" spans="1:27" ht="17.25" customHeight="1">
      <c r="A719" s="69" t="str">
        <f>IF(priority(Main[[#This Row],[Comments]])&lt;&gt;0, priority(Main[[#This Row],[Comments]]),"")</f>
        <v/>
      </c>
      <c r="B719" s="63" t="s">
        <v>1408</v>
      </c>
      <c r="C719" s="148" t="s">
        <v>31</v>
      </c>
      <c r="D719" s="113" t="s">
        <v>490</v>
      </c>
      <c r="E719" s="129"/>
      <c r="F719" s="129">
        <v>40203</v>
      </c>
      <c r="G719" s="69" t="str">
        <f>IF(stdProdLT(Main[[#This Row],[Comments]])=0.1,"N/A",IF(stdProdLT(Main[[#This Row],[Comments]])=0,"",stdProdLT(Main[[#This Row],[Comments]])))</f>
        <v/>
      </c>
      <c r="H719" s="138" t="str">
        <f>IF(Main[[#This Row],[In Stock Date]]="N/A", "N/A",IF(AND(Main[[#This Row],[In Stock Date]]&lt;&gt;"",Main[[#This Row],[Revised Due Date]]&lt;&gt;"",Main[[#This Row],[In Stock Date]]&lt;&gt;""),Main[[#This Row],[In Stock Date]]-Main[[#This Row],[Revised Due Date]],""))</f>
        <v/>
      </c>
      <c r="I719" s="139" t="s">
        <v>4</v>
      </c>
      <c r="J719" s="139" t="s">
        <v>4</v>
      </c>
      <c r="K719" s="139" t="s">
        <v>4</v>
      </c>
      <c r="L719" s="129"/>
      <c r="M719" s="114" t="str">
        <f>IF(Main[[#This Row],[Tech Start Date]]&lt;1/1/1990,"",IF(Main[[#This Row],[Class]]="C",WORKDAY(Main[[#This Row],[Tech Start Date]],9),IF(Main[[#This Row],[Class]]="B", WORKDAY(Main[[#This Row],[Tech Start Date]],6),IF(Main[[#This Row],[Class]]="A",WORKDAY(Main[[#This Row],[Tech Start Date]],2),""))))</f>
        <v/>
      </c>
      <c r="N719" s="114" t="str">
        <f>IF(Main[[#This Row],[Tech Start Date]]&lt;1/1/1990,"",IF(Main[[#This Row],[Class]]="C",WORKDAY(Main[[#This Row],[Tech Start Date]],19),IF(Main[[#This Row],[Class]]="B", WORKDAY(Main[[#This Row],[Tech Start Date]],12),IF(Main[[#This Row],[Class]]="A",WORKDAY(Main[[#This Row],[Tech Start Date]],4),""))))</f>
        <v/>
      </c>
      <c r="O719" s="114" t="str">
        <f>IF(Main[[#This Row],[Tech Start Date]]&lt;1/1/1990,"",IF(Main[[#This Row],[Class]]="C",WORKDAY(Main[[#This Row],[Tech Start Date]],23),IF(Main[[#This Row],[Class]]="B", WORKDAY(Main[[#This Row],[Tech Start Date]],15),IF(Main[[#This Row],[Class]]="A",WORKDAY(Main[[#This Row],[Tech Start Date]],5),""))))</f>
        <v/>
      </c>
      <c r="P719" s="114" t="str">
        <f>IF(Main[[#This Row],[Tech Start Date]]&lt;1/1/1990,"",IF(Main[[#This Row],[Class]]="C",WORKDAY(Main[[#This Row],[Tech Start Date]],28),IF(Main[[#This Row],[Class]]="B", WORKDAY(Main[[#This Row],[Tech Start Date]],19),IF(Main[[#This Row],[Class]]="A",WORKDAY(Main[[#This Row],[Tech Start Date]],9),""))))</f>
        <v/>
      </c>
      <c r="Q719" s="129">
        <v>40063</v>
      </c>
      <c r="R719" s="129"/>
      <c r="S719" s="139" t="s">
        <v>11</v>
      </c>
      <c r="T719" s="115" t="s">
        <v>4</v>
      </c>
      <c r="U719" s="139" t="s">
        <v>14</v>
      </c>
      <c r="V719" s="139" t="s">
        <v>1924</v>
      </c>
      <c r="W719" s="139" t="s">
        <v>1920</v>
      </c>
      <c r="X719" s="139" t="s">
        <v>2871</v>
      </c>
      <c r="Y719" s="112" t="s">
        <v>4</v>
      </c>
      <c r="Z719" s="112" t="s">
        <v>4</v>
      </c>
      <c r="AA719" s="139" t="s">
        <v>2871</v>
      </c>
    </row>
    <row r="720" spans="1:27" ht="17.25" customHeight="1">
      <c r="A720" s="69" t="str">
        <f>IF(priority(Main[[#This Row],[Comments]])&lt;&gt;0, priority(Main[[#This Row],[Comments]]),"")</f>
        <v/>
      </c>
      <c r="B720" s="63" t="s">
        <v>1409</v>
      </c>
      <c r="C720" s="148" t="s">
        <v>4</v>
      </c>
      <c r="D720" s="113" t="s">
        <v>491</v>
      </c>
      <c r="E720" s="129">
        <v>40381.391886574071</v>
      </c>
      <c r="F720" s="129"/>
      <c r="G720" s="69" t="str">
        <f>IF(stdProdLT(Main[[#This Row],[Comments]])=0.1,"N/A",IF(stdProdLT(Main[[#This Row],[Comments]])=0,"",stdProdLT(Main[[#This Row],[Comments]])))</f>
        <v/>
      </c>
      <c r="H720" s="138" t="str">
        <f>IF(Main[[#This Row],[In Stock Date]]="N/A", "N/A",IF(AND(Main[[#This Row],[In Stock Date]]&lt;&gt;"",Main[[#This Row],[Revised Due Date]]&lt;&gt;"",Main[[#This Row],[In Stock Date]]&lt;&gt;""),Main[[#This Row],[In Stock Date]]-Main[[#This Row],[Revised Due Date]],""))</f>
        <v/>
      </c>
      <c r="I720" s="139" t="s">
        <v>4</v>
      </c>
      <c r="J720" s="139" t="s">
        <v>28</v>
      </c>
      <c r="K720" s="140" t="s">
        <v>4</v>
      </c>
      <c r="L720" s="129"/>
      <c r="M720" s="114" t="str">
        <f>IF(Main[[#This Row],[Tech Start Date]]&lt;1/1/1990,"",IF(Main[[#This Row],[Class]]="C",WORKDAY(Main[[#This Row],[Tech Start Date]],9),IF(Main[[#This Row],[Class]]="B", WORKDAY(Main[[#This Row],[Tech Start Date]],6),IF(Main[[#This Row],[Class]]="A",WORKDAY(Main[[#This Row],[Tech Start Date]],2),""))))</f>
        <v/>
      </c>
      <c r="N720" s="114" t="str">
        <f>IF(Main[[#This Row],[Tech Start Date]]&lt;1/1/1990,"",IF(Main[[#This Row],[Class]]="C",WORKDAY(Main[[#This Row],[Tech Start Date]],19),IF(Main[[#This Row],[Class]]="B", WORKDAY(Main[[#This Row],[Tech Start Date]],12),IF(Main[[#This Row],[Class]]="A",WORKDAY(Main[[#This Row],[Tech Start Date]],4),""))))</f>
        <v/>
      </c>
      <c r="O720" s="114" t="str">
        <f>IF(Main[[#This Row],[Tech Start Date]]&lt;1/1/1990,"",IF(Main[[#This Row],[Class]]="C",WORKDAY(Main[[#This Row],[Tech Start Date]],23),IF(Main[[#This Row],[Class]]="B", WORKDAY(Main[[#This Row],[Tech Start Date]],15),IF(Main[[#This Row],[Class]]="A",WORKDAY(Main[[#This Row],[Tech Start Date]],5),""))))</f>
        <v/>
      </c>
      <c r="P720" s="114" t="str">
        <f>IF(Main[[#This Row],[Tech Start Date]]&lt;1/1/1990,"",IF(Main[[#This Row],[Class]]="C",WORKDAY(Main[[#This Row],[Tech Start Date]],28),IF(Main[[#This Row],[Class]]="B", WORKDAY(Main[[#This Row],[Tech Start Date]],19),IF(Main[[#This Row],[Class]]="A",WORKDAY(Main[[#This Row],[Tech Start Date]],9),""))))</f>
        <v/>
      </c>
      <c r="Q720" s="129">
        <v>40451</v>
      </c>
      <c r="R720" s="129"/>
      <c r="S720" s="139" t="s">
        <v>6</v>
      </c>
      <c r="T720" s="115" t="s">
        <v>4</v>
      </c>
      <c r="U720" s="139" t="s">
        <v>7</v>
      </c>
      <c r="V720" s="139" t="s">
        <v>1914</v>
      </c>
      <c r="W720" s="139" t="s">
        <v>1916</v>
      </c>
      <c r="X720" s="139" t="s">
        <v>2887</v>
      </c>
      <c r="Y720" s="112" t="s">
        <v>3043</v>
      </c>
      <c r="Z720" s="112" t="s">
        <v>129</v>
      </c>
      <c r="AA720" s="139" t="s">
        <v>2887</v>
      </c>
    </row>
    <row r="721" spans="1:27" ht="17.25" customHeight="1">
      <c r="A721" s="69" t="str">
        <f>IF(priority(Main[[#This Row],[Comments]])&lt;&gt;0, priority(Main[[#This Row],[Comments]]),"")</f>
        <v/>
      </c>
      <c r="B721" s="63" t="s">
        <v>1463</v>
      </c>
      <c r="C721" s="148" t="s">
        <v>93</v>
      </c>
      <c r="D721" s="113" t="s">
        <v>557</v>
      </c>
      <c r="E721" s="129"/>
      <c r="F721" s="129">
        <v>40299</v>
      </c>
      <c r="G721" s="69" t="str">
        <f>IF(stdProdLT(Main[[#This Row],[Comments]])=0.1,"N/A",IF(stdProdLT(Main[[#This Row],[Comments]])=0,"",stdProdLT(Main[[#This Row],[Comments]])))</f>
        <v/>
      </c>
      <c r="H721" s="138" t="str">
        <f>IF(Main[[#This Row],[In Stock Date]]="N/A", "N/A",IF(AND(Main[[#This Row],[In Stock Date]]&lt;&gt;"",Main[[#This Row],[Revised Due Date]]&lt;&gt;"",Main[[#This Row],[In Stock Date]]&lt;&gt;""),Main[[#This Row],[In Stock Date]]-Main[[#This Row],[Revised Due Date]],""))</f>
        <v/>
      </c>
      <c r="I721" s="139" t="s">
        <v>4</v>
      </c>
      <c r="J721" s="139" t="s">
        <v>4</v>
      </c>
      <c r="K721" s="139" t="s">
        <v>4</v>
      </c>
      <c r="L721" s="129"/>
      <c r="M721" s="114" t="str">
        <f>IF(Main[[#This Row],[Tech Start Date]]&lt;1/1/1990,"",IF(Main[[#This Row],[Class]]="C",WORKDAY(Main[[#This Row],[Tech Start Date]],9),IF(Main[[#This Row],[Class]]="B", WORKDAY(Main[[#This Row],[Tech Start Date]],6),IF(Main[[#This Row],[Class]]="A",WORKDAY(Main[[#This Row],[Tech Start Date]],2),""))))</f>
        <v/>
      </c>
      <c r="N721" s="114" t="str">
        <f>IF(Main[[#This Row],[Tech Start Date]]&lt;1/1/1990,"",IF(Main[[#This Row],[Class]]="C",WORKDAY(Main[[#This Row],[Tech Start Date]],19),IF(Main[[#This Row],[Class]]="B", WORKDAY(Main[[#This Row],[Tech Start Date]],12),IF(Main[[#This Row],[Class]]="A",WORKDAY(Main[[#This Row],[Tech Start Date]],4),""))))</f>
        <v/>
      </c>
      <c r="O721" s="114" t="str">
        <f>IF(Main[[#This Row],[Tech Start Date]]&lt;1/1/1990,"",IF(Main[[#This Row],[Class]]="C",WORKDAY(Main[[#This Row],[Tech Start Date]],23),IF(Main[[#This Row],[Class]]="B", WORKDAY(Main[[#This Row],[Tech Start Date]],15),IF(Main[[#This Row],[Class]]="A",WORKDAY(Main[[#This Row],[Tech Start Date]],5),""))))</f>
        <v/>
      </c>
      <c r="P721" s="114" t="str">
        <f>IF(Main[[#This Row],[Tech Start Date]]&lt;1/1/1990,"",IF(Main[[#This Row],[Class]]="C",WORKDAY(Main[[#This Row],[Tech Start Date]],28),IF(Main[[#This Row],[Class]]="B", WORKDAY(Main[[#This Row],[Tech Start Date]],19),IF(Main[[#This Row],[Class]]="A",WORKDAY(Main[[#This Row],[Tech Start Date]],9),""))))</f>
        <v/>
      </c>
      <c r="Q721" s="129">
        <v>40171</v>
      </c>
      <c r="R721" s="129"/>
      <c r="S721" s="139" t="s">
        <v>11</v>
      </c>
      <c r="T721" s="115" t="s">
        <v>4</v>
      </c>
      <c r="U721" s="139" t="s">
        <v>14</v>
      </c>
      <c r="V721" s="139" t="s">
        <v>1917</v>
      </c>
      <c r="W721" s="139" t="s">
        <v>1920</v>
      </c>
      <c r="X721" s="139" t="s">
        <v>530</v>
      </c>
      <c r="Y721" s="112" t="s">
        <v>3053</v>
      </c>
      <c r="Z721" s="112" t="s">
        <v>4</v>
      </c>
      <c r="AA721" s="139" t="s">
        <v>3416</v>
      </c>
    </row>
    <row r="722" spans="1:27" ht="17.25" customHeight="1">
      <c r="A722" s="69" t="str">
        <f>IF(priority(Main[[#This Row],[Comments]])&lt;&gt;0, priority(Main[[#This Row],[Comments]]),"")</f>
        <v/>
      </c>
      <c r="B722" s="63" t="s">
        <v>1464</v>
      </c>
      <c r="C722" s="148" t="s">
        <v>47</v>
      </c>
      <c r="D722" s="113" t="s">
        <v>558</v>
      </c>
      <c r="E722" s="129">
        <v>39937.590590277781</v>
      </c>
      <c r="F722" s="129"/>
      <c r="G722" s="69" t="str">
        <f>IF(stdProdLT(Main[[#This Row],[Comments]])=0.1,"N/A",IF(stdProdLT(Main[[#This Row],[Comments]])=0,"",stdProdLT(Main[[#This Row],[Comments]])))</f>
        <v/>
      </c>
      <c r="H722" s="138" t="str">
        <f>IF(Main[[#This Row],[In Stock Date]]="N/A", "N/A",IF(AND(Main[[#This Row],[In Stock Date]]&lt;&gt;"",Main[[#This Row],[Revised Due Date]]&lt;&gt;"",Main[[#This Row],[In Stock Date]]&lt;&gt;""),Main[[#This Row],[In Stock Date]]-Main[[#This Row],[Revised Due Date]],""))</f>
        <v/>
      </c>
      <c r="I722" s="139" t="s">
        <v>4</v>
      </c>
      <c r="J722" s="139" t="s">
        <v>4</v>
      </c>
      <c r="K722" s="140" t="s">
        <v>4</v>
      </c>
      <c r="L722" s="129"/>
      <c r="M722" s="114" t="str">
        <f>IF(Main[[#This Row],[Tech Start Date]]&lt;1/1/1990,"",IF(Main[[#This Row],[Class]]="C",WORKDAY(Main[[#This Row],[Tech Start Date]],9),IF(Main[[#This Row],[Class]]="B", WORKDAY(Main[[#This Row],[Tech Start Date]],6),IF(Main[[#This Row],[Class]]="A",WORKDAY(Main[[#This Row],[Tech Start Date]],2),""))))</f>
        <v/>
      </c>
      <c r="N722" s="114" t="str">
        <f>IF(Main[[#This Row],[Tech Start Date]]&lt;1/1/1990,"",IF(Main[[#This Row],[Class]]="C",WORKDAY(Main[[#This Row],[Tech Start Date]],19),IF(Main[[#This Row],[Class]]="B", WORKDAY(Main[[#This Row],[Tech Start Date]],12),IF(Main[[#This Row],[Class]]="A",WORKDAY(Main[[#This Row],[Tech Start Date]],4),""))))</f>
        <v/>
      </c>
      <c r="O722" s="114" t="str">
        <f>IF(Main[[#This Row],[Tech Start Date]]&lt;1/1/1990,"",IF(Main[[#This Row],[Class]]="C",WORKDAY(Main[[#This Row],[Tech Start Date]],23),IF(Main[[#This Row],[Class]]="B", WORKDAY(Main[[#This Row],[Tech Start Date]],15),IF(Main[[#This Row],[Class]]="A",WORKDAY(Main[[#This Row],[Tech Start Date]],5),""))))</f>
        <v/>
      </c>
      <c r="P722" s="114" t="str">
        <f>IF(Main[[#This Row],[Tech Start Date]]&lt;1/1/1990,"",IF(Main[[#This Row],[Class]]="C",WORKDAY(Main[[#This Row],[Tech Start Date]],28),IF(Main[[#This Row],[Class]]="B", WORKDAY(Main[[#This Row],[Tech Start Date]],19),IF(Main[[#This Row],[Class]]="A",WORKDAY(Main[[#This Row],[Tech Start Date]],9),""))))</f>
        <v/>
      </c>
      <c r="Q722" s="129"/>
      <c r="R722" s="129"/>
      <c r="S722" s="139" t="s">
        <v>17</v>
      </c>
      <c r="T722" s="115" t="s">
        <v>4</v>
      </c>
      <c r="U722" s="139" t="s">
        <v>7</v>
      </c>
      <c r="V722" s="139" t="s">
        <v>1917</v>
      </c>
      <c r="W722" s="139" t="s">
        <v>4</v>
      </c>
      <c r="X722" s="139" t="s">
        <v>2827</v>
      </c>
      <c r="Y722" s="112" t="s">
        <v>2948</v>
      </c>
      <c r="Z722" s="112" t="s">
        <v>4</v>
      </c>
      <c r="AA722" s="139" t="s">
        <v>2827</v>
      </c>
    </row>
    <row r="723" spans="1:27" ht="17.25" customHeight="1">
      <c r="A723" s="69" t="str">
        <f>IF(priority(Main[[#This Row],[Comments]])&lt;&gt;0, priority(Main[[#This Row],[Comments]]),"")</f>
        <v/>
      </c>
      <c r="B723" s="63" t="s">
        <v>1465</v>
      </c>
      <c r="C723" s="148" t="s">
        <v>277</v>
      </c>
      <c r="D723" s="113" t="s">
        <v>559</v>
      </c>
      <c r="E723" s="129"/>
      <c r="F723" s="129">
        <v>40567</v>
      </c>
      <c r="G723" s="69" t="str">
        <f>IF(stdProdLT(Main[[#This Row],[Comments]])=0.1,"N/A",IF(stdProdLT(Main[[#This Row],[Comments]])=0,"",stdProdLT(Main[[#This Row],[Comments]])))</f>
        <v/>
      </c>
      <c r="H723" s="138" t="str">
        <f>IF(Main[[#This Row],[In Stock Date]]="N/A", "N/A",IF(AND(Main[[#This Row],[In Stock Date]]&lt;&gt;"",Main[[#This Row],[Revised Due Date]]&lt;&gt;"",Main[[#This Row],[In Stock Date]]&lt;&gt;""),Main[[#This Row],[In Stock Date]]-Main[[#This Row],[Revised Due Date]],""))</f>
        <v/>
      </c>
      <c r="I723" s="139" t="s">
        <v>4</v>
      </c>
      <c r="J723" s="139" t="s">
        <v>4</v>
      </c>
      <c r="K723" s="139" t="s">
        <v>4</v>
      </c>
      <c r="L723" s="129"/>
      <c r="M723" s="114" t="str">
        <f>IF(Main[[#This Row],[Tech Start Date]]&lt;1/1/1990,"",IF(Main[[#This Row],[Class]]="C",WORKDAY(Main[[#This Row],[Tech Start Date]],9),IF(Main[[#This Row],[Class]]="B", WORKDAY(Main[[#This Row],[Tech Start Date]],6),IF(Main[[#This Row],[Class]]="A",WORKDAY(Main[[#This Row],[Tech Start Date]],2),""))))</f>
        <v/>
      </c>
      <c r="N723" s="114" t="str">
        <f>IF(Main[[#This Row],[Tech Start Date]]&lt;1/1/1990,"",IF(Main[[#This Row],[Class]]="C",WORKDAY(Main[[#This Row],[Tech Start Date]],19),IF(Main[[#This Row],[Class]]="B", WORKDAY(Main[[#This Row],[Tech Start Date]],12),IF(Main[[#This Row],[Class]]="A",WORKDAY(Main[[#This Row],[Tech Start Date]],4),""))))</f>
        <v/>
      </c>
      <c r="O723" s="114" t="str">
        <f>IF(Main[[#This Row],[Tech Start Date]]&lt;1/1/1990,"",IF(Main[[#This Row],[Class]]="C",WORKDAY(Main[[#This Row],[Tech Start Date]],23),IF(Main[[#This Row],[Class]]="B", WORKDAY(Main[[#This Row],[Tech Start Date]],15),IF(Main[[#This Row],[Class]]="A",WORKDAY(Main[[#This Row],[Tech Start Date]],5),""))))</f>
        <v/>
      </c>
      <c r="P723" s="114" t="str">
        <f>IF(Main[[#This Row],[Tech Start Date]]&lt;1/1/1990,"",IF(Main[[#This Row],[Class]]="C",WORKDAY(Main[[#This Row],[Tech Start Date]],28),IF(Main[[#This Row],[Class]]="B", WORKDAY(Main[[#This Row],[Tech Start Date]],19),IF(Main[[#This Row],[Class]]="A",WORKDAY(Main[[#This Row],[Tech Start Date]],9),""))))</f>
        <v/>
      </c>
      <c r="Q723" s="129">
        <v>40427</v>
      </c>
      <c r="R723" s="129"/>
      <c r="S723" s="139" t="s">
        <v>11</v>
      </c>
      <c r="T723" s="115" t="s">
        <v>4</v>
      </c>
      <c r="U723" s="139" t="s">
        <v>14</v>
      </c>
      <c r="V723" s="139" t="s">
        <v>1914</v>
      </c>
      <c r="W723" s="139" t="s">
        <v>1922</v>
      </c>
      <c r="X723" s="139" t="s">
        <v>2843</v>
      </c>
      <c r="Y723" s="112" t="s">
        <v>4</v>
      </c>
      <c r="Z723" s="112" t="s">
        <v>4</v>
      </c>
      <c r="AA723" s="139" t="s">
        <v>2843</v>
      </c>
    </row>
    <row r="724" spans="1:27" ht="17.25" customHeight="1">
      <c r="A724" s="69" t="str">
        <f>IF(priority(Main[[#This Row],[Comments]])&lt;&gt;0, priority(Main[[#This Row],[Comments]]),"")</f>
        <v/>
      </c>
      <c r="B724" s="63" t="s">
        <v>1466</v>
      </c>
      <c r="C724" s="148" t="s">
        <v>4</v>
      </c>
      <c r="D724" s="113" t="s">
        <v>560</v>
      </c>
      <c r="E724" s="129">
        <v>40414.808692129627</v>
      </c>
      <c r="F724" s="129"/>
      <c r="G724" s="69" t="str">
        <f>IF(stdProdLT(Main[[#This Row],[Comments]])=0.1,"N/A",IF(stdProdLT(Main[[#This Row],[Comments]])=0,"",stdProdLT(Main[[#This Row],[Comments]])))</f>
        <v/>
      </c>
      <c r="H724" s="138" t="str">
        <f>IF(Main[[#This Row],[In Stock Date]]="N/A", "N/A",IF(AND(Main[[#This Row],[In Stock Date]]&lt;&gt;"",Main[[#This Row],[Revised Due Date]]&lt;&gt;"",Main[[#This Row],[In Stock Date]]&lt;&gt;""),Main[[#This Row],[In Stock Date]]-Main[[#This Row],[Revised Due Date]],""))</f>
        <v/>
      </c>
      <c r="I724" s="139" t="s">
        <v>4</v>
      </c>
      <c r="J724" s="139" t="s">
        <v>28</v>
      </c>
      <c r="K724" s="139" t="s">
        <v>4</v>
      </c>
      <c r="L724" s="129"/>
      <c r="M724" s="114" t="str">
        <f>IF(Main[[#This Row],[Tech Start Date]]&lt;1/1/1990,"",IF(Main[[#This Row],[Class]]="C",WORKDAY(Main[[#This Row],[Tech Start Date]],9),IF(Main[[#This Row],[Class]]="B", WORKDAY(Main[[#This Row],[Tech Start Date]],6),IF(Main[[#This Row],[Class]]="A",WORKDAY(Main[[#This Row],[Tech Start Date]],2),""))))</f>
        <v/>
      </c>
      <c r="N724" s="114" t="str">
        <f>IF(Main[[#This Row],[Tech Start Date]]&lt;1/1/1990,"",IF(Main[[#This Row],[Class]]="C",WORKDAY(Main[[#This Row],[Tech Start Date]],19),IF(Main[[#This Row],[Class]]="B", WORKDAY(Main[[#This Row],[Tech Start Date]],12),IF(Main[[#This Row],[Class]]="A",WORKDAY(Main[[#This Row],[Tech Start Date]],4),""))))</f>
        <v/>
      </c>
      <c r="O724" s="114" t="str">
        <f>IF(Main[[#This Row],[Tech Start Date]]&lt;1/1/1990,"",IF(Main[[#This Row],[Class]]="C",WORKDAY(Main[[#This Row],[Tech Start Date]],23),IF(Main[[#This Row],[Class]]="B", WORKDAY(Main[[#This Row],[Tech Start Date]],15),IF(Main[[#This Row],[Class]]="A",WORKDAY(Main[[#This Row],[Tech Start Date]],5),""))))</f>
        <v/>
      </c>
      <c r="P724" s="114" t="str">
        <f>IF(Main[[#This Row],[Tech Start Date]]&lt;1/1/1990,"",IF(Main[[#This Row],[Class]]="C",WORKDAY(Main[[#This Row],[Tech Start Date]],28),IF(Main[[#This Row],[Class]]="B", WORKDAY(Main[[#This Row],[Tech Start Date]],19),IF(Main[[#This Row],[Class]]="A",WORKDAY(Main[[#This Row],[Tech Start Date]],9),""))))</f>
        <v/>
      </c>
      <c r="Q724" s="129">
        <v>40429</v>
      </c>
      <c r="R724" s="129"/>
      <c r="S724" s="139" t="s">
        <v>318</v>
      </c>
      <c r="T724" s="115" t="s">
        <v>4</v>
      </c>
      <c r="U724" s="139" t="s">
        <v>7</v>
      </c>
      <c r="V724" s="139" t="s">
        <v>1914</v>
      </c>
      <c r="W724" s="139" t="s">
        <v>1918</v>
      </c>
      <c r="X724" s="139" t="s">
        <v>2821</v>
      </c>
      <c r="Y724" s="112" t="s">
        <v>2936</v>
      </c>
      <c r="Z724" s="112" t="s">
        <v>129</v>
      </c>
      <c r="AA724" s="139" t="s">
        <v>2821</v>
      </c>
    </row>
    <row r="725" spans="1:27" ht="17.25" customHeight="1">
      <c r="A725" s="69" t="str">
        <f>IF(priority(Main[[#This Row],[Comments]])&lt;&gt;0, priority(Main[[#This Row],[Comments]]),"")</f>
        <v/>
      </c>
      <c r="B725" s="63" t="s">
        <v>1502</v>
      </c>
      <c r="C725" s="148" t="s">
        <v>58</v>
      </c>
      <c r="D725" s="113" t="s">
        <v>576</v>
      </c>
      <c r="E725" s="129"/>
      <c r="F725" s="129">
        <v>40697</v>
      </c>
      <c r="G725" s="69" t="str">
        <f>IF(stdProdLT(Main[[#This Row],[Comments]])=0.1,"N/A",IF(stdProdLT(Main[[#This Row],[Comments]])=0,"",stdProdLT(Main[[#This Row],[Comments]])))</f>
        <v/>
      </c>
      <c r="H725" s="138" t="str">
        <f>IF(Main[[#This Row],[In Stock Date]]="N/A", "N/A",IF(AND(Main[[#This Row],[In Stock Date]]&lt;&gt;"",Main[[#This Row],[Revised Due Date]]&lt;&gt;"",Main[[#This Row],[In Stock Date]]&lt;&gt;""),Main[[#This Row],[In Stock Date]]-Main[[#This Row],[Revised Due Date]],""))</f>
        <v/>
      </c>
      <c r="I725" s="139" t="s">
        <v>417</v>
      </c>
      <c r="J725" s="139" t="s">
        <v>75</v>
      </c>
      <c r="K725" s="139" t="s">
        <v>1921</v>
      </c>
      <c r="L725" s="129"/>
      <c r="M725" s="114" t="str">
        <f>IF(Main[[#This Row],[Tech Start Date]]&lt;1/1/1990,"",IF(Main[[#This Row],[Class]]="C",WORKDAY(Main[[#This Row],[Tech Start Date]],9),IF(Main[[#This Row],[Class]]="B", WORKDAY(Main[[#This Row],[Tech Start Date]],6),IF(Main[[#This Row],[Class]]="A",WORKDAY(Main[[#This Row],[Tech Start Date]],2),""))))</f>
        <v/>
      </c>
      <c r="N725" s="114" t="str">
        <f>IF(Main[[#This Row],[Tech Start Date]]&lt;1/1/1990,"",IF(Main[[#This Row],[Class]]="C",WORKDAY(Main[[#This Row],[Tech Start Date]],19),IF(Main[[#This Row],[Class]]="B", WORKDAY(Main[[#This Row],[Tech Start Date]],12),IF(Main[[#This Row],[Class]]="A",WORKDAY(Main[[#This Row],[Tech Start Date]],4),""))))</f>
        <v/>
      </c>
      <c r="O725" s="114" t="str">
        <f>IF(Main[[#This Row],[Tech Start Date]]&lt;1/1/1990,"",IF(Main[[#This Row],[Class]]="C",WORKDAY(Main[[#This Row],[Tech Start Date]],23),IF(Main[[#This Row],[Class]]="B", WORKDAY(Main[[#This Row],[Tech Start Date]],15),IF(Main[[#This Row],[Class]]="A",WORKDAY(Main[[#This Row],[Tech Start Date]],5),""))))</f>
        <v/>
      </c>
      <c r="P725" s="114" t="str">
        <f>IF(Main[[#This Row],[Tech Start Date]]&lt;1/1/1990,"",IF(Main[[#This Row],[Class]]="C",WORKDAY(Main[[#This Row],[Tech Start Date]],28),IF(Main[[#This Row],[Class]]="B", WORKDAY(Main[[#This Row],[Tech Start Date]],19),IF(Main[[#This Row],[Class]]="A",WORKDAY(Main[[#This Row],[Tech Start Date]],9),""))))</f>
        <v/>
      </c>
      <c r="Q725" s="129">
        <v>40539</v>
      </c>
      <c r="R725" s="129"/>
      <c r="S725" s="139" t="s">
        <v>11</v>
      </c>
      <c r="T725" s="115" t="s">
        <v>4</v>
      </c>
      <c r="U725" s="139" t="s">
        <v>14</v>
      </c>
      <c r="V725" s="139" t="s">
        <v>1924</v>
      </c>
      <c r="W725" s="139" t="s">
        <v>1920</v>
      </c>
      <c r="X725" s="139" t="s">
        <v>2829</v>
      </c>
      <c r="Y725" s="112" t="s">
        <v>2951</v>
      </c>
      <c r="Z725" s="112" t="s">
        <v>306</v>
      </c>
      <c r="AA725" s="139" t="s">
        <v>2829</v>
      </c>
    </row>
    <row r="726" spans="1:27" ht="17.25" customHeight="1">
      <c r="A726" s="69" t="str">
        <f>IF(priority(Main[[#This Row],[Comments]])&lt;&gt;0, priority(Main[[#This Row],[Comments]]),"")</f>
        <v/>
      </c>
      <c r="B726" s="63" t="s">
        <v>1504</v>
      </c>
      <c r="C726" s="148" t="s">
        <v>578</v>
      </c>
      <c r="D726" s="113" t="s">
        <v>579</v>
      </c>
      <c r="E726" s="129"/>
      <c r="F726" s="129">
        <v>40596</v>
      </c>
      <c r="G726" s="69" t="str">
        <f>IF(stdProdLT(Main[[#This Row],[Comments]])=0.1,"N/A",IF(stdProdLT(Main[[#This Row],[Comments]])=0,"",stdProdLT(Main[[#This Row],[Comments]])))</f>
        <v/>
      </c>
      <c r="H726" s="138" t="str">
        <f>IF(Main[[#This Row],[In Stock Date]]="N/A", "N/A",IF(AND(Main[[#This Row],[In Stock Date]]&lt;&gt;"",Main[[#This Row],[Revised Due Date]]&lt;&gt;"",Main[[#This Row],[In Stock Date]]&lt;&gt;""),Main[[#This Row],[In Stock Date]]-Main[[#This Row],[Revised Due Date]],""))</f>
        <v/>
      </c>
      <c r="I726" s="139" t="s">
        <v>4</v>
      </c>
      <c r="J726" s="139" t="s">
        <v>28</v>
      </c>
      <c r="K726" s="140" t="s">
        <v>4</v>
      </c>
      <c r="L726" s="129"/>
      <c r="M726" s="114" t="str">
        <f>IF(Main[[#This Row],[Tech Start Date]]&lt;1/1/1990,"",IF(Main[[#This Row],[Class]]="C",WORKDAY(Main[[#This Row],[Tech Start Date]],9),IF(Main[[#This Row],[Class]]="B", WORKDAY(Main[[#This Row],[Tech Start Date]],6),IF(Main[[#This Row],[Class]]="A",WORKDAY(Main[[#This Row],[Tech Start Date]],2),""))))</f>
        <v/>
      </c>
      <c r="N726" s="114" t="str">
        <f>IF(Main[[#This Row],[Tech Start Date]]&lt;1/1/1990,"",IF(Main[[#This Row],[Class]]="C",WORKDAY(Main[[#This Row],[Tech Start Date]],19),IF(Main[[#This Row],[Class]]="B", WORKDAY(Main[[#This Row],[Tech Start Date]],12),IF(Main[[#This Row],[Class]]="A",WORKDAY(Main[[#This Row],[Tech Start Date]],4),""))))</f>
        <v/>
      </c>
      <c r="O726" s="114" t="str">
        <f>IF(Main[[#This Row],[Tech Start Date]]&lt;1/1/1990,"",IF(Main[[#This Row],[Class]]="C",WORKDAY(Main[[#This Row],[Tech Start Date]],23),IF(Main[[#This Row],[Class]]="B", WORKDAY(Main[[#This Row],[Tech Start Date]],15),IF(Main[[#This Row],[Class]]="A",WORKDAY(Main[[#This Row],[Tech Start Date]],5),""))))</f>
        <v/>
      </c>
      <c r="P726" s="114" t="str">
        <f>IF(Main[[#This Row],[Tech Start Date]]&lt;1/1/1990,"",IF(Main[[#This Row],[Class]]="C",WORKDAY(Main[[#This Row],[Tech Start Date]],28),IF(Main[[#This Row],[Class]]="B", WORKDAY(Main[[#This Row],[Tech Start Date]],19),IF(Main[[#This Row],[Class]]="A",WORKDAY(Main[[#This Row],[Tech Start Date]],9),""))))</f>
        <v/>
      </c>
      <c r="Q726" s="129">
        <v>40414</v>
      </c>
      <c r="R726" s="129"/>
      <c r="S726" s="139" t="s">
        <v>11</v>
      </c>
      <c r="T726" s="115" t="s">
        <v>4</v>
      </c>
      <c r="U726" s="139" t="s">
        <v>14</v>
      </c>
      <c r="V726" s="139" t="s">
        <v>1917</v>
      </c>
      <c r="W726" s="139" t="s">
        <v>1919</v>
      </c>
      <c r="X726" s="139" t="s">
        <v>2826</v>
      </c>
      <c r="Y726" s="112" t="s">
        <v>2946</v>
      </c>
      <c r="Z726" s="112" t="s">
        <v>530</v>
      </c>
      <c r="AA726" s="139" t="s">
        <v>2826</v>
      </c>
    </row>
    <row r="727" spans="1:27" ht="17.25" customHeight="1">
      <c r="A727" s="69" t="str">
        <f>IF(priority(Main[[#This Row],[Comments]])&lt;&gt;0, priority(Main[[#This Row],[Comments]]),"")</f>
        <v/>
      </c>
      <c r="B727" s="63" t="s">
        <v>1505</v>
      </c>
      <c r="C727" s="148" t="s">
        <v>580</v>
      </c>
      <c r="D727" s="113" t="s">
        <v>581</v>
      </c>
      <c r="E727" s="129"/>
      <c r="F727" s="129"/>
      <c r="G727" s="69" t="str">
        <f>IF(stdProdLT(Main[[#This Row],[Comments]])=0.1,"N/A",IF(stdProdLT(Main[[#This Row],[Comments]])=0,"",stdProdLT(Main[[#This Row],[Comments]])))</f>
        <v/>
      </c>
      <c r="H727" s="138" t="str">
        <f>IF(Main[[#This Row],[In Stock Date]]="N/A", "N/A",IF(AND(Main[[#This Row],[In Stock Date]]&lt;&gt;"",Main[[#This Row],[Revised Due Date]]&lt;&gt;"",Main[[#This Row],[In Stock Date]]&lt;&gt;""),Main[[#This Row],[In Stock Date]]-Main[[#This Row],[Revised Due Date]],""))</f>
        <v/>
      </c>
      <c r="I727" s="139" t="s">
        <v>4</v>
      </c>
      <c r="J727" s="139" t="s">
        <v>4</v>
      </c>
      <c r="K727" s="139" t="s">
        <v>4</v>
      </c>
      <c r="L727" s="129"/>
      <c r="M727" s="114" t="str">
        <f>IF(Main[[#This Row],[Tech Start Date]]&lt;1/1/1990,"",IF(Main[[#This Row],[Class]]="C",WORKDAY(Main[[#This Row],[Tech Start Date]],9),IF(Main[[#This Row],[Class]]="B", WORKDAY(Main[[#This Row],[Tech Start Date]],6),IF(Main[[#This Row],[Class]]="A",WORKDAY(Main[[#This Row],[Tech Start Date]],2),""))))</f>
        <v/>
      </c>
      <c r="N727" s="114" t="str">
        <f>IF(Main[[#This Row],[Tech Start Date]]&lt;1/1/1990,"",IF(Main[[#This Row],[Class]]="C",WORKDAY(Main[[#This Row],[Tech Start Date]],19),IF(Main[[#This Row],[Class]]="B", WORKDAY(Main[[#This Row],[Tech Start Date]],12),IF(Main[[#This Row],[Class]]="A",WORKDAY(Main[[#This Row],[Tech Start Date]],4),""))))</f>
        <v/>
      </c>
      <c r="O727" s="114" t="str">
        <f>IF(Main[[#This Row],[Tech Start Date]]&lt;1/1/1990,"",IF(Main[[#This Row],[Class]]="C",WORKDAY(Main[[#This Row],[Tech Start Date]],23),IF(Main[[#This Row],[Class]]="B", WORKDAY(Main[[#This Row],[Tech Start Date]],15),IF(Main[[#This Row],[Class]]="A",WORKDAY(Main[[#This Row],[Tech Start Date]],5),""))))</f>
        <v/>
      </c>
      <c r="P727" s="114" t="str">
        <f>IF(Main[[#This Row],[Tech Start Date]]&lt;1/1/1990,"",IF(Main[[#This Row],[Class]]="C",WORKDAY(Main[[#This Row],[Tech Start Date]],28),IF(Main[[#This Row],[Class]]="B", WORKDAY(Main[[#This Row],[Tech Start Date]],19),IF(Main[[#This Row],[Class]]="A",WORKDAY(Main[[#This Row],[Tech Start Date]],9),""))))</f>
        <v/>
      </c>
      <c r="Q727" s="129">
        <v>40476</v>
      </c>
      <c r="R727" s="129"/>
      <c r="S727" s="139" t="s">
        <v>11</v>
      </c>
      <c r="T727" s="115" t="s">
        <v>4</v>
      </c>
      <c r="U727" s="139" t="s">
        <v>14</v>
      </c>
      <c r="V727" s="139" t="s">
        <v>1914</v>
      </c>
      <c r="W727" s="139" t="s">
        <v>1922</v>
      </c>
      <c r="X727" s="139" t="s">
        <v>2879</v>
      </c>
      <c r="Y727" s="112" t="s">
        <v>3027</v>
      </c>
      <c r="Z727" s="112" t="s">
        <v>4</v>
      </c>
      <c r="AA727" s="139" t="s">
        <v>2879</v>
      </c>
    </row>
    <row r="728" spans="1:27" ht="17.25" customHeight="1">
      <c r="A728" s="69" t="str">
        <f>IF(priority(Main[[#This Row],[Comments]])&lt;&gt;0, priority(Main[[#This Row],[Comments]]),"")</f>
        <v/>
      </c>
      <c r="B728" s="63" t="s">
        <v>1506</v>
      </c>
      <c r="C728" s="148" t="s">
        <v>31</v>
      </c>
      <c r="D728" s="113" t="s">
        <v>582</v>
      </c>
      <c r="E728" s="129"/>
      <c r="F728" s="129">
        <v>40330</v>
      </c>
      <c r="G728" s="69" t="str">
        <f>IF(stdProdLT(Main[[#This Row],[Comments]])=0.1,"N/A",IF(stdProdLT(Main[[#This Row],[Comments]])=0,"",stdProdLT(Main[[#This Row],[Comments]])))</f>
        <v/>
      </c>
      <c r="H728" s="138" t="str">
        <f>IF(Main[[#This Row],[In Stock Date]]="N/A", "N/A",IF(AND(Main[[#This Row],[In Stock Date]]&lt;&gt;"",Main[[#This Row],[Revised Due Date]]&lt;&gt;"",Main[[#This Row],[In Stock Date]]&lt;&gt;""),Main[[#This Row],[In Stock Date]]-Main[[#This Row],[Revised Due Date]],""))</f>
        <v/>
      </c>
      <c r="I728" s="139" t="s">
        <v>4</v>
      </c>
      <c r="J728" s="139" t="s">
        <v>4</v>
      </c>
      <c r="K728" s="139" t="s">
        <v>4</v>
      </c>
      <c r="L728" s="129"/>
      <c r="M728" s="114" t="str">
        <f>IF(Main[[#This Row],[Tech Start Date]]&lt;1/1/1990,"",IF(Main[[#This Row],[Class]]="C",WORKDAY(Main[[#This Row],[Tech Start Date]],9),IF(Main[[#This Row],[Class]]="B", WORKDAY(Main[[#This Row],[Tech Start Date]],6),IF(Main[[#This Row],[Class]]="A",WORKDAY(Main[[#This Row],[Tech Start Date]],2),""))))</f>
        <v/>
      </c>
      <c r="N728" s="114" t="str">
        <f>IF(Main[[#This Row],[Tech Start Date]]&lt;1/1/1990,"",IF(Main[[#This Row],[Class]]="C",WORKDAY(Main[[#This Row],[Tech Start Date]],19),IF(Main[[#This Row],[Class]]="B", WORKDAY(Main[[#This Row],[Tech Start Date]],12),IF(Main[[#This Row],[Class]]="A",WORKDAY(Main[[#This Row],[Tech Start Date]],4),""))))</f>
        <v/>
      </c>
      <c r="O728" s="114" t="str">
        <f>IF(Main[[#This Row],[Tech Start Date]]&lt;1/1/1990,"",IF(Main[[#This Row],[Class]]="C",WORKDAY(Main[[#This Row],[Tech Start Date]],23),IF(Main[[#This Row],[Class]]="B", WORKDAY(Main[[#This Row],[Tech Start Date]],15),IF(Main[[#This Row],[Class]]="A",WORKDAY(Main[[#This Row],[Tech Start Date]],5),""))))</f>
        <v/>
      </c>
      <c r="P728" s="114" t="str">
        <f>IF(Main[[#This Row],[Tech Start Date]]&lt;1/1/1990,"",IF(Main[[#This Row],[Class]]="C",WORKDAY(Main[[#This Row],[Tech Start Date]],28),IF(Main[[#This Row],[Class]]="B", WORKDAY(Main[[#This Row],[Tech Start Date]],19),IF(Main[[#This Row],[Class]]="A",WORKDAY(Main[[#This Row],[Tech Start Date]],9),""))))</f>
        <v/>
      </c>
      <c r="Q728" s="129">
        <v>40210</v>
      </c>
      <c r="R728" s="129"/>
      <c r="S728" s="139" t="s">
        <v>11</v>
      </c>
      <c r="T728" s="115" t="s">
        <v>4</v>
      </c>
      <c r="U728" s="139" t="s">
        <v>14</v>
      </c>
      <c r="V728" s="139" t="s">
        <v>1915</v>
      </c>
      <c r="W728" s="139" t="s">
        <v>1920</v>
      </c>
      <c r="X728" s="139" t="s">
        <v>2824</v>
      </c>
      <c r="Y728" s="112" t="s">
        <v>2943</v>
      </c>
      <c r="Z728" s="112" t="s">
        <v>4</v>
      </c>
      <c r="AA728" s="139" t="s">
        <v>2824</v>
      </c>
    </row>
    <row r="729" spans="1:27" ht="17.25" customHeight="1">
      <c r="A729" s="69" t="str">
        <f>IF(priority(Main[[#This Row],[Comments]])&lt;&gt;0, priority(Main[[#This Row],[Comments]]),"")</f>
        <v/>
      </c>
      <c r="B729" s="63" t="s">
        <v>1507</v>
      </c>
      <c r="C729" s="148" t="s">
        <v>4</v>
      </c>
      <c r="D729" s="113" t="s">
        <v>583</v>
      </c>
      <c r="E729" s="129"/>
      <c r="F729" s="129"/>
      <c r="G729" s="69" t="str">
        <f>IF(stdProdLT(Main[[#This Row],[Comments]])=0.1,"N/A",IF(stdProdLT(Main[[#This Row],[Comments]])=0,"",stdProdLT(Main[[#This Row],[Comments]])))</f>
        <v/>
      </c>
      <c r="H729" s="138" t="str">
        <f>IF(Main[[#This Row],[In Stock Date]]="N/A", "N/A",IF(AND(Main[[#This Row],[In Stock Date]]&lt;&gt;"",Main[[#This Row],[Revised Due Date]]&lt;&gt;"",Main[[#This Row],[In Stock Date]]&lt;&gt;""),Main[[#This Row],[In Stock Date]]-Main[[#This Row],[Revised Due Date]],""))</f>
        <v/>
      </c>
      <c r="I729" s="139" t="s">
        <v>4</v>
      </c>
      <c r="J729" s="139" t="s">
        <v>4</v>
      </c>
      <c r="K729" s="139" t="s">
        <v>4</v>
      </c>
      <c r="L729" s="129"/>
      <c r="M729" s="114" t="str">
        <f>IF(Main[[#This Row],[Tech Start Date]]&lt;1/1/1990,"",IF(Main[[#This Row],[Class]]="C",WORKDAY(Main[[#This Row],[Tech Start Date]],9),IF(Main[[#This Row],[Class]]="B", WORKDAY(Main[[#This Row],[Tech Start Date]],6),IF(Main[[#This Row],[Class]]="A",WORKDAY(Main[[#This Row],[Tech Start Date]],2),""))))</f>
        <v/>
      </c>
      <c r="N729" s="114" t="str">
        <f>IF(Main[[#This Row],[Tech Start Date]]&lt;1/1/1990,"",IF(Main[[#This Row],[Class]]="C",WORKDAY(Main[[#This Row],[Tech Start Date]],19),IF(Main[[#This Row],[Class]]="B", WORKDAY(Main[[#This Row],[Tech Start Date]],12),IF(Main[[#This Row],[Class]]="A",WORKDAY(Main[[#This Row],[Tech Start Date]],4),""))))</f>
        <v/>
      </c>
      <c r="O729" s="114" t="str">
        <f>IF(Main[[#This Row],[Tech Start Date]]&lt;1/1/1990,"",IF(Main[[#This Row],[Class]]="C",WORKDAY(Main[[#This Row],[Tech Start Date]],23),IF(Main[[#This Row],[Class]]="B", WORKDAY(Main[[#This Row],[Tech Start Date]],15),IF(Main[[#This Row],[Class]]="A",WORKDAY(Main[[#This Row],[Tech Start Date]],5),""))))</f>
        <v/>
      </c>
      <c r="P729" s="114" t="str">
        <f>IF(Main[[#This Row],[Tech Start Date]]&lt;1/1/1990,"",IF(Main[[#This Row],[Class]]="C",WORKDAY(Main[[#This Row],[Tech Start Date]],28),IF(Main[[#This Row],[Class]]="B", WORKDAY(Main[[#This Row],[Tech Start Date]],19),IF(Main[[#This Row],[Class]]="A",WORKDAY(Main[[#This Row],[Tech Start Date]],9),""))))</f>
        <v/>
      </c>
      <c r="Q729" s="129">
        <v>40543</v>
      </c>
      <c r="R729" s="129"/>
      <c r="S729" s="139" t="s">
        <v>17</v>
      </c>
      <c r="T729" s="115" t="s">
        <v>4</v>
      </c>
      <c r="U729" s="139" t="s">
        <v>14</v>
      </c>
      <c r="V729" s="139" t="s">
        <v>1929</v>
      </c>
      <c r="W729" s="139" t="s">
        <v>1916</v>
      </c>
      <c r="X729" s="139" t="s">
        <v>129</v>
      </c>
      <c r="Y729" s="112" t="s">
        <v>2933</v>
      </c>
      <c r="Z729" s="112" t="s">
        <v>4</v>
      </c>
      <c r="AA729" s="139" t="s">
        <v>129</v>
      </c>
    </row>
    <row r="730" spans="1:27" ht="17.25" customHeight="1">
      <c r="A730" s="69" t="str">
        <f>IF(priority(Main[[#This Row],[Comments]])&lt;&gt;0, priority(Main[[#This Row],[Comments]]),"")</f>
        <v/>
      </c>
      <c r="B730" s="63" t="s">
        <v>1508</v>
      </c>
      <c r="C730" s="148" t="s">
        <v>378</v>
      </c>
      <c r="D730" s="113" t="s">
        <v>584</v>
      </c>
      <c r="E730" s="129"/>
      <c r="F730" s="129">
        <v>40228</v>
      </c>
      <c r="G730" s="69" t="str">
        <f>IF(stdProdLT(Main[[#This Row],[Comments]])=0.1,"N/A",IF(stdProdLT(Main[[#This Row],[Comments]])=0,"",stdProdLT(Main[[#This Row],[Comments]])))</f>
        <v/>
      </c>
      <c r="H730" s="138" t="str">
        <f>IF(Main[[#This Row],[In Stock Date]]="N/A", "N/A",IF(AND(Main[[#This Row],[In Stock Date]]&lt;&gt;"",Main[[#This Row],[Revised Due Date]]&lt;&gt;"",Main[[#This Row],[In Stock Date]]&lt;&gt;""),Main[[#This Row],[In Stock Date]]-Main[[#This Row],[Revised Due Date]],""))</f>
        <v/>
      </c>
      <c r="I730" s="139" t="s">
        <v>4</v>
      </c>
      <c r="J730" s="139" t="s">
        <v>4</v>
      </c>
      <c r="K730" s="139" t="s">
        <v>4</v>
      </c>
      <c r="L730" s="129"/>
      <c r="M730" s="114" t="str">
        <f>IF(Main[[#This Row],[Tech Start Date]]&lt;1/1/1990,"",IF(Main[[#This Row],[Class]]="C",WORKDAY(Main[[#This Row],[Tech Start Date]],9),IF(Main[[#This Row],[Class]]="B", WORKDAY(Main[[#This Row],[Tech Start Date]],6),IF(Main[[#This Row],[Class]]="A",WORKDAY(Main[[#This Row],[Tech Start Date]],2),""))))</f>
        <v/>
      </c>
      <c r="N730" s="114" t="str">
        <f>IF(Main[[#This Row],[Tech Start Date]]&lt;1/1/1990,"",IF(Main[[#This Row],[Class]]="C",WORKDAY(Main[[#This Row],[Tech Start Date]],19),IF(Main[[#This Row],[Class]]="B", WORKDAY(Main[[#This Row],[Tech Start Date]],12),IF(Main[[#This Row],[Class]]="A",WORKDAY(Main[[#This Row],[Tech Start Date]],4),""))))</f>
        <v/>
      </c>
      <c r="O730" s="114" t="str">
        <f>IF(Main[[#This Row],[Tech Start Date]]&lt;1/1/1990,"",IF(Main[[#This Row],[Class]]="C",WORKDAY(Main[[#This Row],[Tech Start Date]],23),IF(Main[[#This Row],[Class]]="B", WORKDAY(Main[[#This Row],[Tech Start Date]],15),IF(Main[[#This Row],[Class]]="A",WORKDAY(Main[[#This Row],[Tech Start Date]],5),""))))</f>
        <v/>
      </c>
      <c r="P730" s="114" t="str">
        <f>IF(Main[[#This Row],[Tech Start Date]]&lt;1/1/1990,"",IF(Main[[#This Row],[Class]]="C",WORKDAY(Main[[#This Row],[Tech Start Date]],28),IF(Main[[#This Row],[Class]]="B", WORKDAY(Main[[#This Row],[Tech Start Date]],19),IF(Main[[#This Row],[Class]]="A",WORKDAY(Main[[#This Row],[Tech Start Date]],9),""))))</f>
        <v/>
      </c>
      <c r="Q730" s="129">
        <v>40153</v>
      </c>
      <c r="R730" s="129"/>
      <c r="S730" s="139" t="s">
        <v>11</v>
      </c>
      <c r="T730" s="115" t="s">
        <v>4</v>
      </c>
      <c r="U730" s="139" t="s">
        <v>14</v>
      </c>
      <c r="V730" s="139" t="s">
        <v>1917</v>
      </c>
      <c r="W730" s="139" t="s">
        <v>1922</v>
      </c>
      <c r="X730" s="139" t="s">
        <v>2863</v>
      </c>
      <c r="Y730" s="112" t="s">
        <v>4</v>
      </c>
      <c r="Z730" s="112" t="s">
        <v>4</v>
      </c>
      <c r="AA730" s="139" t="s">
        <v>2863</v>
      </c>
    </row>
    <row r="731" spans="1:27" ht="17.25" customHeight="1">
      <c r="A731" s="69" t="str">
        <f>IF(priority(Main[[#This Row],[Comments]])&lt;&gt;0, priority(Main[[#This Row],[Comments]]),"")</f>
        <v/>
      </c>
      <c r="B731" s="63" t="s">
        <v>1509</v>
      </c>
      <c r="C731" s="148" t="s">
        <v>275</v>
      </c>
      <c r="D731" s="113" t="s">
        <v>585</v>
      </c>
      <c r="E731" s="129"/>
      <c r="F731" s="129">
        <v>40186</v>
      </c>
      <c r="G731" s="69" t="str">
        <f>IF(stdProdLT(Main[[#This Row],[Comments]])=0.1,"N/A",IF(stdProdLT(Main[[#This Row],[Comments]])=0,"",stdProdLT(Main[[#This Row],[Comments]])))</f>
        <v/>
      </c>
      <c r="H731" s="138" t="str">
        <f>IF(Main[[#This Row],[In Stock Date]]="N/A", "N/A",IF(AND(Main[[#This Row],[In Stock Date]]&lt;&gt;"",Main[[#This Row],[Revised Due Date]]&lt;&gt;"",Main[[#This Row],[In Stock Date]]&lt;&gt;""),Main[[#This Row],[In Stock Date]]-Main[[#This Row],[Revised Due Date]],""))</f>
        <v/>
      </c>
      <c r="I731" s="139" t="s">
        <v>4</v>
      </c>
      <c r="J731" s="139" t="s">
        <v>4</v>
      </c>
      <c r="K731" s="139" t="s">
        <v>4</v>
      </c>
      <c r="L731" s="129"/>
      <c r="M731" s="114" t="str">
        <f>IF(Main[[#This Row],[Tech Start Date]]&lt;1/1/1990,"",IF(Main[[#This Row],[Class]]="C",WORKDAY(Main[[#This Row],[Tech Start Date]],9),IF(Main[[#This Row],[Class]]="B", WORKDAY(Main[[#This Row],[Tech Start Date]],6),IF(Main[[#This Row],[Class]]="A",WORKDAY(Main[[#This Row],[Tech Start Date]],2),""))))</f>
        <v/>
      </c>
      <c r="N731" s="114" t="str">
        <f>IF(Main[[#This Row],[Tech Start Date]]&lt;1/1/1990,"",IF(Main[[#This Row],[Class]]="C",WORKDAY(Main[[#This Row],[Tech Start Date]],19),IF(Main[[#This Row],[Class]]="B", WORKDAY(Main[[#This Row],[Tech Start Date]],12),IF(Main[[#This Row],[Class]]="A",WORKDAY(Main[[#This Row],[Tech Start Date]],4),""))))</f>
        <v/>
      </c>
      <c r="O731" s="114" t="str">
        <f>IF(Main[[#This Row],[Tech Start Date]]&lt;1/1/1990,"",IF(Main[[#This Row],[Class]]="C",WORKDAY(Main[[#This Row],[Tech Start Date]],23),IF(Main[[#This Row],[Class]]="B", WORKDAY(Main[[#This Row],[Tech Start Date]],15),IF(Main[[#This Row],[Class]]="A",WORKDAY(Main[[#This Row],[Tech Start Date]],5),""))))</f>
        <v/>
      </c>
      <c r="P731" s="114" t="str">
        <f>IF(Main[[#This Row],[Tech Start Date]]&lt;1/1/1990,"",IF(Main[[#This Row],[Class]]="C",WORKDAY(Main[[#This Row],[Tech Start Date]],28),IF(Main[[#This Row],[Class]]="B", WORKDAY(Main[[#This Row],[Tech Start Date]],19),IF(Main[[#This Row],[Class]]="A",WORKDAY(Main[[#This Row],[Tech Start Date]],9),""))))</f>
        <v/>
      </c>
      <c r="Q731" s="129">
        <v>40186</v>
      </c>
      <c r="R731" s="129"/>
      <c r="S731" s="139" t="s">
        <v>11</v>
      </c>
      <c r="T731" s="115" t="s">
        <v>4</v>
      </c>
      <c r="U731" s="139" t="s">
        <v>14</v>
      </c>
      <c r="V731" s="139" t="s">
        <v>1917</v>
      </c>
      <c r="W731" s="139" t="s">
        <v>1922</v>
      </c>
      <c r="X731" s="139" t="s">
        <v>2842</v>
      </c>
      <c r="Y731" s="112" t="s">
        <v>4</v>
      </c>
      <c r="Z731" s="112" t="s">
        <v>4</v>
      </c>
      <c r="AA731" s="139" t="s">
        <v>2842</v>
      </c>
    </row>
    <row r="732" spans="1:27" ht="17.25" customHeight="1">
      <c r="A732" s="69" t="str">
        <f>IF(priority(Main[[#This Row],[Comments]])&lt;&gt;0, priority(Main[[#This Row],[Comments]]),"")</f>
        <v/>
      </c>
      <c r="B732" s="63" t="s">
        <v>2258</v>
      </c>
      <c r="C732" s="148" t="s">
        <v>2254</v>
      </c>
      <c r="D732" s="113" t="s">
        <v>2255</v>
      </c>
      <c r="E732" s="129"/>
      <c r="F732" s="129"/>
      <c r="G732" s="69" t="str">
        <f>IF(stdProdLT(Main[[#This Row],[Comments]])=0.1,"N/A",IF(stdProdLT(Main[[#This Row],[Comments]])=0,"",stdProdLT(Main[[#This Row],[Comments]])))</f>
        <v/>
      </c>
      <c r="H732" s="138" t="str">
        <f>IF(Main[[#This Row],[In Stock Date]]="N/A", "N/A",IF(AND(Main[[#This Row],[In Stock Date]]&lt;&gt;"",Main[[#This Row],[Revised Due Date]]&lt;&gt;"",Main[[#This Row],[In Stock Date]]&lt;&gt;""),Main[[#This Row],[In Stock Date]]-Main[[#This Row],[Revised Due Date]],""))</f>
        <v/>
      </c>
      <c r="I732" s="139" t="s">
        <v>4</v>
      </c>
      <c r="J732" s="139" t="s">
        <v>4</v>
      </c>
      <c r="K732" s="139" t="s">
        <v>4</v>
      </c>
      <c r="L732" s="129"/>
      <c r="M732" s="114" t="str">
        <f>IF(Main[[#This Row],[Tech Start Date]]&lt;1/1/1990,"",IF(Main[[#This Row],[Class]]="C",WORKDAY(Main[[#This Row],[Tech Start Date]],9),IF(Main[[#This Row],[Class]]="B", WORKDAY(Main[[#This Row],[Tech Start Date]],6),IF(Main[[#This Row],[Class]]="A",WORKDAY(Main[[#This Row],[Tech Start Date]],2),""))))</f>
        <v/>
      </c>
      <c r="N732" s="114" t="str">
        <f>IF(Main[[#This Row],[Tech Start Date]]&lt;1/1/1990,"",IF(Main[[#This Row],[Class]]="C",WORKDAY(Main[[#This Row],[Tech Start Date]],19),IF(Main[[#This Row],[Class]]="B", WORKDAY(Main[[#This Row],[Tech Start Date]],12),IF(Main[[#This Row],[Class]]="A",WORKDAY(Main[[#This Row],[Tech Start Date]],4),""))))</f>
        <v/>
      </c>
      <c r="O732" s="114" t="str">
        <f>IF(Main[[#This Row],[Tech Start Date]]&lt;1/1/1990,"",IF(Main[[#This Row],[Class]]="C",WORKDAY(Main[[#This Row],[Tech Start Date]],23),IF(Main[[#This Row],[Class]]="B", WORKDAY(Main[[#This Row],[Tech Start Date]],15),IF(Main[[#This Row],[Class]]="A",WORKDAY(Main[[#This Row],[Tech Start Date]],5),""))))</f>
        <v/>
      </c>
      <c r="P732" s="114" t="str">
        <f>IF(Main[[#This Row],[Tech Start Date]]&lt;1/1/1990,"",IF(Main[[#This Row],[Class]]="C",WORKDAY(Main[[#This Row],[Tech Start Date]],28),IF(Main[[#This Row],[Class]]="B", WORKDAY(Main[[#This Row],[Tech Start Date]],19),IF(Main[[#This Row],[Class]]="A",WORKDAY(Main[[#This Row],[Tech Start Date]],9),""))))</f>
        <v/>
      </c>
      <c r="Q732" s="129">
        <v>40806</v>
      </c>
      <c r="R732" s="129"/>
      <c r="S732" s="139" t="s">
        <v>6</v>
      </c>
      <c r="T732" s="115" t="s">
        <v>4</v>
      </c>
      <c r="U732" s="139" t="s">
        <v>12</v>
      </c>
      <c r="V732" s="139" t="s">
        <v>1915</v>
      </c>
      <c r="W732" s="139" t="s">
        <v>1922</v>
      </c>
      <c r="X732" s="139" t="s">
        <v>2879</v>
      </c>
      <c r="Y732" s="112" t="s">
        <v>3027</v>
      </c>
      <c r="Z732" s="112" t="s">
        <v>4</v>
      </c>
      <c r="AA732" s="139" t="s">
        <v>2879</v>
      </c>
    </row>
    <row r="733" spans="1:27" ht="17.25" customHeight="1">
      <c r="A733" s="69" t="str">
        <f>IF(priority(Main[[#This Row],[Comments]])&lt;&gt;0, priority(Main[[#This Row],[Comments]]),"")</f>
        <v/>
      </c>
      <c r="B733" s="63" t="s">
        <v>1510</v>
      </c>
      <c r="C733" s="148" t="s">
        <v>93</v>
      </c>
      <c r="D733" s="113" t="s">
        <v>586</v>
      </c>
      <c r="E733" s="129"/>
      <c r="F733" s="129">
        <v>40302</v>
      </c>
      <c r="G733" s="69" t="str">
        <f>IF(stdProdLT(Main[[#This Row],[Comments]])=0.1,"N/A",IF(stdProdLT(Main[[#This Row],[Comments]])=0,"",stdProdLT(Main[[#This Row],[Comments]])))</f>
        <v/>
      </c>
      <c r="H733" s="138" t="str">
        <f>IF(Main[[#This Row],[In Stock Date]]="N/A", "N/A",IF(AND(Main[[#This Row],[In Stock Date]]&lt;&gt;"",Main[[#This Row],[Revised Due Date]]&lt;&gt;"",Main[[#This Row],[In Stock Date]]&lt;&gt;""),Main[[#This Row],[In Stock Date]]-Main[[#This Row],[Revised Due Date]],""))</f>
        <v/>
      </c>
      <c r="I733" s="139" t="s">
        <v>4</v>
      </c>
      <c r="J733" s="139" t="s">
        <v>4</v>
      </c>
      <c r="K733" s="139" t="s">
        <v>4</v>
      </c>
      <c r="L733" s="129"/>
      <c r="M733" s="114" t="str">
        <f>IF(Main[[#This Row],[Tech Start Date]]&lt;1/1/1990,"",IF(Main[[#This Row],[Class]]="C",WORKDAY(Main[[#This Row],[Tech Start Date]],9),IF(Main[[#This Row],[Class]]="B", WORKDAY(Main[[#This Row],[Tech Start Date]],6),IF(Main[[#This Row],[Class]]="A",WORKDAY(Main[[#This Row],[Tech Start Date]],2),""))))</f>
        <v/>
      </c>
      <c r="N733" s="114" t="str">
        <f>IF(Main[[#This Row],[Tech Start Date]]&lt;1/1/1990,"",IF(Main[[#This Row],[Class]]="C",WORKDAY(Main[[#This Row],[Tech Start Date]],19),IF(Main[[#This Row],[Class]]="B", WORKDAY(Main[[#This Row],[Tech Start Date]],12),IF(Main[[#This Row],[Class]]="A",WORKDAY(Main[[#This Row],[Tech Start Date]],4),""))))</f>
        <v/>
      </c>
      <c r="O733" s="114" t="str">
        <f>IF(Main[[#This Row],[Tech Start Date]]&lt;1/1/1990,"",IF(Main[[#This Row],[Class]]="C",WORKDAY(Main[[#This Row],[Tech Start Date]],23),IF(Main[[#This Row],[Class]]="B", WORKDAY(Main[[#This Row],[Tech Start Date]],15),IF(Main[[#This Row],[Class]]="A",WORKDAY(Main[[#This Row],[Tech Start Date]],5),""))))</f>
        <v/>
      </c>
      <c r="P733" s="114" t="str">
        <f>IF(Main[[#This Row],[Tech Start Date]]&lt;1/1/1990,"",IF(Main[[#This Row],[Class]]="C",WORKDAY(Main[[#This Row],[Tech Start Date]],28),IF(Main[[#This Row],[Class]]="B", WORKDAY(Main[[#This Row],[Tech Start Date]],19),IF(Main[[#This Row],[Class]]="A",WORKDAY(Main[[#This Row],[Tech Start Date]],9),""))))</f>
        <v/>
      </c>
      <c r="Q733" s="129">
        <v>40190</v>
      </c>
      <c r="R733" s="129"/>
      <c r="S733" s="139" t="s">
        <v>11</v>
      </c>
      <c r="T733" s="115" t="s">
        <v>4</v>
      </c>
      <c r="U733" s="139" t="s">
        <v>12</v>
      </c>
      <c r="V733" s="139" t="s">
        <v>1924</v>
      </c>
      <c r="W733" s="139" t="s">
        <v>1920</v>
      </c>
      <c r="X733" s="139" t="s">
        <v>2898</v>
      </c>
      <c r="Y733" s="112" t="s">
        <v>4</v>
      </c>
      <c r="Z733" s="112" t="s">
        <v>4</v>
      </c>
      <c r="AA733" s="139" t="s">
        <v>2898</v>
      </c>
    </row>
    <row r="734" spans="1:27" ht="17.25" customHeight="1">
      <c r="A734" s="69" t="str">
        <f>IF(priority(Main[[#This Row],[Comments]])&lt;&gt;0, priority(Main[[#This Row],[Comments]]),"")</f>
        <v/>
      </c>
      <c r="B734" s="63" t="s">
        <v>1511</v>
      </c>
      <c r="C734" s="148" t="s">
        <v>4</v>
      </c>
      <c r="D734" s="113" t="s">
        <v>587</v>
      </c>
      <c r="E734" s="129"/>
      <c r="F734" s="129">
        <v>40330</v>
      </c>
      <c r="G734" s="69" t="str">
        <f>IF(stdProdLT(Main[[#This Row],[Comments]])=0.1,"N/A",IF(stdProdLT(Main[[#This Row],[Comments]])=0,"",stdProdLT(Main[[#This Row],[Comments]])))</f>
        <v/>
      </c>
      <c r="H734" s="138" t="str">
        <f>IF(Main[[#This Row],[In Stock Date]]="N/A", "N/A",IF(AND(Main[[#This Row],[In Stock Date]]&lt;&gt;"",Main[[#This Row],[Revised Due Date]]&lt;&gt;"",Main[[#This Row],[In Stock Date]]&lt;&gt;""),Main[[#This Row],[In Stock Date]]-Main[[#This Row],[Revised Due Date]],""))</f>
        <v/>
      </c>
      <c r="I734" s="139" t="s">
        <v>4</v>
      </c>
      <c r="J734" s="139" t="s">
        <v>4</v>
      </c>
      <c r="K734" s="140" t="s">
        <v>4</v>
      </c>
      <c r="L734" s="129"/>
      <c r="M734" s="114" t="str">
        <f>IF(Main[[#This Row],[Tech Start Date]]&lt;1/1/1990,"",IF(Main[[#This Row],[Class]]="C",WORKDAY(Main[[#This Row],[Tech Start Date]],9),IF(Main[[#This Row],[Class]]="B", WORKDAY(Main[[#This Row],[Tech Start Date]],6),IF(Main[[#This Row],[Class]]="A",WORKDAY(Main[[#This Row],[Tech Start Date]],2),""))))</f>
        <v/>
      </c>
      <c r="N734" s="114" t="str">
        <f>IF(Main[[#This Row],[Tech Start Date]]&lt;1/1/1990,"",IF(Main[[#This Row],[Class]]="C",WORKDAY(Main[[#This Row],[Tech Start Date]],19),IF(Main[[#This Row],[Class]]="B", WORKDAY(Main[[#This Row],[Tech Start Date]],12),IF(Main[[#This Row],[Class]]="A",WORKDAY(Main[[#This Row],[Tech Start Date]],4),""))))</f>
        <v/>
      </c>
      <c r="O734" s="114" t="str">
        <f>IF(Main[[#This Row],[Tech Start Date]]&lt;1/1/1990,"",IF(Main[[#This Row],[Class]]="C",WORKDAY(Main[[#This Row],[Tech Start Date]],23),IF(Main[[#This Row],[Class]]="B", WORKDAY(Main[[#This Row],[Tech Start Date]],15),IF(Main[[#This Row],[Class]]="A",WORKDAY(Main[[#This Row],[Tech Start Date]],5),""))))</f>
        <v/>
      </c>
      <c r="P734" s="114" t="str">
        <f>IF(Main[[#This Row],[Tech Start Date]]&lt;1/1/1990,"",IF(Main[[#This Row],[Class]]="C",WORKDAY(Main[[#This Row],[Tech Start Date]],28),IF(Main[[#This Row],[Class]]="B", WORKDAY(Main[[#This Row],[Tech Start Date]],19),IF(Main[[#This Row],[Class]]="A",WORKDAY(Main[[#This Row],[Tech Start Date]],9),""))))</f>
        <v/>
      </c>
      <c r="Q734" s="129">
        <v>40210</v>
      </c>
      <c r="R734" s="129"/>
      <c r="S734" s="139" t="s">
        <v>11</v>
      </c>
      <c r="T734" s="115" t="s">
        <v>4</v>
      </c>
      <c r="U734" s="139" t="s">
        <v>12</v>
      </c>
      <c r="V734" s="139" t="s">
        <v>1915</v>
      </c>
      <c r="W734" s="139" t="s">
        <v>1920</v>
      </c>
      <c r="X734" s="139" t="s">
        <v>2824</v>
      </c>
      <c r="Y734" s="112" t="s">
        <v>2943</v>
      </c>
      <c r="Z734" s="112" t="s">
        <v>4</v>
      </c>
      <c r="AA734" s="139" t="s">
        <v>2824</v>
      </c>
    </row>
    <row r="735" spans="1:27" ht="17.25" customHeight="1">
      <c r="A735" s="69" t="str">
        <f>IF(priority(Main[[#This Row],[Comments]])&lt;&gt;0, priority(Main[[#This Row],[Comments]]),"")</f>
        <v/>
      </c>
      <c r="B735" s="63" t="s">
        <v>1512</v>
      </c>
      <c r="C735" s="148" t="s">
        <v>4</v>
      </c>
      <c r="D735" s="113" t="s">
        <v>588</v>
      </c>
      <c r="E735" s="129">
        <v>40217.626817129632</v>
      </c>
      <c r="F735" s="129"/>
      <c r="G735" s="69" t="str">
        <f>IF(stdProdLT(Main[[#This Row],[Comments]])=0.1,"N/A",IF(stdProdLT(Main[[#This Row],[Comments]])=0,"",stdProdLT(Main[[#This Row],[Comments]])))</f>
        <v/>
      </c>
      <c r="H735" s="138" t="str">
        <f>IF(Main[[#This Row],[In Stock Date]]="N/A", "N/A",IF(AND(Main[[#This Row],[In Stock Date]]&lt;&gt;"",Main[[#This Row],[Revised Due Date]]&lt;&gt;"",Main[[#This Row],[In Stock Date]]&lt;&gt;""),Main[[#This Row],[In Stock Date]]-Main[[#This Row],[Revised Due Date]],""))</f>
        <v/>
      </c>
      <c r="I735" s="139" t="s">
        <v>4</v>
      </c>
      <c r="J735" s="139" t="s">
        <v>4</v>
      </c>
      <c r="K735" s="140" t="s">
        <v>4</v>
      </c>
      <c r="L735" s="129"/>
      <c r="M735" s="114" t="str">
        <f>IF(Main[[#This Row],[Tech Start Date]]&lt;1/1/1990,"",IF(Main[[#This Row],[Class]]="C",WORKDAY(Main[[#This Row],[Tech Start Date]],9),IF(Main[[#This Row],[Class]]="B", WORKDAY(Main[[#This Row],[Tech Start Date]],6),IF(Main[[#This Row],[Class]]="A",WORKDAY(Main[[#This Row],[Tech Start Date]],2),""))))</f>
        <v/>
      </c>
      <c r="N735" s="114" t="str">
        <f>IF(Main[[#This Row],[Tech Start Date]]&lt;1/1/1990,"",IF(Main[[#This Row],[Class]]="C",WORKDAY(Main[[#This Row],[Tech Start Date]],19),IF(Main[[#This Row],[Class]]="B", WORKDAY(Main[[#This Row],[Tech Start Date]],12),IF(Main[[#This Row],[Class]]="A",WORKDAY(Main[[#This Row],[Tech Start Date]],4),""))))</f>
        <v/>
      </c>
      <c r="O735" s="114" t="str">
        <f>IF(Main[[#This Row],[Tech Start Date]]&lt;1/1/1990,"",IF(Main[[#This Row],[Class]]="C",WORKDAY(Main[[#This Row],[Tech Start Date]],23),IF(Main[[#This Row],[Class]]="B", WORKDAY(Main[[#This Row],[Tech Start Date]],15),IF(Main[[#This Row],[Class]]="A",WORKDAY(Main[[#This Row],[Tech Start Date]],5),""))))</f>
        <v/>
      </c>
      <c r="P735" s="114" t="str">
        <f>IF(Main[[#This Row],[Tech Start Date]]&lt;1/1/1990,"",IF(Main[[#This Row],[Class]]="C",WORKDAY(Main[[#This Row],[Tech Start Date]],28),IF(Main[[#This Row],[Class]]="B", WORKDAY(Main[[#This Row],[Tech Start Date]],19),IF(Main[[#This Row],[Class]]="A",WORKDAY(Main[[#This Row],[Tech Start Date]],9),""))))</f>
        <v/>
      </c>
      <c r="Q735" s="129">
        <v>40229</v>
      </c>
      <c r="R735" s="129"/>
      <c r="S735" s="139" t="s">
        <v>6</v>
      </c>
      <c r="T735" s="115" t="s">
        <v>4</v>
      </c>
      <c r="U735" s="139" t="s">
        <v>7</v>
      </c>
      <c r="V735" s="139" t="s">
        <v>1914</v>
      </c>
      <c r="W735" s="139" t="s">
        <v>1918</v>
      </c>
      <c r="X735" s="139" t="s">
        <v>2821</v>
      </c>
      <c r="Y735" s="112" t="s">
        <v>2936</v>
      </c>
      <c r="Z735" s="112" t="s">
        <v>4</v>
      </c>
      <c r="AA735" s="139" t="s">
        <v>2821</v>
      </c>
    </row>
    <row r="736" spans="1:27" ht="17.25" customHeight="1">
      <c r="A736" s="69" t="str">
        <f>IF(priority(Main[[#This Row],[Comments]])&lt;&gt;0, priority(Main[[#This Row],[Comments]]),"")</f>
        <v/>
      </c>
      <c r="B736" s="63" t="s">
        <v>1551</v>
      </c>
      <c r="C736" s="148" t="s">
        <v>95</v>
      </c>
      <c r="D736" s="113" t="s">
        <v>634</v>
      </c>
      <c r="E736" s="129"/>
      <c r="F736" s="129">
        <v>40195</v>
      </c>
      <c r="G736" s="69" t="str">
        <f>IF(stdProdLT(Main[[#This Row],[Comments]])=0.1,"N/A",IF(stdProdLT(Main[[#This Row],[Comments]])=0,"",stdProdLT(Main[[#This Row],[Comments]])))</f>
        <v/>
      </c>
      <c r="H736" s="138" t="str">
        <f>IF(Main[[#This Row],[In Stock Date]]="N/A", "N/A",IF(AND(Main[[#This Row],[In Stock Date]]&lt;&gt;"",Main[[#This Row],[Revised Due Date]]&lt;&gt;"",Main[[#This Row],[In Stock Date]]&lt;&gt;""),Main[[#This Row],[In Stock Date]]-Main[[#This Row],[Revised Due Date]],""))</f>
        <v/>
      </c>
      <c r="I736" s="139" t="s">
        <v>4</v>
      </c>
      <c r="J736" s="139" t="s">
        <v>4</v>
      </c>
      <c r="K736" s="139" t="s">
        <v>4</v>
      </c>
      <c r="L736" s="129"/>
      <c r="M736" s="114" t="str">
        <f>IF(Main[[#This Row],[Tech Start Date]]&lt;1/1/1990,"",IF(Main[[#This Row],[Class]]="C",WORKDAY(Main[[#This Row],[Tech Start Date]],9),IF(Main[[#This Row],[Class]]="B", WORKDAY(Main[[#This Row],[Tech Start Date]],6),IF(Main[[#This Row],[Class]]="A",WORKDAY(Main[[#This Row],[Tech Start Date]],2),""))))</f>
        <v/>
      </c>
      <c r="N736" s="114" t="str">
        <f>IF(Main[[#This Row],[Tech Start Date]]&lt;1/1/1990,"",IF(Main[[#This Row],[Class]]="C",WORKDAY(Main[[#This Row],[Tech Start Date]],19),IF(Main[[#This Row],[Class]]="B", WORKDAY(Main[[#This Row],[Tech Start Date]],12),IF(Main[[#This Row],[Class]]="A",WORKDAY(Main[[#This Row],[Tech Start Date]],4),""))))</f>
        <v/>
      </c>
      <c r="O736" s="114" t="str">
        <f>IF(Main[[#This Row],[Tech Start Date]]&lt;1/1/1990,"",IF(Main[[#This Row],[Class]]="C",WORKDAY(Main[[#This Row],[Tech Start Date]],23),IF(Main[[#This Row],[Class]]="B", WORKDAY(Main[[#This Row],[Tech Start Date]],15),IF(Main[[#This Row],[Class]]="A",WORKDAY(Main[[#This Row],[Tech Start Date]],5),""))))</f>
        <v/>
      </c>
      <c r="P736" s="114" t="str">
        <f>IF(Main[[#This Row],[Tech Start Date]]&lt;1/1/1990,"",IF(Main[[#This Row],[Class]]="C",WORKDAY(Main[[#This Row],[Tech Start Date]],28),IF(Main[[#This Row],[Class]]="B", WORKDAY(Main[[#This Row],[Tech Start Date]],19),IF(Main[[#This Row],[Class]]="A",WORKDAY(Main[[#This Row],[Tech Start Date]],9),""))))</f>
        <v/>
      </c>
      <c r="Q736" s="129">
        <v>40070</v>
      </c>
      <c r="R736" s="129"/>
      <c r="S736" s="139" t="s">
        <v>11</v>
      </c>
      <c r="T736" s="115" t="s">
        <v>4</v>
      </c>
      <c r="U736" s="139" t="s">
        <v>14</v>
      </c>
      <c r="V736" s="139" t="s">
        <v>1917</v>
      </c>
      <c r="W736" s="139" t="s">
        <v>1920</v>
      </c>
      <c r="X736" s="139" t="s">
        <v>2876</v>
      </c>
      <c r="Y736" s="112" t="s">
        <v>4</v>
      </c>
      <c r="Z736" s="112" t="s">
        <v>4</v>
      </c>
      <c r="AA736" s="139" t="s">
        <v>3406</v>
      </c>
    </row>
    <row r="737" spans="1:27" ht="17.25" customHeight="1">
      <c r="A737" s="69" t="str">
        <f>IF(priority(Main[[#This Row],[Comments]])&lt;&gt;0, priority(Main[[#This Row],[Comments]]),"")</f>
        <v/>
      </c>
      <c r="B737" s="63" t="s">
        <v>1552</v>
      </c>
      <c r="C737" s="148" t="s">
        <v>4</v>
      </c>
      <c r="D737" s="113" t="s">
        <v>632</v>
      </c>
      <c r="E737" s="129"/>
      <c r="F737" s="129"/>
      <c r="G737" s="69" t="str">
        <f>IF(stdProdLT(Main[[#This Row],[Comments]])=0.1,"N/A",IF(stdProdLT(Main[[#This Row],[Comments]])=0,"",stdProdLT(Main[[#This Row],[Comments]])))</f>
        <v/>
      </c>
      <c r="H737" s="138" t="str">
        <f>IF(Main[[#This Row],[In Stock Date]]="N/A", "N/A",IF(AND(Main[[#This Row],[In Stock Date]]&lt;&gt;"",Main[[#This Row],[Revised Due Date]]&lt;&gt;"",Main[[#This Row],[In Stock Date]]&lt;&gt;""),Main[[#This Row],[In Stock Date]]-Main[[#This Row],[Revised Due Date]],""))</f>
        <v/>
      </c>
      <c r="I737" s="139" t="s">
        <v>399</v>
      </c>
      <c r="J737" s="139" t="s">
        <v>75</v>
      </c>
      <c r="K737" s="139" t="s">
        <v>4</v>
      </c>
      <c r="L737" s="129"/>
      <c r="M737" s="114" t="str">
        <f>IF(Main[[#This Row],[Tech Start Date]]&lt;1/1/1990,"",IF(Main[[#This Row],[Class]]="C",WORKDAY(Main[[#This Row],[Tech Start Date]],9),IF(Main[[#This Row],[Class]]="B", WORKDAY(Main[[#This Row],[Tech Start Date]],6),IF(Main[[#This Row],[Class]]="A",WORKDAY(Main[[#This Row],[Tech Start Date]],2),""))))</f>
        <v/>
      </c>
      <c r="N737" s="114" t="str">
        <f>IF(Main[[#This Row],[Tech Start Date]]&lt;1/1/1990,"",IF(Main[[#This Row],[Class]]="C",WORKDAY(Main[[#This Row],[Tech Start Date]],19),IF(Main[[#This Row],[Class]]="B", WORKDAY(Main[[#This Row],[Tech Start Date]],12),IF(Main[[#This Row],[Class]]="A",WORKDAY(Main[[#This Row],[Tech Start Date]],4),""))))</f>
        <v/>
      </c>
      <c r="O737" s="114" t="str">
        <f>IF(Main[[#This Row],[Tech Start Date]]&lt;1/1/1990,"",IF(Main[[#This Row],[Class]]="C",WORKDAY(Main[[#This Row],[Tech Start Date]],23),IF(Main[[#This Row],[Class]]="B", WORKDAY(Main[[#This Row],[Tech Start Date]],15),IF(Main[[#This Row],[Class]]="A",WORKDAY(Main[[#This Row],[Tech Start Date]],5),""))))</f>
        <v/>
      </c>
      <c r="P737" s="114" t="str">
        <f>IF(Main[[#This Row],[Tech Start Date]]&lt;1/1/1990,"",IF(Main[[#This Row],[Class]]="C",WORKDAY(Main[[#This Row],[Tech Start Date]],28),IF(Main[[#This Row],[Class]]="B", WORKDAY(Main[[#This Row],[Tech Start Date]],19),IF(Main[[#This Row],[Class]]="A",WORKDAY(Main[[#This Row],[Tech Start Date]],9),""))))</f>
        <v/>
      </c>
      <c r="Q737" s="129">
        <v>40186</v>
      </c>
      <c r="R737" s="129"/>
      <c r="S737" s="139" t="s">
        <v>6</v>
      </c>
      <c r="T737" s="115" t="s">
        <v>4</v>
      </c>
      <c r="U737" s="139" t="s">
        <v>14</v>
      </c>
      <c r="V737" s="139" t="s">
        <v>1917</v>
      </c>
      <c r="W737" s="139" t="s">
        <v>1925</v>
      </c>
      <c r="X737" s="139" t="s">
        <v>883</v>
      </c>
      <c r="Y737" s="112" t="s">
        <v>2963</v>
      </c>
      <c r="Z737" s="112" t="s">
        <v>306</v>
      </c>
      <c r="AA737" s="139" t="s">
        <v>883</v>
      </c>
    </row>
    <row r="738" spans="1:27" ht="17.25" customHeight="1">
      <c r="A738" s="69" t="str">
        <f>IF(priority(Main[[#This Row],[Comments]])&lt;&gt;0, priority(Main[[#This Row],[Comments]]),"")</f>
        <v/>
      </c>
      <c r="B738" s="63" t="s">
        <v>1553</v>
      </c>
      <c r="C738" s="148" t="s">
        <v>4</v>
      </c>
      <c r="D738" s="113" t="s">
        <v>633</v>
      </c>
      <c r="E738" s="129"/>
      <c r="F738" s="129"/>
      <c r="G738" s="69" t="str">
        <f>IF(stdProdLT(Main[[#This Row],[Comments]])=0.1,"N/A",IF(stdProdLT(Main[[#This Row],[Comments]])=0,"",stdProdLT(Main[[#This Row],[Comments]])))</f>
        <v/>
      </c>
      <c r="H738" s="138" t="str">
        <f>IF(Main[[#This Row],[In Stock Date]]="N/A", "N/A",IF(AND(Main[[#This Row],[In Stock Date]]&lt;&gt;"",Main[[#This Row],[Revised Due Date]]&lt;&gt;"",Main[[#This Row],[In Stock Date]]&lt;&gt;""),Main[[#This Row],[In Stock Date]]-Main[[#This Row],[Revised Due Date]],""))</f>
        <v/>
      </c>
      <c r="I738" s="139" t="s">
        <v>4</v>
      </c>
      <c r="J738" s="139" t="s">
        <v>4</v>
      </c>
      <c r="K738" s="139" t="s">
        <v>4</v>
      </c>
      <c r="L738" s="129"/>
      <c r="M738" s="114" t="str">
        <f>IF(Main[[#This Row],[Tech Start Date]]&lt;1/1/1990,"",IF(Main[[#This Row],[Class]]="C",WORKDAY(Main[[#This Row],[Tech Start Date]],9),IF(Main[[#This Row],[Class]]="B", WORKDAY(Main[[#This Row],[Tech Start Date]],6),IF(Main[[#This Row],[Class]]="A",WORKDAY(Main[[#This Row],[Tech Start Date]],2),""))))</f>
        <v/>
      </c>
      <c r="N738" s="114" t="str">
        <f>IF(Main[[#This Row],[Tech Start Date]]&lt;1/1/1990,"",IF(Main[[#This Row],[Class]]="C",WORKDAY(Main[[#This Row],[Tech Start Date]],19),IF(Main[[#This Row],[Class]]="B", WORKDAY(Main[[#This Row],[Tech Start Date]],12),IF(Main[[#This Row],[Class]]="A",WORKDAY(Main[[#This Row],[Tech Start Date]],4),""))))</f>
        <v/>
      </c>
      <c r="O738" s="114" t="str">
        <f>IF(Main[[#This Row],[Tech Start Date]]&lt;1/1/1990,"",IF(Main[[#This Row],[Class]]="C",WORKDAY(Main[[#This Row],[Tech Start Date]],23),IF(Main[[#This Row],[Class]]="B", WORKDAY(Main[[#This Row],[Tech Start Date]],15),IF(Main[[#This Row],[Class]]="A",WORKDAY(Main[[#This Row],[Tech Start Date]],5),""))))</f>
        <v/>
      </c>
      <c r="P738" s="114" t="str">
        <f>IF(Main[[#This Row],[Tech Start Date]]&lt;1/1/1990,"",IF(Main[[#This Row],[Class]]="C",WORKDAY(Main[[#This Row],[Tech Start Date]],28),IF(Main[[#This Row],[Class]]="B", WORKDAY(Main[[#This Row],[Tech Start Date]],19),IF(Main[[#This Row],[Class]]="A",WORKDAY(Main[[#This Row],[Tech Start Date]],9),""))))</f>
        <v/>
      </c>
      <c r="Q738" s="129">
        <v>40389</v>
      </c>
      <c r="R738" s="129"/>
      <c r="S738" s="139" t="s">
        <v>6</v>
      </c>
      <c r="T738" s="115" t="s">
        <v>4</v>
      </c>
      <c r="U738" s="139" t="s">
        <v>12</v>
      </c>
      <c r="V738" s="139" t="s">
        <v>1914</v>
      </c>
      <c r="W738" s="139" t="s">
        <v>4</v>
      </c>
      <c r="X738" s="139" t="s">
        <v>907</v>
      </c>
      <c r="Y738" s="112" t="s">
        <v>3017</v>
      </c>
      <c r="Z738" s="112" t="s">
        <v>4</v>
      </c>
      <c r="AA738" s="139" t="s">
        <v>907</v>
      </c>
    </row>
    <row r="739" spans="1:27" ht="17.25" customHeight="1">
      <c r="A739" s="69" t="str">
        <f>IF(priority(Main[[#This Row],[Comments]])&lt;&gt;0, priority(Main[[#This Row],[Comments]]),"")</f>
        <v/>
      </c>
      <c r="B739" s="63" t="s">
        <v>1578</v>
      </c>
      <c r="C739" s="148" t="s">
        <v>79</v>
      </c>
      <c r="D739" s="113" t="s">
        <v>657</v>
      </c>
      <c r="E739" s="129"/>
      <c r="F739" s="129"/>
      <c r="G739" s="69" t="str">
        <f>IF(stdProdLT(Main[[#This Row],[Comments]])=0.1,"N/A",IF(stdProdLT(Main[[#This Row],[Comments]])=0,"",stdProdLT(Main[[#This Row],[Comments]])))</f>
        <v/>
      </c>
      <c r="H739" s="138" t="str">
        <f>IF(Main[[#This Row],[In Stock Date]]="N/A", "N/A",IF(AND(Main[[#This Row],[In Stock Date]]&lt;&gt;"",Main[[#This Row],[Revised Due Date]]&lt;&gt;"",Main[[#This Row],[In Stock Date]]&lt;&gt;""),Main[[#This Row],[In Stock Date]]-Main[[#This Row],[Revised Due Date]],""))</f>
        <v/>
      </c>
      <c r="I739" s="139" t="s">
        <v>4</v>
      </c>
      <c r="J739" s="139" t="s">
        <v>28</v>
      </c>
      <c r="K739" s="140" t="s">
        <v>4</v>
      </c>
      <c r="L739" s="129"/>
      <c r="M739" s="114" t="str">
        <f>IF(Main[[#This Row],[Tech Start Date]]&lt;1/1/1990,"",IF(Main[[#This Row],[Class]]="C",WORKDAY(Main[[#This Row],[Tech Start Date]],9),IF(Main[[#This Row],[Class]]="B", WORKDAY(Main[[#This Row],[Tech Start Date]],6),IF(Main[[#This Row],[Class]]="A",WORKDAY(Main[[#This Row],[Tech Start Date]],2),""))))</f>
        <v/>
      </c>
      <c r="N739" s="114" t="str">
        <f>IF(Main[[#This Row],[Tech Start Date]]&lt;1/1/1990,"",IF(Main[[#This Row],[Class]]="C",WORKDAY(Main[[#This Row],[Tech Start Date]],19),IF(Main[[#This Row],[Class]]="B", WORKDAY(Main[[#This Row],[Tech Start Date]],12),IF(Main[[#This Row],[Class]]="A",WORKDAY(Main[[#This Row],[Tech Start Date]],4),""))))</f>
        <v/>
      </c>
      <c r="O739" s="114" t="str">
        <f>IF(Main[[#This Row],[Tech Start Date]]&lt;1/1/1990,"",IF(Main[[#This Row],[Class]]="C",WORKDAY(Main[[#This Row],[Tech Start Date]],23),IF(Main[[#This Row],[Class]]="B", WORKDAY(Main[[#This Row],[Tech Start Date]],15),IF(Main[[#This Row],[Class]]="A",WORKDAY(Main[[#This Row],[Tech Start Date]],5),""))))</f>
        <v/>
      </c>
      <c r="P739" s="114" t="str">
        <f>IF(Main[[#This Row],[Tech Start Date]]&lt;1/1/1990,"",IF(Main[[#This Row],[Class]]="C",WORKDAY(Main[[#This Row],[Tech Start Date]],28),IF(Main[[#This Row],[Class]]="B", WORKDAY(Main[[#This Row],[Tech Start Date]],19),IF(Main[[#This Row],[Class]]="A",WORKDAY(Main[[#This Row],[Tech Start Date]],9),""))))</f>
        <v/>
      </c>
      <c r="Q739" s="129"/>
      <c r="R739" s="129"/>
      <c r="S739" s="139" t="s">
        <v>6</v>
      </c>
      <c r="T739" s="115" t="s">
        <v>658</v>
      </c>
      <c r="U739" s="139" t="s">
        <v>14</v>
      </c>
      <c r="V739" s="139" t="s">
        <v>1915</v>
      </c>
      <c r="W739" s="139" t="s">
        <v>1916</v>
      </c>
      <c r="X739" s="139" t="s">
        <v>2861</v>
      </c>
      <c r="Y739" s="112" t="s">
        <v>3005</v>
      </c>
      <c r="Z739" s="112" t="s">
        <v>108</v>
      </c>
      <c r="AA739" s="139" t="s">
        <v>2861</v>
      </c>
    </row>
    <row r="740" spans="1:27" ht="17.25" customHeight="1">
      <c r="A740" s="69" t="str">
        <f>IF(priority(Main[[#This Row],[Comments]])&lt;&gt;0, priority(Main[[#This Row],[Comments]]),"")</f>
        <v/>
      </c>
      <c r="B740" s="63" t="s">
        <v>1175</v>
      </c>
      <c r="C740" s="148" t="s">
        <v>4</v>
      </c>
      <c r="D740" s="113" t="s">
        <v>1000</v>
      </c>
      <c r="E740" s="129">
        <v>40718.691643518519</v>
      </c>
      <c r="F740" s="129"/>
      <c r="G740" s="69" t="str">
        <f>IF(stdProdLT(Main[[#This Row],[Comments]])=0.1,"N/A",IF(stdProdLT(Main[[#This Row],[Comments]])=0,"",stdProdLT(Main[[#This Row],[Comments]])))</f>
        <v/>
      </c>
      <c r="H740" s="138" t="str">
        <f>IF(Main[[#This Row],[In Stock Date]]="N/A", "N/A",IF(AND(Main[[#This Row],[In Stock Date]]&lt;&gt;"",Main[[#This Row],[Revised Due Date]]&lt;&gt;"",Main[[#This Row],[In Stock Date]]&lt;&gt;""),Main[[#This Row],[In Stock Date]]-Main[[#This Row],[Revised Due Date]],""))</f>
        <v/>
      </c>
      <c r="I740" s="139" t="s">
        <v>130</v>
      </c>
      <c r="J740" s="139" t="s">
        <v>70</v>
      </c>
      <c r="K740" s="139" t="s">
        <v>1923</v>
      </c>
      <c r="L740" s="129"/>
      <c r="M740" s="114" t="str">
        <f>IF(Main[[#This Row],[Tech Start Date]]&lt;1/1/1990,"",IF(Main[[#This Row],[Class]]="C",WORKDAY(Main[[#This Row],[Tech Start Date]],9),IF(Main[[#This Row],[Class]]="B", WORKDAY(Main[[#This Row],[Tech Start Date]],6),IF(Main[[#This Row],[Class]]="A",WORKDAY(Main[[#This Row],[Tech Start Date]],2),""))))</f>
        <v/>
      </c>
      <c r="N740" s="114" t="str">
        <f>IF(Main[[#This Row],[Tech Start Date]]&lt;1/1/1990,"",IF(Main[[#This Row],[Class]]="C",WORKDAY(Main[[#This Row],[Tech Start Date]],19),IF(Main[[#This Row],[Class]]="B", WORKDAY(Main[[#This Row],[Tech Start Date]],12),IF(Main[[#This Row],[Class]]="A",WORKDAY(Main[[#This Row],[Tech Start Date]],4),""))))</f>
        <v/>
      </c>
      <c r="O740" s="114" t="str">
        <f>IF(Main[[#This Row],[Tech Start Date]]&lt;1/1/1990,"",IF(Main[[#This Row],[Class]]="C",WORKDAY(Main[[#This Row],[Tech Start Date]],23),IF(Main[[#This Row],[Class]]="B", WORKDAY(Main[[#This Row],[Tech Start Date]],15),IF(Main[[#This Row],[Class]]="A",WORKDAY(Main[[#This Row],[Tech Start Date]],5),""))))</f>
        <v/>
      </c>
      <c r="P740" s="114" t="str">
        <f>IF(Main[[#This Row],[Tech Start Date]]&lt;1/1/1990,"",IF(Main[[#This Row],[Class]]="C",WORKDAY(Main[[#This Row],[Tech Start Date]],28),IF(Main[[#This Row],[Class]]="B", WORKDAY(Main[[#This Row],[Tech Start Date]],19),IF(Main[[#This Row],[Class]]="A",WORKDAY(Main[[#This Row],[Tech Start Date]],9),""))))</f>
        <v/>
      </c>
      <c r="Q740" s="129">
        <v>40753</v>
      </c>
      <c r="R740" s="129"/>
      <c r="S740" s="139" t="s">
        <v>6</v>
      </c>
      <c r="T740" s="115" t="s">
        <v>4</v>
      </c>
      <c r="U740" s="139" t="s">
        <v>29</v>
      </c>
      <c r="V740" s="139" t="s">
        <v>1917</v>
      </c>
      <c r="W740" s="139" t="s">
        <v>1918</v>
      </c>
      <c r="X740" s="139" t="s">
        <v>2819</v>
      </c>
      <c r="Y740" s="112" t="s">
        <v>2932</v>
      </c>
      <c r="Z740" s="112" t="s">
        <v>44</v>
      </c>
      <c r="AA740" s="139" t="s">
        <v>2819</v>
      </c>
    </row>
    <row r="741" spans="1:27" ht="17.25" customHeight="1">
      <c r="A741" s="69" t="str">
        <f>IF(priority(Main[[#This Row],[Comments]])&lt;&gt;0, priority(Main[[#This Row],[Comments]]),"")</f>
        <v/>
      </c>
      <c r="B741" s="63" t="s">
        <v>1554</v>
      </c>
      <c r="C741" s="148" t="s">
        <v>211</v>
      </c>
      <c r="D741" s="113" t="s">
        <v>413</v>
      </c>
      <c r="E741" s="129"/>
      <c r="F741" s="129">
        <v>40452</v>
      </c>
      <c r="G741" s="69" t="str">
        <f>IF(stdProdLT(Main[[#This Row],[Comments]])=0.1,"N/A",IF(stdProdLT(Main[[#This Row],[Comments]])=0,"",stdProdLT(Main[[#This Row],[Comments]])))</f>
        <v/>
      </c>
      <c r="H741" s="138" t="str">
        <f>IF(Main[[#This Row],[In Stock Date]]="N/A", "N/A",IF(AND(Main[[#This Row],[In Stock Date]]&lt;&gt;"",Main[[#This Row],[Revised Due Date]]&lt;&gt;"",Main[[#This Row],[In Stock Date]]&lt;&gt;""),Main[[#This Row],[In Stock Date]]-Main[[#This Row],[Revised Due Date]],""))</f>
        <v/>
      </c>
      <c r="I741" s="139" t="s">
        <v>4</v>
      </c>
      <c r="J741" s="139" t="s">
        <v>4</v>
      </c>
      <c r="K741" s="139" t="s">
        <v>4</v>
      </c>
      <c r="L741" s="129"/>
      <c r="M741" s="114" t="str">
        <f>IF(Main[[#This Row],[Tech Start Date]]&lt;1/1/1990,"",IF(Main[[#This Row],[Class]]="C",WORKDAY(Main[[#This Row],[Tech Start Date]],9),IF(Main[[#This Row],[Class]]="B", WORKDAY(Main[[#This Row],[Tech Start Date]],6),IF(Main[[#This Row],[Class]]="A",WORKDAY(Main[[#This Row],[Tech Start Date]],2),""))))</f>
        <v/>
      </c>
      <c r="N741" s="114" t="str">
        <f>IF(Main[[#This Row],[Tech Start Date]]&lt;1/1/1990,"",IF(Main[[#This Row],[Class]]="C",WORKDAY(Main[[#This Row],[Tech Start Date]],19),IF(Main[[#This Row],[Class]]="B", WORKDAY(Main[[#This Row],[Tech Start Date]],12),IF(Main[[#This Row],[Class]]="A",WORKDAY(Main[[#This Row],[Tech Start Date]],4),""))))</f>
        <v/>
      </c>
      <c r="O741" s="114" t="str">
        <f>IF(Main[[#This Row],[Tech Start Date]]&lt;1/1/1990,"",IF(Main[[#This Row],[Class]]="C",WORKDAY(Main[[#This Row],[Tech Start Date]],23),IF(Main[[#This Row],[Class]]="B", WORKDAY(Main[[#This Row],[Tech Start Date]],15),IF(Main[[#This Row],[Class]]="A",WORKDAY(Main[[#This Row],[Tech Start Date]],5),""))))</f>
        <v/>
      </c>
      <c r="P741" s="114" t="str">
        <f>IF(Main[[#This Row],[Tech Start Date]]&lt;1/1/1990,"",IF(Main[[#This Row],[Class]]="C",WORKDAY(Main[[#This Row],[Tech Start Date]],28),IF(Main[[#This Row],[Class]]="B", WORKDAY(Main[[#This Row],[Tech Start Date]],19),IF(Main[[#This Row],[Class]]="A",WORKDAY(Main[[#This Row],[Tech Start Date]],9),""))))</f>
        <v/>
      </c>
      <c r="Q741" s="129">
        <v>40357</v>
      </c>
      <c r="R741" s="129"/>
      <c r="S741" s="139" t="s">
        <v>11</v>
      </c>
      <c r="T741" s="115" t="s">
        <v>4</v>
      </c>
      <c r="U741" s="139" t="s">
        <v>12</v>
      </c>
      <c r="V741" s="139" t="s">
        <v>1914</v>
      </c>
      <c r="W741" s="139" t="s">
        <v>1922</v>
      </c>
      <c r="X741" s="139" t="s">
        <v>2833</v>
      </c>
      <c r="Y741" s="112" t="s">
        <v>4</v>
      </c>
      <c r="Z741" s="112" t="s">
        <v>4</v>
      </c>
      <c r="AA741" s="139" t="s">
        <v>2833</v>
      </c>
    </row>
    <row r="742" spans="1:27" ht="17.25" customHeight="1">
      <c r="A742" s="69" t="str">
        <f>IF(priority(Main[[#This Row],[Comments]])&lt;&gt;0, priority(Main[[#This Row],[Comments]]),"")</f>
        <v/>
      </c>
      <c r="B742" s="63" t="s">
        <v>1986</v>
      </c>
      <c r="C742" s="148" t="s">
        <v>4</v>
      </c>
      <c r="D742" s="113" t="s">
        <v>2378</v>
      </c>
      <c r="E742" s="129"/>
      <c r="F742" s="129"/>
      <c r="G742" s="69" t="str">
        <f>IF(stdProdLT(Main[[#This Row],[Comments]])=0.1,"N/A",IF(stdProdLT(Main[[#This Row],[Comments]])=0,"",stdProdLT(Main[[#This Row],[Comments]])))</f>
        <v/>
      </c>
      <c r="H742" s="138" t="str">
        <f>IF(Main[[#This Row],[In Stock Date]]="N/A", "N/A",IF(AND(Main[[#This Row],[In Stock Date]]&lt;&gt;"",Main[[#This Row],[Revised Due Date]]&lt;&gt;"",Main[[#This Row],[In Stock Date]]&lt;&gt;""),Main[[#This Row],[In Stock Date]]-Main[[#This Row],[Revised Due Date]],""))</f>
        <v/>
      </c>
      <c r="I742" s="139" t="s">
        <v>4</v>
      </c>
      <c r="J742" s="139" t="s">
        <v>4</v>
      </c>
      <c r="K742" s="139" t="s">
        <v>4</v>
      </c>
      <c r="L742" s="129"/>
      <c r="M742" s="114" t="str">
        <f>IF(Main[[#This Row],[Tech Start Date]]&lt;1/1/1990,"",IF(Main[[#This Row],[Class]]="C",WORKDAY(Main[[#This Row],[Tech Start Date]],9),IF(Main[[#This Row],[Class]]="B", WORKDAY(Main[[#This Row],[Tech Start Date]],6),IF(Main[[#This Row],[Class]]="A",WORKDAY(Main[[#This Row],[Tech Start Date]],2),""))))</f>
        <v/>
      </c>
      <c r="N742" s="114" t="str">
        <f>IF(Main[[#This Row],[Tech Start Date]]&lt;1/1/1990,"",IF(Main[[#This Row],[Class]]="C",WORKDAY(Main[[#This Row],[Tech Start Date]],19),IF(Main[[#This Row],[Class]]="B", WORKDAY(Main[[#This Row],[Tech Start Date]],12),IF(Main[[#This Row],[Class]]="A",WORKDAY(Main[[#This Row],[Tech Start Date]],4),""))))</f>
        <v/>
      </c>
      <c r="O742" s="114" t="str">
        <f>IF(Main[[#This Row],[Tech Start Date]]&lt;1/1/1990,"",IF(Main[[#This Row],[Class]]="C",WORKDAY(Main[[#This Row],[Tech Start Date]],23),IF(Main[[#This Row],[Class]]="B", WORKDAY(Main[[#This Row],[Tech Start Date]],15),IF(Main[[#This Row],[Class]]="A",WORKDAY(Main[[#This Row],[Tech Start Date]],5),""))))</f>
        <v/>
      </c>
      <c r="P742" s="114" t="str">
        <f>IF(Main[[#This Row],[Tech Start Date]]&lt;1/1/1990,"",IF(Main[[#This Row],[Class]]="C",WORKDAY(Main[[#This Row],[Tech Start Date]],28),IF(Main[[#This Row],[Class]]="B", WORKDAY(Main[[#This Row],[Tech Start Date]],19),IF(Main[[#This Row],[Class]]="A",WORKDAY(Main[[#This Row],[Tech Start Date]],9),""))))</f>
        <v/>
      </c>
      <c r="Q742" s="129"/>
      <c r="R742" s="129"/>
      <c r="S742" s="139" t="s">
        <v>6</v>
      </c>
      <c r="T742" s="115" t="s">
        <v>4</v>
      </c>
      <c r="U742" s="139" t="s">
        <v>14</v>
      </c>
      <c r="V742" s="139" t="s">
        <v>1914</v>
      </c>
      <c r="W742" s="139" t="s">
        <v>1918</v>
      </c>
      <c r="X742" s="139" t="s">
        <v>922</v>
      </c>
      <c r="Y742" s="112" t="s">
        <v>2982</v>
      </c>
      <c r="Z742" s="112" t="s">
        <v>4</v>
      </c>
      <c r="AA742" s="139" t="s">
        <v>922</v>
      </c>
    </row>
    <row r="743" spans="1:27" ht="17.25" customHeight="1">
      <c r="A743" s="69" t="str">
        <f>IF(priority(Main[[#This Row],[Comments]])&lt;&gt;0, priority(Main[[#This Row],[Comments]]),"")</f>
        <v/>
      </c>
      <c r="B743" s="63" t="s">
        <v>1555</v>
      </c>
      <c r="C743" s="148" t="s">
        <v>4</v>
      </c>
      <c r="D743" s="113" t="s">
        <v>635</v>
      </c>
      <c r="E743" s="129">
        <v>40413.550520833334</v>
      </c>
      <c r="F743" s="129"/>
      <c r="G743" s="69" t="str">
        <f>IF(stdProdLT(Main[[#This Row],[Comments]])=0.1,"N/A",IF(stdProdLT(Main[[#This Row],[Comments]])=0,"",stdProdLT(Main[[#This Row],[Comments]])))</f>
        <v/>
      </c>
      <c r="H743" s="138" t="str">
        <f>IF(Main[[#This Row],[In Stock Date]]="N/A", "N/A",IF(AND(Main[[#This Row],[In Stock Date]]&lt;&gt;"",Main[[#This Row],[Revised Due Date]]&lt;&gt;"",Main[[#This Row],[In Stock Date]]&lt;&gt;""),Main[[#This Row],[In Stock Date]]-Main[[#This Row],[Revised Due Date]],""))</f>
        <v/>
      </c>
      <c r="I743" s="139" t="s">
        <v>4</v>
      </c>
      <c r="J743" s="139" t="s">
        <v>28</v>
      </c>
      <c r="K743" s="139" t="s">
        <v>4</v>
      </c>
      <c r="L743" s="129"/>
      <c r="M743" s="114" t="str">
        <f>IF(Main[[#This Row],[Tech Start Date]]&lt;1/1/1990,"",IF(Main[[#This Row],[Class]]="C",WORKDAY(Main[[#This Row],[Tech Start Date]],9),IF(Main[[#This Row],[Class]]="B", WORKDAY(Main[[#This Row],[Tech Start Date]],6),IF(Main[[#This Row],[Class]]="A",WORKDAY(Main[[#This Row],[Tech Start Date]],2),""))))</f>
        <v/>
      </c>
      <c r="N743" s="114" t="str">
        <f>IF(Main[[#This Row],[Tech Start Date]]&lt;1/1/1990,"",IF(Main[[#This Row],[Class]]="C",WORKDAY(Main[[#This Row],[Tech Start Date]],19),IF(Main[[#This Row],[Class]]="B", WORKDAY(Main[[#This Row],[Tech Start Date]],12),IF(Main[[#This Row],[Class]]="A",WORKDAY(Main[[#This Row],[Tech Start Date]],4),""))))</f>
        <v/>
      </c>
      <c r="O743" s="114" t="str">
        <f>IF(Main[[#This Row],[Tech Start Date]]&lt;1/1/1990,"",IF(Main[[#This Row],[Class]]="C",WORKDAY(Main[[#This Row],[Tech Start Date]],23),IF(Main[[#This Row],[Class]]="B", WORKDAY(Main[[#This Row],[Tech Start Date]],15),IF(Main[[#This Row],[Class]]="A",WORKDAY(Main[[#This Row],[Tech Start Date]],5),""))))</f>
        <v/>
      </c>
      <c r="P743" s="114" t="str">
        <f>IF(Main[[#This Row],[Tech Start Date]]&lt;1/1/1990,"",IF(Main[[#This Row],[Class]]="C",WORKDAY(Main[[#This Row],[Tech Start Date]],28),IF(Main[[#This Row],[Class]]="B", WORKDAY(Main[[#This Row],[Tech Start Date]],19),IF(Main[[#This Row],[Class]]="A",WORKDAY(Main[[#This Row],[Tech Start Date]],9),""))))</f>
        <v/>
      </c>
      <c r="Q743" s="129">
        <v>40451</v>
      </c>
      <c r="R743" s="129"/>
      <c r="S743" s="139" t="s">
        <v>6</v>
      </c>
      <c r="T743" s="115" t="s">
        <v>4</v>
      </c>
      <c r="U743" s="139" t="s">
        <v>7</v>
      </c>
      <c r="V743" s="139" t="s">
        <v>1914</v>
      </c>
      <c r="W743" s="139" t="s">
        <v>1916</v>
      </c>
      <c r="X743" s="139" t="s">
        <v>2887</v>
      </c>
      <c r="Y743" s="112" t="s">
        <v>3043</v>
      </c>
      <c r="Z743" s="112" t="s">
        <v>129</v>
      </c>
      <c r="AA743" s="139" t="s">
        <v>2887</v>
      </c>
    </row>
    <row r="744" spans="1:27" ht="17.25" customHeight="1">
      <c r="A744" s="69" t="str">
        <f>IF(priority(Main[[#This Row],[Comments]])&lt;&gt;0, priority(Main[[#This Row],[Comments]]),"")</f>
        <v/>
      </c>
      <c r="B744" s="63" t="s">
        <v>1343</v>
      </c>
      <c r="C744" s="148" t="s">
        <v>4</v>
      </c>
      <c r="D744" s="113" t="s">
        <v>2017</v>
      </c>
      <c r="E744" s="129"/>
      <c r="F744" s="129"/>
      <c r="G744" s="69" t="str">
        <f>IF(stdProdLT(Main[[#This Row],[Comments]])=0.1,"N/A",IF(stdProdLT(Main[[#This Row],[Comments]])=0,"",stdProdLT(Main[[#This Row],[Comments]])))</f>
        <v/>
      </c>
      <c r="H744" s="138" t="str">
        <f>IF(Main[[#This Row],[In Stock Date]]="N/A", "N/A",IF(AND(Main[[#This Row],[In Stock Date]]&lt;&gt;"",Main[[#This Row],[Revised Due Date]]&lt;&gt;"",Main[[#This Row],[In Stock Date]]&lt;&gt;""),Main[[#This Row],[In Stock Date]]-Main[[#This Row],[Revised Due Date]],""))</f>
        <v/>
      </c>
      <c r="I744" s="139" t="s">
        <v>429</v>
      </c>
      <c r="J744" s="139" t="s">
        <v>70</v>
      </c>
      <c r="K744" s="139" t="s">
        <v>1923</v>
      </c>
      <c r="L744" s="129"/>
      <c r="M744" s="114" t="str">
        <f>IF(Main[[#This Row],[Tech Start Date]]&lt;1/1/1990,"",IF(Main[[#This Row],[Class]]="C",WORKDAY(Main[[#This Row],[Tech Start Date]],9),IF(Main[[#This Row],[Class]]="B", WORKDAY(Main[[#This Row],[Tech Start Date]],6),IF(Main[[#This Row],[Class]]="A",WORKDAY(Main[[#This Row],[Tech Start Date]],2),""))))</f>
        <v/>
      </c>
      <c r="N744" s="114" t="str">
        <f>IF(Main[[#This Row],[Tech Start Date]]&lt;1/1/1990,"",IF(Main[[#This Row],[Class]]="C",WORKDAY(Main[[#This Row],[Tech Start Date]],19),IF(Main[[#This Row],[Class]]="B", WORKDAY(Main[[#This Row],[Tech Start Date]],12),IF(Main[[#This Row],[Class]]="A",WORKDAY(Main[[#This Row],[Tech Start Date]],4),""))))</f>
        <v/>
      </c>
      <c r="O744" s="114" t="str">
        <f>IF(Main[[#This Row],[Tech Start Date]]&lt;1/1/1990,"",IF(Main[[#This Row],[Class]]="C",WORKDAY(Main[[#This Row],[Tech Start Date]],23),IF(Main[[#This Row],[Class]]="B", WORKDAY(Main[[#This Row],[Tech Start Date]],15),IF(Main[[#This Row],[Class]]="A",WORKDAY(Main[[#This Row],[Tech Start Date]],5),""))))</f>
        <v/>
      </c>
      <c r="P744" s="114" t="str">
        <f>IF(Main[[#This Row],[Tech Start Date]]&lt;1/1/1990,"",IF(Main[[#This Row],[Class]]="C",WORKDAY(Main[[#This Row],[Tech Start Date]],28),IF(Main[[#This Row],[Class]]="B", WORKDAY(Main[[#This Row],[Tech Start Date]],19),IF(Main[[#This Row],[Class]]="A",WORKDAY(Main[[#This Row],[Tech Start Date]],9),""))))</f>
        <v/>
      </c>
      <c r="Q744" s="129">
        <v>40717</v>
      </c>
      <c r="R744" s="129"/>
      <c r="S744" s="139" t="s">
        <v>6</v>
      </c>
      <c r="T744" s="115" t="s">
        <v>4</v>
      </c>
      <c r="U744" s="139" t="s">
        <v>14</v>
      </c>
      <c r="V744" s="139" t="s">
        <v>1917</v>
      </c>
      <c r="W744" s="139" t="s">
        <v>1918</v>
      </c>
      <c r="X744" s="139" t="s">
        <v>2822</v>
      </c>
      <c r="Y744" s="112" t="s">
        <v>2938</v>
      </c>
      <c r="Z744" s="112" t="s">
        <v>30</v>
      </c>
      <c r="AA744" s="139" t="s">
        <v>2822</v>
      </c>
    </row>
    <row r="745" spans="1:27" ht="17.25" customHeight="1">
      <c r="A745" s="69" t="str">
        <f>IF(priority(Main[[#This Row],[Comments]])&lt;&gt;0, priority(Main[[#This Row],[Comments]]),"")</f>
        <v/>
      </c>
      <c r="B745" s="63" t="s">
        <v>1557</v>
      </c>
      <c r="C745" s="148" t="s">
        <v>180</v>
      </c>
      <c r="D745" s="113" t="s">
        <v>636</v>
      </c>
      <c r="E745" s="129"/>
      <c r="F745" s="129">
        <v>40389</v>
      </c>
      <c r="G745" s="69" t="str">
        <f>IF(stdProdLT(Main[[#This Row],[Comments]])=0.1,"N/A",IF(stdProdLT(Main[[#This Row],[Comments]])=0,"",stdProdLT(Main[[#This Row],[Comments]])))</f>
        <v/>
      </c>
      <c r="H745" s="138" t="str">
        <f>IF(Main[[#This Row],[In Stock Date]]="N/A", "N/A",IF(AND(Main[[#This Row],[In Stock Date]]&lt;&gt;"",Main[[#This Row],[Revised Due Date]]&lt;&gt;"",Main[[#This Row],[In Stock Date]]&lt;&gt;""),Main[[#This Row],[In Stock Date]]-Main[[#This Row],[Revised Due Date]],""))</f>
        <v/>
      </c>
      <c r="I745" s="139" t="s">
        <v>4</v>
      </c>
      <c r="J745" s="139" t="s">
        <v>4</v>
      </c>
      <c r="K745" s="139" t="s">
        <v>4</v>
      </c>
      <c r="L745" s="129"/>
      <c r="M745" s="114" t="str">
        <f>IF(Main[[#This Row],[Tech Start Date]]&lt;1/1/1990,"",IF(Main[[#This Row],[Class]]="C",WORKDAY(Main[[#This Row],[Tech Start Date]],9),IF(Main[[#This Row],[Class]]="B", WORKDAY(Main[[#This Row],[Tech Start Date]],6),IF(Main[[#This Row],[Class]]="A",WORKDAY(Main[[#This Row],[Tech Start Date]],2),""))))</f>
        <v/>
      </c>
      <c r="N745" s="114" t="str">
        <f>IF(Main[[#This Row],[Tech Start Date]]&lt;1/1/1990,"",IF(Main[[#This Row],[Class]]="C",WORKDAY(Main[[#This Row],[Tech Start Date]],19),IF(Main[[#This Row],[Class]]="B", WORKDAY(Main[[#This Row],[Tech Start Date]],12),IF(Main[[#This Row],[Class]]="A",WORKDAY(Main[[#This Row],[Tech Start Date]],4),""))))</f>
        <v/>
      </c>
      <c r="O745" s="114" t="str">
        <f>IF(Main[[#This Row],[Tech Start Date]]&lt;1/1/1990,"",IF(Main[[#This Row],[Class]]="C",WORKDAY(Main[[#This Row],[Tech Start Date]],23),IF(Main[[#This Row],[Class]]="B", WORKDAY(Main[[#This Row],[Tech Start Date]],15),IF(Main[[#This Row],[Class]]="A",WORKDAY(Main[[#This Row],[Tech Start Date]],5),""))))</f>
        <v/>
      </c>
      <c r="P745" s="114" t="str">
        <f>IF(Main[[#This Row],[Tech Start Date]]&lt;1/1/1990,"",IF(Main[[#This Row],[Class]]="C",WORKDAY(Main[[#This Row],[Tech Start Date]],28),IF(Main[[#This Row],[Class]]="B", WORKDAY(Main[[#This Row],[Tech Start Date]],19),IF(Main[[#This Row],[Class]]="A",WORKDAY(Main[[#This Row],[Tech Start Date]],9),""))))</f>
        <v/>
      </c>
      <c r="Q745" s="129">
        <v>40298</v>
      </c>
      <c r="R745" s="129"/>
      <c r="S745" s="139" t="s">
        <v>11</v>
      </c>
      <c r="T745" s="115" t="s">
        <v>4</v>
      </c>
      <c r="U745" s="139" t="s">
        <v>12</v>
      </c>
      <c r="V745" s="139" t="s">
        <v>1914</v>
      </c>
      <c r="W745" s="139" t="s">
        <v>1920</v>
      </c>
      <c r="X745" s="139" t="s">
        <v>2824</v>
      </c>
      <c r="Y745" s="112" t="s">
        <v>2943</v>
      </c>
      <c r="Z745" s="112" t="s">
        <v>4</v>
      </c>
      <c r="AA745" s="139" t="s">
        <v>2824</v>
      </c>
    </row>
    <row r="746" spans="1:27" ht="17.25" customHeight="1">
      <c r="A746" s="69" t="str">
        <f>IF(priority(Main[[#This Row],[Comments]])&lt;&gt;0, priority(Main[[#This Row],[Comments]]),"")</f>
        <v/>
      </c>
      <c r="B746" s="63" t="s">
        <v>1558</v>
      </c>
      <c r="C746" s="148" t="s">
        <v>290</v>
      </c>
      <c r="D746" s="113" t="s">
        <v>637</v>
      </c>
      <c r="E746" s="129"/>
      <c r="F746" s="129"/>
      <c r="G746" s="69" t="str">
        <f>IF(stdProdLT(Main[[#This Row],[Comments]])=0.1,"N/A",IF(stdProdLT(Main[[#This Row],[Comments]])=0,"",stdProdLT(Main[[#This Row],[Comments]])))</f>
        <v/>
      </c>
      <c r="H746" s="138" t="str">
        <f>IF(Main[[#This Row],[In Stock Date]]="N/A", "N/A",IF(AND(Main[[#This Row],[In Stock Date]]&lt;&gt;"",Main[[#This Row],[Revised Due Date]]&lt;&gt;"",Main[[#This Row],[In Stock Date]]&lt;&gt;""),Main[[#This Row],[In Stock Date]]-Main[[#This Row],[Revised Due Date]],""))</f>
        <v/>
      </c>
      <c r="I746" s="139" t="s">
        <v>4</v>
      </c>
      <c r="J746" s="139" t="s">
        <v>4</v>
      </c>
      <c r="K746" s="139" t="s">
        <v>4</v>
      </c>
      <c r="L746" s="129"/>
      <c r="M746" s="114" t="str">
        <f>IF(Main[[#This Row],[Tech Start Date]]&lt;1/1/1990,"",IF(Main[[#This Row],[Class]]="C",WORKDAY(Main[[#This Row],[Tech Start Date]],9),IF(Main[[#This Row],[Class]]="B", WORKDAY(Main[[#This Row],[Tech Start Date]],6),IF(Main[[#This Row],[Class]]="A",WORKDAY(Main[[#This Row],[Tech Start Date]],2),""))))</f>
        <v/>
      </c>
      <c r="N746" s="114" t="str">
        <f>IF(Main[[#This Row],[Tech Start Date]]&lt;1/1/1990,"",IF(Main[[#This Row],[Class]]="C",WORKDAY(Main[[#This Row],[Tech Start Date]],19),IF(Main[[#This Row],[Class]]="B", WORKDAY(Main[[#This Row],[Tech Start Date]],12),IF(Main[[#This Row],[Class]]="A",WORKDAY(Main[[#This Row],[Tech Start Date]],4),""))))</f>
        <v/>
      </c>
      <c r="O746" s="114" t="str">
        <f>IF(Main[[#This Row],[Tech Start Date]]&lt;1/1/1990,"",IF(Main[[#This Row],[Class]]="C",WORKDAY(Main[[#This Row],[Tech Start Date]],23),IF(Main[[#This Row],[Class]]="B", WORKDAY(Main[[#This Row],[Tech Start Date]],15),IF(Main[[#This Row],[Class]]="A",WORKDAY(Main[[#This Row],[Tech Start Date]],5),""))))</f>
        <v/>
      </c>
      <c r="P746" s="114" t="str">
        <f>IF(Main[[#This Row],[Tech Start Date]]&lt;1/1/1990,"",IF(Main[[#This Row],[Class]]="C",WORKDAY(Main[[#This Row],[Tech Start Date]],28),IF(Main[[#This Row],[Class]]="B", WORKDAY(Main[[#This Row],[Tech Start Date]],19),IF(Main[[#This Row],[Class]]="A",WORKDAY(Main[[#This Row],[Tech Start Date]],9),""))))</f>
        <v/>
      </c>
      <c r="Q746" s="129">
        <v>40052</v>
      </c>
      <c r="R746" s="129"/>
      <c r="S746" s="139" t="s">
        <v>11</v>
      </c>
      <c r="T746" s="115" t="s">
        <v>4</v>
      </c>
      <c r="U746" s="139" t="s">
        <v>14</v>
      </c>
      <c r="V746" s="139" t="s">
        <v>1917</v>
      </c>
      <c r="W746" s="139" t="s">
        <v>1916</v>
      </c>
      <c r="X746" s="139" t="s">
        <v>2834</v>
      </c>
      <c r="Y746" s="112" t="s">
        <v>4</v>
      </c>
      <c r="Z746" s="112" t="s">
        <v>4</v>
      </c>
      <c r="AA746" s="139" t="s">
        <v>2834</v>
      </c>
    </row>
    <row r="747" spans="1:27" ht="17.25" customHeight="1">
      <c r="A747" s="69" t="str">
        <f>IF(priority(Main[[#This Row],[Comments]])&lt;&gt;0, priority(Main[[#This Row],[Comments]]),"")</f>
        <v/>
      </c>
      <c r="B747" s="63" t="s">
        <v>1720</v>
      </c>
      <c r="C747" s="148" t="s">
        <v>4</v>
      </c>
      <c r="D747" s="113" t="s">
        <v>775</v>
      </c>
      <c r="E747" s="129"/>
      <c r="F747" s="129"/>
      <c r="G747" s="69" t="str">
        <f>IF(stdProdLT(Main[[#This Row],[Comments]])=0.1,"N/A",IF(stdProdLT(Main[[#This Row],[Comments]])=0,"",stdProdLT(Main[[#This Row],[Comments]])))</f>
        <v/>
      </c>
      <c r="H747" s="138" t="str">
        <f>IF(Main[[#This Row],[In Stock Date]]="N/A", "N/A",IF(AND(Main[[#This Row],[In Stock Date]]&lt;&gt;"",Main[[#This Row],[Revised Due Date]]&lt;&gt;"",Main[[#This Row],[In Stock Date]]&lt;&gt;""),Main[[#This Row],[In Stock Date]]-Main[[#This Row],[Revised Due Date]],""))</f>
        <v/>
      </c>
      <c r="I747" s="139" t="s">
        <v>4</v>
      </c>
      <c r="J747" s="139" t="s">
        <v>4</v>
      </c>
      <c r="K747" s="139" t="s">
        <v>4</v>
      </c>
      <c r="L747" s="129"/>
      <c r="M747" s="114" t="str">
        <f>IF(Main[[#This Row],[Tech Start Date]]&lt;1/1/1990,"",IF(Main[[#This Row],[Class]]="C",WORKDAY(Main[[#This Row],[Tech Start Date]],9),IF(Main[[#This Row],[Class]]="B", WORKDAY(Main[[#This Row],[Tech Start Date]],6),IF(Main[[#This Row],[Class]]="A",WORKDAY(Main[[#This Row],[Tech Start Date]],2),""))))</f>
        <v/>
      </c>
      <c r="N747" s="114" t="str">
        <f>IF(Main[[#This Row],[Tech Start Date]]&lt;1/1/1990,"",IF(Main[[#This Row],[Class]]="C",WORKDAY(Main[[#This Row],[Tech Start Date]],19),IF(Main[[#This Row],[Class]]="B", WORKDAY(Main[[#This Row],[Tech Start Date]],12),IF(Main[[#This Row],[Class]]="A",WORKDAY(Main[[#This Row],[Tech Start Date]],4),""))))</f>
        <v/>
      </c>
      <c r="O747" s="114" t="str">
        <f>IF(Main[[#This Row],[Tech Start Date]]&lt;1/1/1990,"",IF(Main[[#This Row],[Class]]="C",WORKDAY(Main[[#This Row],[Tech Start Date]],23),IF(Main[[#This Row],[Class]]="B", WORKDAY(Main[[#This Row],[Tech Start Date]],15),IF(Main[[#This Row],[Class]]="A",WORKDAY(Main[[#This Row],[Tech Start Date]],5),""))))</f>
        <v/>
      </c>
      <c r="P747" s="114" t="str">
        <f>IF(Main[[#This Row],[Tech Start Date]]&lt;1/1/1990,"",IF(Main[[#This Row],[Class]]="C",WORKDAY(Main[[#This Row],[Tech Start Date]],28),IF(Main[[#This Row],[Class]]="B", WORKDAY(Main[[#This Row],[Tech Start Date]],19),IF(Main[[#This Row],[Class]]="A",WORKDAY(Main[[#This Row],[Tech Start Date]],9),""))))</f>
        <v/>
      </c>
      <c r="Q747" s="129"/>
      <c r="R747" s="129"/>
      <c r="S747" s="139" t="s">
        <v>4</v>
      </c>
      <c r="T747" s="115" t="s">
        <v>4</v>
      </c>
      <c r="U747" s="139" t="s">
        <v>14</v>
      </c>
      <c r="V747" s="139" t="s">
        <v>1917</v>
      </c>
      <c r="W747" s="139" t="s">
        <v>4</v>
      </c>
      <c r="X747" s="139" t="s">
        <v>50</v>
      </c>
      <c r="Y747" s="112" t="s">
        <v>4</v>
      </c>
      <c r="Z747" s="112" t="s">
        <v>4</v>
      </c>
      <c r="AA747" s="139" t="s">
        <v>4</v>
      </c>
    </row>
    <row r="748" spans="1:27" ht="17.25" customHeight="1">
      <c r="A748" s="69" t="str">
        <f>IF(priority(Main[[#This Row],[Comments]])&lt;&gt;0, priority(Main[[#This Row],[Comments]]),"")</f>
        <v/>
      </c>
      <c r="B748" s="63" t="s">
        <v>1565</v>
      </c>
      <c r="C748" s="148" t="s">
        <v>72</v>
      </c>
      <c r="D748" s="113" t="s">
        <v>645</v>
      </c>
      <c r="E748" s="129"/>
      <c r="F748" s="129"/>
      <c r="G748" s="69" t="str">
        <f>IF(stdProdLT(Main[[#This Row],[Comments]])=0.1,"N/A",IF(stdProdLT(Main[[#This Row],[Comments]])=0,"",stdProdLT(Main[[#This Row],[Comments]])))</f>
        <v/>
      </c>
      <c r="H748" s="138" t="str">
        <f>IF(Main[[#This Row],[In Stock Date]]="N/A", "N/A",IF(AND(Main[[#This Row],[In Stock Date]]&lt;&gt;"",Main[[#This Row],[Revised Due Date]]&lt;&gt;"",Main[[#This Row],[In Stock Date]]&lt;&gt;""),Main[[#This Row],[In Stock Date]]-Main[[#This Row],[Revised Due Date]],""))</f>
        <v/>
      </c>
      <c r="I748" s="139" t="s">
        <v>4</v>
      </c>
      <c r="J748" s="139" t="s">
        <v>4</v>
      </c>
      <c r="K748" s="139" t="s">
        <v>4</v>
      </c>
      <c r="L748" s="129"/>
      <c r="M748" s="114" t="str">
        <f>IF(Main[[#This Row],[Tech Start Date]]&lt;1/1/1990,"",IF(Main[[#This Row],[Class]]="C",WORKDAY(Main[[#This Row],[Tech Start Date]],9),IF(Main[[#This Row],[Class]]="B", WORKDAY(Main[[#This Row],[Tech Start Date]],6),IF(Main[[#This Row],[Class]]="A",WORKDAY(Main[[#This Row],[Tech Start Date]],2),""))))</f>
        <v/>
      </c>
      <c r="N748" s="114" t="str">
        <f>IF(Main[[#This Row],[Tech Start Date]]&lt;1/1/1990,"",IF(Main[[#This Row],[Class]]="C",WORKDAY(Main[[#This Row],[Tech Start Date]],19),IF(Main[[#This Row],[Class]]="B", WORKDAY(Main[[#This Row],[Tech Start Date]],12),IF(Main[[#This Row],[Class]]="A",WORKDAY(Main[[#This Row],[Tech Start Date]],4),""))))</f>
        <v/>
      </c>
      <c r="O748" s="114" t="str">
        <f>IF(Main[[#This Row],[Tech Start Date]]&lt;1/1/1990,"",IF(Main[[#This Row],[Class]]="C",WORKDAY(Main[[#This Row],[Tech Start Date]],23),IF(Main[[#This Row],[Class]]="B", WORKDAY(Main[[#This Row],[Tech Start Date]],15),IF(Main[[#This Row],[Class]]="A",WORKDAY(Main[[#This Row],[Tech Start Date]],5),""))))</f>
        <v/>
      </c>
      <c r="P748" s="114" t="str">
        <f>IF(Main[[#This Row],[Tech Start Date]]&lt;1/1/1990,"",IF(Main[[#This Row],[Class]]="C",WORKDAY(Main[[#This Row],[Tech Start Date]],28),IF(Main[[#This Row],[Class]]="B", WORKDAY(Main[[#This Row],[Tech Start Date]],19),IF(Main[[#This Row],[Class]]="A",WORKDAY(Main[[#This Row],[Tech Start Date]],9),""))))</f>
        <v/>
      </c>
      <c r="Q748" s="129"/>
      <c r="R748" s="129"/>
      <c r="S748" s="139" t="s">
        <v>49</v>
      </c>
      <c r="T748" s="115" t="s">
        <v>4</v>
      </c>
      <c r="U748" s="139" t="s">
        <v>12</v>
      </c>
      <c r="V748" s="139" t="s">
        <v>1915</v>
      </c>
      <c r="W748" s="139" t="s">
        <v>1916</v>
      </c>
      <c r="X748" s="139" t="s">
        <v>2901</v>
      </c>
      <c r="Y748" s="112" t="s">
        <v>3079</v>
      </c>
      <c r="Z748" s="112" t="s">
        <v>4</v>
      </c>
      <c r="AA748" s="139" t="s">
        <v>2901</v>
      </c>
    </row>
    <row r="749" spans="1:27" ht="17.25" customHeight="1">
      <c r="A749" s="69" t="str">
        <f>IF(priority(Main[[#This Row],[Comments]])&lt;&gt;0, priority(Main[[#This Row],[Comments]]),"")</f>
        <v/>
      </c>
      <c r="B749" s="63" t="s">
        <v>1566</v>
      </c>
      <c r="C749" s="148" t="s">
        <v>72</v>
      </c>
      <c r="D749" s="113" t="s">
        <v>646</v>
      </c>
      <c r="E749" s="129"/>
      <c r="F749" s="129">
        <v>40313</v>
      </c>
      <c r="G749" s="69" t="str">
        <f>IF(stdProdLT(Main[[#This Row],[Comments]])=0.1,"N/A",IF(stdProdLT(Main[[#This Row],[Comments]])=0,"",stdProdLT(Main[[#This Row],[Comments]])))</f>
        <v/>
      </c>
      <c r="H749" s="138" t="str">
        <f>IF(Main[[#This Row],[In Stock Date]]="N/A", "N/A",IF(AND(Main[[#This Row],[In Stock Date]]&lt;&gt;"",Main[[#This Row],[Revised Due Date]]&lt;&gt;"",Main[[#This Row],[In Stock Date]]&lt;&gt;""),Main[[#This Row],[In Stock Date]]-Main[[#This Row],[Revised Due Date]],""))</f>
        <v/>
      </c>
      <c r="I749" s="139" t="s">
        <v>4</v>
      </c>
      <c r="J749" s="139" t="s">
        <v>4</v>
      </c>
      <c r="K749" s="139" t="s">
        <v>4</v>
      </c>
      <c r="L749" s="129"/>
      <c r="M749" s="114" t="str">
        <f>IF(Main[[#This Row],[Tech Start Date]]&lt;1/1/1990,"",IF(Main[[#This Row],[Class]]="C",WORKDAY(Main[[#This Row],[Tech Start Date]],9),IF(Main[[#This Row],[Class]]="B", WORKDAY(Main[[#This Row],[Tech Start Date]],6),IF(Main[[#This Row],[Class]]="A",WORKDAY(Main[[#This Row],[Tech Start Date]],2),""))))</f>
        <v/>
      </c>
      <c r="N749" s="114" t="str">
        <f>IF(Main[[#This Row],[Tech Start Date]]&lt;1/1/1990,"",IF(Main[[#This Row],[Class]]="C",WORKDAY(Main[[#This Row],[Tech Start Date]],19),IF(Main[[#This Row],[Class]]="B", WORKDAY(Main[[#This Row],[Tech Start Date]],12),IF(Main[[#This Row],[Class]]="A",WORKDAY(Main[[#This Row],[Tech Start Date]],4),""))))</f>
        <v/>
      </c>
      <c r="O749" s="114" t="str">
        <f>IF(Main[[#This Row],[Tech Start Date]]&lt;1/1/1990,"",IF(Main[[#This Row],[Class]]="C",WORKDAY(Main[[#This Row],[Tech Start Date]],23),IF(Main[[#This Row],[Class]]="B", WORKDAY(Main[[#This Row],[Tech Start Date]],15),IF(Main[[#This Row],[Class]]="A",WORKDAY(Main[[#This Row],[Tech Start Date]],5),""))))</f>
        <v/>
      </c>
      <c r="P749" s="114" t="str">
        <f>IF(Main[[#This Row],[Tech Start Date]]&lt;1/1/1990,"",IF(Main[[#This Row],[Class]]="C",WORKDAY(Main[[#This Row],[Tech Start Date]],28),IF(Main[[#This Row],[Class]]="B", WORKDAY(Main[[#This Row],[Tech Start Date]],19),IF(Main[[#This Row],[Class]]="A",WORKDAY(Main[[#This Row],[Tech Start Date]],9),""))))</f>
        <v/>
      </c>
      <c r="Q749" s="129">
        <v>40233</v>
      </c>
      <c r="R749" s="129"/>
      <c r="S749" s="139" t="s">
        <v>11</v>
      </c>
      <c r="T749" s="115" t="s">
        <v>4</v>
      </c>
      <c r="U749" s="139" t="s">
        <v>14</v>
      </c>
      <c r="V749" s="139" t="s">
        <v>1917</v>
      </c>
      <c r="W749" s="139" t="s">
        <v>1922</v>
      </c>
      <c r="X749" s="139" t="s">
        <v>2824</v>
      </c>
      <c r="Y749" s="112" t="s">
        <v>2943</v>
      </c>
      <c r="Z749" s="112" t="s">
        <v>4</v>
      </c>
      <c r="AA749" s="139" t="s">
        <v>2824</v>
      </c>
    </row>
    <row r="750" spans="1:27" ht="17.25" customHeight="1">
      <c r="A750" s="69" t="str">
        <f>IF(priority(Main[[#This Row],[Comments]])&lt;&gt;0, priority(Main[[#This Row],[Comments]]),"")</f>
        <v/>
      </c>
      <c r="B750" s="63" t="s">
        <v>1567</v>
      </c>
      <c r="C750" s="148" t="s">
        <v>159</v>
      </c>
      <c r="D750" s="113" t="s">
        <v>647</v>
      </c>
      <c r="E750" s="129"/>
      <c r="F750" s="129">
        <v>40513</v>
      </c>
      <c r="G750" s="69" t="str">
        <f>IF(stdProdLT(Main[[#This Row],[Comments]])=0.1,"N/A",IF(stdProdLT(Main[[#This Row],[Comments]])=0,"",stdProdLT(Main[[#This Row],[Comments]])))</f>
        <v/>
      </c>
      <c r="H750" s="138" t="str">
        <f>IF(Main[[#This Row],[In Stock Date]]="N/A", "N/A",IF(AND(Main[[#This Row],[In Stock Date]]&lt;&gt;"",Main[[#This Row],[Revised Due Date]]&lt;&gt;"",Main[[#This Row],[In Stock Date]]&lt;&gt;""),Main[[#This Row],[In Stock Date]]-Main[[#This Row],[Revised Due Date]],""))</f>
        <v/>
      </c>
      <c r="I750" s="139" t="s">
        <v>4</v>
      </c>
      <c r="J750" s="139" t="s">
        <v>28</v>
      </c>
      <c r="K750" s="139" t="s">
        <v>4</v>
      </c>
      <c r="L750" s="129"/>
      <c r="M750" s="114" t="str">
        <f>IF(Main[[#This Row],[Tech Start Date]]&lt;1/1/1990,"",IF(Main[[#This Row],[Class]]="C",WORKDAY(Main[[#This Row],[Tech Start Date]],9),IF(Main[[#This Row],[Class]]="B", WORKDAY(Main[[#This Row],[Tech Start Date]],6),IF(Main[[#This Row],[Class]]="A",WORKDAY(Main[[#This Row],[Tech Start Date]],2),""))))</f>
        <v/>
      </c>
      <c r="N750" s="114" t="str">
        <f>IF(Main[[#This Row],[Tech Start Date]]&lt;1/1/1990,"",IF(Main[[#This Row],[Class]]="C",WORKDAY(Main[[#This Row],[Tech Start Date]],19),IF(Main[[#This Row],[Class]]="B", WORKDAY(Main[[#This Row],[Tech Start Date]],12),IF(Main[[#This Row],[Class]]="A",WORKDAY(Main[[#This Row],[Tech Start Date]],4),""))))</f>
        <v/>
      </c>
      <c r="O750" s="114" t="str">
        <f>IF(Main[[#This Row],[Tech Start Date]]&lt;1/1/1990,"",IF(Main[[#This Row],[Class]]="C",WORKDAY(Main[[#This Row],[Tech Start Date]],23),IF(Main[[#This Row],[Class]]="B", WORKDAY(Main[[#This Row],[Tech Start Date]],15),IF(Main[[#This Row],[Class]]="A",WORKDAY(Main[[#This Row],[Tech Start Date]],5),""))))</f>
        <v/>
      </c>
      <c r="P750" s="114" t="str">
        <f>IF(Main[[#This Row],[Tech Start Date]]&lt;1/1/1990,"",IF(Main[[#This Row],[Class]]="C",WORKDAY(Main[[#This Row],[Tech Start Date]],28),IF(Main[[#This Row],[Class]]="B", WORKDAY(Main[[#This Row],[Tech Start Date]],19),IF(Main[[#This Row],[Class]]="A",WORKDAY(Main[[#This Row],[Tech Start Date]],9),""))))</f>
        <v/>
      </c>
      <c r="Q750" s="129">
        <v>40382</v>
      </c>
      <c r="R750" s="129"/>
      <c r="S750" s="139" t="s">
        <v>11</v>
      </c>
      <c r="T750" s="115" t="s">
        <v>4</v>
      </c>
      <c r="U750" s="139" t="s">
        <v>14</v>
      </c>
      <c r="V750" s="139" t="s">
        <v>1914</v>
      </c>
      <c r="W750" s="139" t="s">
        <v>1922</v>
      </c>
      <c r="X750" s="139" t="s">
        <v>2855</v>
      </c>
      <c r="Y750" s="112" t="s">
        <v>2994</v>
      </c>
      <c r="Z750" s="112" t="s">
        <v>129</v>
      </c>
      <c r="AA750" s="139" t="s">
        <v>2855</v>
      </c>
    </row>
    <row r="751" spans="1:27" ht="17.25" customHeight="1">
      <c r="A751" s="69" t="str">
        <f>IF(priority(Main[[#This Row],[Comments]])&lt;&gt;0, priority(Main[[#This Row],[Comments]]),"")</f>
        <v/>
      </c>
      <c r="B751" s="63" t="s">
        <v>1568</v>
      </c>
      <c r="C751" s="148" t="s">
        <v>4</v>
      </c>
      <c r="D751" s="113" t="s">
        <v>648</v>
      </c>
      <c r="E751" s="129">
        <v>40477.486574074072</v>
      </c>
      <c r="F751" s="129"/>
      <c r="G751" s="69" t="str">
        <f>IF(stdProdLT(Main[[#This Row],[Comments]])=0.1,"N/A",IF(stdProdLT(Main[[#This Row],[Comments]])=0,"",stdProdLT(Main[[#This Row],[Comments]])))</f>
        <v/>
      </c>
      <c r="H751" s="138" t="str">
        <f>IF(Main[[#This Row],[In Stock Date]]="N/A", "N/A",IF(AND(Main[[#This Row],[In Stock Date]]&lt;&gt;"",Main[[#This Row],[Revised Due Date]]&lt;&gt;"",Main[[#This Row],[In Stock Date]]&lt;&gt;""),Main[[#This Row],[In Stock Date]]-Main[[#This Row],[Revised Due Date]],""))</f>
        <v/>
      </c>
      <c r="I751" s="139" t="s">
        <v>4</v>
      </c>
      <c r="J751" s="139" t="s">
        <v>4</v>
      </c>
      <c r="K751" s="139" t="s">
        <v>4</v>
      </c>
      <c r="L751" s="129"/>
      <c r="M751" s="114" t="str">
        <f>IF(Main[[#This Row],[Tech Start Date]]&lt;1/1/1990,"",IF(Main[[#This Row],[Class]]="C",WORKDAY(Main[[#This Row],[Tech Start Date]],9),IF(Main[[#This Row],[Class]]="B", WORKDAY(Main[[#This Row],[Tech Start Date]],6),IF(Main[[#This Row],[Class]]="A",WORKDAY(Main[[#This Row],[Tech Start Date]],2),""))))</f>
        <v/>
      </c>
      <c r="N751" s="114" t="str">
        <f>IF(Main[[#This Row],[Tech Start Date]]&lt;1/1/1990,"",IF(Main[[#This Row],[Class]]="C",WORKDAY(Main[[#This Row],[Tech Start Date]],19),IF(Main[[#This Row],[Class]]="B", WORKDAY(Main[[#This Row],[Tech Start Date]],12),IF(Main[[#This Row],[Class]]="A",WORKDAY(Main[[#This Row],[Tech Start Date]],4),""))))</f>
        <v/>
      </c>
      <c r="O751" s="114" t="str">
        <f>IF(Main[[#This Row],[Tech Start Date]]&lt;1/1/1990,"",IF(Main[[#This Row],[Class]]="C",WORKDAY(Main[[#This Row],[Tech Start Date]],23),IF(Main[[#This Row],[Class]]="B", WORKDAY(Main[[#This Row],[Tech Start Date]],15),IF(Main[[#This Row],[Class]]="A",WORKDAY(Main[[#This Row],[Tech Start Date]],5),""))))</f>
        <v/>
      </c>
      <c r="P751" s="114" t="str">
        <f>IF(Main[[#This Row],[Tech Start Date]]&lt;1/1/1990,"",IF(Main[[#This Row],[Class]]="C",WORKDAY(Main[[#This Row],[Tech Start Date]],28),IF(Main[[#This Row],[Class]]="B", WORKDAY(Main[[#This Row],[Tech Start Date]],19),IF(Main[[#This Row],[Class]]="A",WORKDAY(Main[[#This Row],[Tech Start Date]],9),""))))</f>
        <v/>
      </c>
      <c r="Q751" s="129">
        <v>40511</v>
      </c>
      <c r="R751" s="129"/>
      <c r="S751" s="139" t="s">
        <v>6</v>
      </c>
      <c r="T751" s="115" t="s">
        <v>4</v>
      </c>
      <c r="U751" s="139" t="s">
        <v>7</v>
      </c>
      <c r="V751" s="139" t="s">
        <v>1914</v>
      </c>
      <c r="W751" s="139" t="s">
        <v>4</v>
      </c>
      <c r="X751" s="139" t="s">
        <v>2818</v>
      </c>
      <c r="Y751" s="112" t="s">
        <v>2929</v>
      </c>
      <c r="Z751" s="112" t="s">
        <v>4</v>
      </c>
      <c r="AA751" s="139" t="s">
        <v>2818</v>
      </c>
    </row>
    <row r="752" spans="1:27" ht="17.25" customHeight="1">
      <c r="A752" s="69" t="str">
        <f>IF(priority(Main[[#This Row],[Comments]])&lt;&gt;0, priority(Main[[#This Row],[Comments]]),"")</f>
        <v/>
      </c>
      <c r="B752" s="63" t="s">
        <v>1569</v>
      </c>
      <c r="C752" s="148" t="s">
        <v>4</v>
      </c>
      <c r="D752" s="113" t="s">
        <v>649</v>
      </c>
      <c r="E752" s="129"/>
      <c r="F752" s="129"/>
      <c r="G752" s="69" t="str">
        <f>IF(stdProdLT(Main[[#This Row],[Comments]])=0.1,"N/A",IF(stdProdLT(Main[[#This Row],[Comments]])=0,"",stdProdLT(Main[[#This Row],[Comments]])))</f>
        <v/>
      </c>
      <c r="H752" s="138" t="str">
        <f>IF(Main[[#This Row],[In Stock Date]]="N/A", "N/A",IF(AND(Main[[#This Row],[In Stock Date]]&lt;&gt;"",Main[[#This Row],[Revised Due Date]]&lt;&gt;"",Main[[#This Row],[In Stock Date]]&lt;&gt;""),Main[[#This Row],[In Stock Date]]-Main[[#This Row],[Revised Due Date]],""))</f>
        <v/>
      </c>
      <c r="I752" s="139" t="s">
        <v>4</v>
      </c>
      <c r="J752" s="139" t="s">
        <v>4</v>
      </c>
      <c r="K752" s="140" t="s">
        <v>4</v>
      </c>
      <c r="L752" s="129"/>
      <c r="M752" s="114" t="str">
        <f>IF(Main[[#This Row],[Tech Start Date]]&lt;1/1/1990,"",IF(Main[[#This Row],[Class]]="C",WORKDAY(Main[[#This Row],[Tech Start Date]],9),IF(Main[[#This Row],[Class]]="B", WORKDAY(Main[[#This Row],[Tech Start Date]],6),IF(Main[[#This Row],[Class]]="A",WORKDAY(Main[[#This Row],[Tech Start Date]],2),""))))</f>
        <v/>
      </c>
      <c r="N752" s="114" t="str">
        <f>IF(Main[[#This Row],[Tech Start Date]]&lt;1/1/1990,"",IF(Main[[#This Row],[Class]]="C",WORKDAY(Main[[#This Row],[Tech Start Date]],19),IF(Main[[#This Row],[Class]]="B", WORKDAY(Main[[#This Row],[Tech Start Date]],12),IF(Main[[#This Row],[Class]]="A",WORKDAY(Main[[#This Row],[Tech Start Date]],4),""))))</f>
        <v/>
      </c>
      <c r="O752" s="114" t="str">
        <f>IF(Main[[#This Row],[Tech Start Date]]&lt;1/1/1990,"",IF(Main[[#This Row],[Class]]="C",WORKDAY(Main[[#This Row],[Tech Start Date]],23),IF(Main[[#This Row],[Class]]="B", WORKDAY(Main[[#This Row],[Tech Start Date]],15),IF(Main[[#This Row],[Class]]="A",WORKDAY(Main[[#This Row],[Tech Start Date]],5),""))))</f>
        <v/>
      </c>
      <c r="P752" s="114" t="str">
        <f>IF(Main[[#This Row],[Tech Start Date]]&lt;1/1/1990,"",IF(Main[[#This Row],[Class]]="C",WORKDAY(Main[[#This Row],[Tech Start Date]],28),IF(Main[[#This Row],[Class]]="B", WORKDAY(Main[[#This Row],[Tech Start Date]],19),IF(Main[[#This Row],[Class]]="A",WORKDAY(Main[[#This Row],[Tech Start Date]],9),""))))</f>
        <v/>
      </c>
      <c r="Q752" s="129">
        <v>40619</v>
      </c>
      <c r="R752" s="129"/>
      <c r="S752" s="139" t="s">
        <v>6</v>
      </c>
      <c r="T752" s="115" t="s">
        <v>4</v>
      </c>
      <c r="U752" s="139" t="s">
        <v>14</v>
      </c>
      <c r="V752" s="139" t="s">
        <v>1924</v>
      </c>
      <c r="W752" s="139" t="s">
        <v>4</v>
      </c>
      <c r="X752" s="139" t="s">
        <v>2903</v>
      </c>
      <c r="Y752" s="112" t="s">
        <v>3083</v>
      </c>
      <c r="Z752" s="112" t="s">
        <v>4</v>
      </c>
      <c r="AA752" s="139" t="s">
        <v>2903</v>
      </c>
    </row>
    <row r="753" spans="1:27" ht="17.25" customHeight="1">
      <c r="A753" s="69" t="str">
        <f>IF(priority(Main[[#This Row],[Comments]])&lt;&gt;0, priority(Main[[#This Row],[Comments]]),"")</f>
        <v/>
      </c>
      <c r="B753" s="63" t="s">
        <v>2106</v>
      </c>
      <c r="C753" s="148" t="s">
        <v>4</v>
      </c>
      <c r="D753" s="113" t="s">
        <v>2107</v>
      </c>
      <c r="E753" s="129">
        <v>40772.421967592592</v>
      </c>
      <c r="F753" s="129"/>
      <c r="G753" s="69" t="str">
        <f>IF(stdProdLT(Main[[#This Row],[Comments]])=0.1,"N/A",IF(stdProdLT(Main[[#This Row],[Comments]])=0,"",stdProdLT(Main[[#This Row],[Comments]])))</f>
        <v/>
      </c>
      <c r="H753" s="138" t="str">
        <f>IF(Main[[#This Row],[In Stock Date]]="N/A", "N/A",IF(AND(Main[[#This Row],[In Stock Date]]&lt;&gt;"",Main[[#This Row],[Revised Due Date]]&lt;&gt;"",Main[[#This Row],[In Stock Date]]&lt;&gt;""),Main[[#This Row],[In Stock Date]]-Main[[#This Row],[Revised Due Date]],""))</f>
        <v/>
      </c>
      <c r="I753" s="139" t="s">
        <v>912</v>
      </c>
      <c r="J753" s="139" t="s">
        <v>52</v>
      </c>
      <c r="K753" s="139" t="s">
        <v>4</v>
      </c>
      <c r="L753" s="129"/>
      <c r="M753" s="114" t="str">
        <f>IF(Main[[#This Row],[Tech Start Date]]&lt;1/1/1990,"",IF(Main[[#This Row],[Class]]="C",WORKDAY(Main[[#This Row],[Tech Start Date]],9),IF(Main[[#This Row],[Class]]="B", WORKDAY(Main[[#This Row],[Tech Start Date]],6),IF(Main[[#This Row],[Class]]="A",WORKDAY(Main[[#This Row],[Tech Start Date]],2),""))))</f>
        <v/>
      </c>
      <c r="N753" s="114" t="str">
        <f>IF(Main[[#This Row],[Tech Start Date]]&lt;1/1/1990,"",IF(Main[[#This Row],[Class]]="C",WORKDAY(Main[[#This Row],[Tech Start Date]],19),IF(Main[[#This Row],[Class]]="B", WORKDAY(Main[[#This Row],[Tech Start Date]],12),IF(Main[[#This Row],[Class]]="A",WORKDAY(Main[[#This Row],[Tech Start Date]],4),""))))</f>
        <v/>
      </c>
      <c r="O753" s="114" t="str">
        <f>IF(Main[[#This Row],[Tech Start Date]]&lt;1/1/1990,"",IF(Main[[#This Row],[Class]]="C",WORKDAY(Main[[#This Row],[Tech Start Date]],23),IF(Main[[#This Row],[Class]]="B", WORKDAY(Main[[#This Row],[Tech Start Date]],15),IF(Main[[#This Row],[Class]]="A",WORKDAY(Main[[#This Row],[Tech Start Date]],5),""))))</f>
        <v/>
      </c>
      <c r="P753" s="114" t="str">
        <f>IF(Main[[#This Row],[Tech Start Date]]&lt;1/1/1990,"",IF(Main[[#This Row],[Class]]="C",WORKDAY(Main[[#This Row],[Tech Start Date]],28),IF(Main[[#This Row],[Class]]="B", WORKDAY(Main[[#This Row],[Tech Start Date]],19),IF(Main[[#This Row],[Class]]="A",WORKDAY(Main[[#This Row],[Tech Start Date]],9),""))))</f>
        <v/>
      </c>
      <c r="Q753" s="129"/>
      <c r="R753" s="129"/>
      <c r="S753" s="139" t="s">
        <v>6</v>
      </c>
      <c r="T753" s="115" t="s">
        <v>4</v>
      </c>
      <c r="U753" s="139" t="s">
        <v>29</v>
      </c>
      <c r="V753" s="139" t="s">
        <v>1914</v>
      </c>
      <c r="W753" s="139" t="s">
        <v>1918</v>
      </c>
      <c r="X753" s="139" t="s">
        <v>937</v>
      </c>
      <c r="Y753" s="112" t="s">
        <v>2984</v>
      </c>
      <c r="Z753" s="112" t="s">
        <v>129</v>
      </c>
      <c r="AA753" s="139" t="s">
        <v>937</v>
      </c>
    </row>
    <row r="754" spans="1:27" ht="17.25" customHeight="1">
      <c r="A754" s="69" t="str">
        <f>IF(priority(Main[[#This Row],[Comments]])&lt;&gt;0, priority(Main[[#This Row],[Comments]]),"")</f>
        <v/>
      </c>
      <c r="B754" s="63" t="s">
        <v>2383</v>
      </c>
      <c r="C754" s="148" t="s">
        <v>47</v>
      </c>
      <c r="D754" s="113" t="s">
        <v>2384</v>
      </c>
      <c r="E754" s="129">
        <v>40847.703090277777</v>
      </c>
      <c r="F754" s="129"/>
      <c r="G754" s="69" t="str">
        <f>IF(stdProdLT(Main[[#This Row],[Comments]])=0.1,"N/A",IF(stdProdLT(Main[[#This Row],[Comments]])=0,"",stdProdLT(Main[[#This Row],[Comments]])))</f>
        <v/>
      </c>
      <c r="H754" s="138" t="str">
        <f>IF(Main[[#This Row],[In Stock Date]]="N/A", "N/A",IF(AND(Main[[#This Row],[In Stock Date]]&lt;&gt;"",Main[[#This Row],[Revised Due Date]]&lt;&gt;"",Main[[#This Row],[In Stock Date]]&lt;&gt;""),Main[[#This Row],[In Stock Date]]-Main[[#This Row],[Revised Due Date]],""))</f>
        <v/>
      </c>
      <c r="I754" s="139" t="s">
        <v>69</v>
      </c>
      <c r="J754" s="139" t="s">
        <v>28</v>
      </c>
      <c r="K754" s="139" t="s">
        <v>1923</v>
      </c>
      <c r="L754" s="129"/>
      <c r="M754" s="114" t="str">
        <f>IF(Main[[#This Row],[Tech Start Date]]&lt;1/1/1990,"",IF(Main[[#This Row],[Class]]="C",WORKDAY(Main[[#This Row],[Tech Start Date]],9),IF(Main[[#This Row],[Class]]="B", WORKDAY(Main[[#This Row],[Tech Start Date]],6),IF(Main[[#This Row],[Class]]="A",WORKDAY(Main[[#This Row],[Tech Start Date]],2),""))))</f>
        <v/>
      </c>
      <c r="N754" s="114" t="str">
        <f>IF(Main[[#This Row],[Tech Start Date]]&lt;1/1/1990,"",IF(Main[[#This Row],[Class]]="C",WORKDAY(Main[[#This Row],[Tech Start Date]],19),IF(Main[[#This Row],[Class]]="B", WORKDAY(Main[[#This Row],[Tech Start Date]],12),IF(Main[[#This Row],[Class]]="A",WORKDAY(Main[[#This Row],[Tech Start Date]],4),""))))</f>
        <v/>
      </c>
      <c r="O754" s="114" t="str">
        <f>IF(Main[[#This Row],[Tech Start Date]]&lt;1/1/1990,"",IF(Main[[#This Row],[Class]]="C",WORKDAY(Main[[#This Row],[Tech Start Date]],23),IF(Main[[#This Row],[Class]]="B", WORKDAY(Main[[#This Row],[Tech Start Date]],15),IF(Main[[#This Row],[Class]]="A",WORKDAY(Main[[#This Row],[Tech Start Date]],5),""))))</f>
        <v/>
      </c>
      <c r="P754" s="114" t="str">
        <f>IF(Main[[#This Row],[Tech Start Date]]&lt;1/1/1990,"",IF(Main[[#This Row],[Class]]="C",WORKDAY(Main[[#This Row],[Tech Start Date]],28),IF(Main[[#This Row],[Class]]="B", WORKDAY(Main[[#This Row],[Tech Start Date]],19),IF(Main[[#This Row],[Class]]="A",WORKDAY(Main[[#This Row],[Tech Start Date]],9),""))))</f>
        <v/>
      </c>
      <c r="Q754" s="129">
        <v>40862</v>
      </c>
      <c r="R754" s="129"/>
      <c r="S754" s="139" t="s">
        <v>6</v>
      </c>
      <c r="T754" s="115" t="s">
        <v>4</v>
      </c>
      <c r="U754" s="139" t="s">
        <v>29</v>
      </c>
      <c r="V754" s="139" t="s">
        <v>1917</v>
      </c>
      <c r="W754" s="139" t="s">
        <v>1918</v>
      </c>
      <c r="X754" s="139" t="s">
        <v>2865</v>
      </c>
      <c r="Y754" s="112" t="s">
        <v>3010</v>
      </c>
      <c r="Z754" s="112" t="s">
        <v>30</v>
      </c>
      <c r="AA754" s="139" t="s">
        <v>2865</v>
      </c>
    </row>
    <row r="755" spans="1:27" ht="17.25" customHeight="1">
      <c r="A755" s="69" t="str">
        <f>IF(priority(Main[[#This Row],[Comments]])&lt;&gt;0, priority(Main[[#This Row],[Comments]]),"")</f>
        <v/>
      </c>
      <c r="B755" s="63" t="s">
        <v>1635</v>
      </c>
      <c r="C755" s="148" t="s">
        <v>4</v>
      </c>
      <c r="D755" s="113" t="s">
        <v>2114</v>
      </c>
      <c r="E755" s="129">
        <v>40696.439942129633</v>
      </c>
      <c r="F755" s="129"/>
      <c r="G755" s="69" t="str">
        <f>IF(stdProdLT(Main[[#This Row],[Comments]])=0.1,"N/A",IF(stdProdLT(Main[[#This Row],[Comments]])=0,"",stdProdLT(Main[[#This Row],[Comments]])))</f>
        <v/>
      </c>
      <c r="H755" s="138" t="str">
        <f>IF(Main[[#This Row],[In Stock Date]]="N/A", "N/A",IF(AND(Main[[#This Row],[In Stock Date]]&lt;&gt;"",Main[[#This Row],[Revised Due Date]]&lt;&gt;"",Main[[#This Row],[In Stock Date]]&lt;&gt;""),Main[[#This Row],[In Stock Date]]-Main[[#This Row],[Revised Due Date]],""))</f>
        <v/>
      </c>
      <c r="I755" s="139" t="s">
        <v>941</v>
      </c>
      <c r="J755" s="139" t="s">
        <v>4</v>
      </c>
      <c r="K755" s="140" t="s">
        <v>4</v>
      </c>
      <c r="L755" s="129"/>
      <c r="M755" s="114" t="str">
        <f>IF(Main[[#This Row],[Tech Start Date]]&lt;1/1/1990,"",IF(Main[[#This Row],[Class]]="C",WORKDAY(Main[[#This Row],[Tech Start Date]],9),IF(Main[[#This Row],[Class]]="B", WORKDAY(Main[[#This Row],[Tech Start Date]],6),IF(Main[[#This Row],[Class]]="A",WORKDAY(Main[[#This Row],[Tech Start Date]],2),""))))</f>
        <v/>
      </c>
      <c r="N755" s="114" t="str">
        <f>IF(Main[[#This Row],[Tech Start Date]]&lt;1/1/1990,"",IF(Main[[#This Row],[Class]]="C",WORKDAY(Main[[#This Row],[Tech Start Date]],19),IF(Main[[#This Row],[Class]]="B", WORKDAY(Main[[#This Row],[Tech Start Date]],12),IF(Main[[#This Row],[Class]]="A",WORKDAY(Main[[#This Row],[Tech Start Date]],4),""))))</f>
        <v/>
      </c>
      <c r="O755" s="114" t="str">
        <f>IF(Main[[#This Row],[Tech Start Date]]&lt;1/1/1990,"",IF(Main[[#This Row],[Class]]="C",WORKDAY(Main[[#This Row],[Tech Start Date]],23),IF(Main[[#This Row],[Class]]="B", WORKDAY(Main[[#This Row],[Tech Start Date]],15),IF(Main[[#This Row],[Class]]="A",WORKDAY(Main[[#This Row],[Tech Start Date]],5),""))))</f>
        <v/>
      </c>
      <c r="P755" s="114" t="str">
        <f>IF(Main[[#This Row],[Tech Start Date]]&lt;1/1/1990,"",IF(Main[[#This Row],[Class]]="C",WORKDAY(Main[[#This Row],[Tech Start Date]],28),IF(Main[[#This Row],[Class]]="B", WORKDAY(Main[[#This Row],[Tech Start Date]],19),IF(Main[[#This Row],[Class]]="A",WORKDAY(Main[[#This Row],[Tech Start Date]],9),""))))</f>
        <v/>
      </c>
      <c r="Q755" s="129"/>
      <c r="R755" s="129">
        <v>40815</v>
      </c>
      <c r="S755" s="139" t="s">
        <v>6</v>
      </c>
      <c r="T755" s="115" t="s">
        <v>4</v>
      </c>
      <c r="U755" s="139" t="s">
        <v>29</v>
      </c>
      <c r="V755" s="139" t="s">
        <v>1915</v>
      </c>
      <c r="W755" s="139" t="s">
        <v>1922</v>
      </c>
      <c r="X755" s="139" t="s">
        <v>941</v>
      </c>
      <c r="Y755" s="112" t="s">
        <v>2995</v>
      </c>
      <c r="Z755" s="112" t="s">
        <v>2053</v>
      </c>
      <c r="AA755" s="139" t="s">
        <v>941</v>
      </c>
    </row>
    <row r="756" spans="1:27" ht="17.25" customHeight="1">
      <c r="A756" s="69" t="str">
        <f>IF(priority(Main[[#This Row],[Comments]])&lt;&gt;0, priority(Main[[#This Row],[Comments]]),"")</f>
        <v/>
      </c>
      <c r="B756" s="63" t="s">
        <v>1425</v>
      </c>
      <c r="C756" s="148" t="s">
        <v>4</v>
      </c>
      <c r="D756" s="113" t="s">
        <v>2385</v>
      </c>
      <c r="E756" s="129">
        <v>40561.285520833335</v>
      </c>
      <c r="F756" s="129"/>
      <c r="G756" s="69" t="str">
        <f>IF(stdProdLT(Main[[#This Row],[Comments]])=0.1,"N/A",IF(stdProdLT(Main[[#This Row],[Comments]])=0,"",stdProdLT(Main[[#This Row],[Comments]])))</f>
        <v/>
      </c>
      <c r="H756" s="138" t="str">
        <f>IF(Main[[#This Row],[In Stock Date]]="N/A", "N/A",IF(AND(Main[[#This Row],[In Stock Date]]&lt;&gt;"",Main[[#This Row],[Revised Due Date]]&lt;&gt;"",Main[[#This Row],[In Stock Date]]&lt;&gt;""),Main[[#This Row],[In Stock Date]]-Main[[#This Row],[Revised Due Date]],""))</f>
        <v/>
      </c>
      <c r="I756" s="139" t="s">
        <v>912</v>
      </c>
      <c r="J756" s="139" t="s">
        <v>52</v>
      </c>
      <c r="K756" s="139" t="s">
        <v>1921</v>
      </c>
      <c r="L756" s="129"/>
      <c r="M756" s="114" t="str">
        <f>IF(Main[[#This Row],[Tech Start Date]]&lt;1/1/1990,"",IF(Main[[#This Row],[Class]]="C",WORKDAY(Main[[#This Row],[Tech Start Date]],9),IF(Main[[#This Row],[Class]]="B", WORKDAY(Main[[#This Row],[Tech Start Date]],6),IF(Main[[#This Row],[Class]]="A",WORKDAY(Main[[#This Row],[Tech Start Date]],2),""))))</f>
        <v/>
      </c>
      <c r="N756" s="114" t="str">
        <f>IF(Main[[#This Row],[Tech Start Date]]&lt;1/1/1990,"",IF(Main[[#This Row],[Class]]="C",WORKDAY(Main[[#This Row],[Tech Start Date]],19),IF(Main[[#This Row],[Class]]="B", WORKDAY(Main[[#This Row],[Tech Start Date]],12),IF(Main[[#This Row],[Class]]="A",WORKDAY(Main[[#This Row],[Tech Start Date]],4),""))))</f>
        <v/>
      </c>
      <c r="O756" s="114" t="str">
        <f>IF(Main[[#This Row],[Tech Start Date]]&lt;1/1/1990,"",IF(Main[[#This Row],[Class]]="C",WORKDAY(Main[[#This Row],[Tech Start Date]],23),IF(Main[[#This Row],[Class]]="B", WORKDAY(Main[[#This Row],[Tech Start Date]],15),IF(Main[[#This Row],[Class]]="A",WORKDAY(Main[[#This Row],[Tech Start Date]],5),""))))</f>
        <v/>
      </c>
      <c r="P756" s="114" t="str">
        <f>IF(Main[[#This Row],[Tech Start Date]]&lt;1/1/1990,"",IF(Main[[#This Row],[Class]]="C",WORKDAY(Main[[#This Row],[Tech Start Date]],28),IF(Main[[#This Row],[Class]]="B", WORKDAY(Main[[#This Row],[Tech Start Date]],19),IF(Main[[#This Row],[Class]]="A",WORKDAY(Main[[#This Row],[Tech Start Date]],9),""))))</f>
        <v/>
      </c>
      <c r="Q756" s="129">
        <v>40595</v>
      </c>
      <c r="R756" s="129"/>
      <c r="S756" s="139" t="s">
        <v>6</v>
      </c>
      <c r="T756" s="115" t="s">
        <v>4</v>
      </c>
      <c r="U756" s="139" t="s">
        <v>29</v>
      </c>
      <c r="V756" s="139" t="s">
        <v>1914</v>
      </c>
      <c r="W756" s="139" t="s">
        <v>1916</v>
      </c>
      <c r="X756" s="139" t="s">
        <v>2822</v>
      </c>
      <c r="Y756" s="112" t="s">
        <v>2938</v>
      </c>
      <c r="Z756" s="112" t="s">
        <v>129</v>
      </c>
      <c r="AA756" s="139" t="s">
        <v>2822</v>
      </c>
    </row>
    <row r="757" spans="1:27" ht="17.25" customHeight="1">
      <c r="A757" s="12" t="str">
        <f>IF(priority(Main[[#This Row],[Comments]])&lt;&gt;0, priority(Main[[#This Row],[Comments]]),"")</f>
        <v/>
      </c>
      <c r="B757" s="63" t="s">
        <v>1574</v>
      </c>
      <c r="C757" s="147" t="s">
        <v>4</v>
      </c>
      <c r="D757" s="117" t="s">
        <v>654</v>
      </c>
      <c r="E757" s="130"/>
      <c r="F757" s="130"/>
      <c r="G757" s="12" t="str">
        <f>IF(stdProdLT(Main[[#This Row],[Comments]])=0.1,"N/A",IF(stdProdLT(Main[[#This Row],[Comments]])=0,"",stdProdLT(Main[[#This Row],[Comments]])))</f>
        <v/>
      </c>
      <c r="H757" s="141" t="str">
        <f>IF(Main[[#This Row],[In Stock Date]]="N/A", "N/A",IF(AND(Main[[#This Row],[In Stock Date]]&lt;&gt;"",Main[[#This Row],[Revised Due Date]]&lt;&gt;"",Main[[#This Row],[In Stock Date]]&lt;&gt;""),Main[[#This Row],[In Stock Date]]-Main[[#This Row],[Revised Due Date]],""))</f>
        <v/>
      </c>
      <c r="I757" s="12" t="s">
        <v>4</v>
      </c>
      <c r="J757" s="12" t="s">
        <v>4</v>
      </c>
      <c r="K757" s="12" t="s">
        <v>4</v>
      </c>
      <c r="L757" s="130"/>
      <c r="M757" s="114" t="str">
        <f>IF(Main[[#This Row],[Tech Start Date]]&lt;1/1/1990,"",IF(Main[[#This Row],[Class]]="C",WORKDAY(Main[[#This Row],[Tech Start Date]],9),IF(Main[[#This Row],[Class]]="B", WORKDAY(Main[[#This Row],[Tech Start Date]],6),IF(Main[[#This Row],[Class]]="A",WORKDAY(Main[[#This Row],[Tech Start Date]],2),""))))</f>
        <v/>
      </c>
      <c r="N757" s="114" t="str">
        <f>IF(Main[[#This Row],[Tech Start Date]]&lt;1/1/1990,"",IF(Main[[#This Row],[Class]]="C",WORKDAY(Main[[#This Row],[Tech Start Date]],19),IF(Main[[#This Row],[Class]]="B", WORKDAY(Main[[#This Row],[Tech Start Date]],12),IF(Main[[#This Row],[Class]]="A",WORKDAY(Main[[#This Row],[Tech Start Date]],4),""))))</f>
        <v/>
      </c>
      <c r="O757" s="114" t="str">
        <f>IF(Main[[#This Row],[Tech Start Date]]&lt;1/1/1990,"",IF(Main[[#This Row],[Class]]="C",WORKDAY(Main[[#This Row],[Tech Start Date]],23),IF(Main[[#This Row],[Class]]="B", WORKDAY(Main[[#This Row],[Tech Start Date]],15),IF(Main[[#This Row],[Class]]="A",WORKDAY(Main[[#This Row],[Tech Start Date]],5),""))))</f>
        <v/>
      </c>
      <c r="P757" s="114" t="str">
        <f>IF(Main[[#This Row],[Tech Start Date]]&lt;1/1/1990,"",IF(Main[[#This Row],[Class]]="C",WORKDAY(Main[[#This Row],[Tech Start Date]],28),IF(Main[[#This Row],[Class]]="B", WORKDAY(Main[[#This Row],[Tech Start Date]],19),IF(Main[[#This Row],[Class]]="A",WORKDAY(Main[[#This Row],[Tech Start Date]],9),""))))</f>
        <v/>
      </c>
      <c r="Q757" s="130"/>
      <c r="R757" s="130"/>
      <c r="S757" s="12" t="s">
        <v>6</v>
      </c>
      <c r="T757" s="118" t="s">
        <v>4</v>
      </c>
      <c r="U757" s="12" t="s">
        <v>12</v>
      </c>
      <c r="V757" s="12" t="s">
        <v>1914</v>
      </c>
      <c r="W757" s="12" t="s">
        <v>4</v>
      </c>
      <c r="X757" s="12" t="s">
        <v>708</v>
      </c>
      <c r="Y757" s="116" t="s">
        <v>3070</v>
      </c>
      <c r="Z757" s="116" t="s">
        <v>4</v>
      </c>
      <c r="AA757" s="139" t="s">
        <v>708</v>
      </c>
    </row>
    <row r="758" spans="1:27" ht="17.25" customHeight="1">
      <c r="A758" s="69" t="str">
        <f>IF(priority(Main[[#This Row],[Comments]])&lt;&gt;0, priority(Main[[#This Row],[Comments]]),"")</f>
        <v/>
      </c>
      <c r="B758" s="63" t="s">
        <v>1575</v>
      </c>
      <c r="C758" s="148" t="s">
        <v>4</v>
      </c>
      <c r="D758" s="113" t="s">
        <v>655</v>
      </c>
      <c r="E758" s="129"/>
      <c r="F758" s="129"/>
      <c r="G758" s="69" t="str">
        <f>IF(stdProdLT(Main[[#This Row],[Comments]])=0.1,"N/A",IF(stdProdLT(Main[[#This Row],[Comments]])=0,"",stdProdLT(Main[[#This Row],[Comments]])))</f>
        <v/>
      </c>
      <c r="H758" s="138" t="str">
        <f>IF(Main[[#This Row],[In Stock Date]]="N/A", "N/A",IF(AND(Main[[#This Row],[In Stock Date]]&lt;&gt;"",Main[[#This Row],[Revised Due Date]]&lt;&gt;"",Main[[#This Row],[In Stock Date]]&lt;&gt;""),Main[[#This Row],[In Stock Date]]-Main[[#This Row],[Revised Due Date]],""))</f>
        <v/>
      </c>
      <c r="I758" s="139" t="s">
        <v>4</v>
      </c>
      <c r="J758" s="139" t="s">
        <v>4</v>
      </c>
      <c r="K758" s="139" t="s">
        <v>4</v>
      </c>
      <c r="L758" s="129"/>
      <c r="M758" s="114" t="str">
        <f>IF(Main[[#This Row],[Tech Start Date]]&lt;1/1/1990,"",IF(Main[[#This Row],[Class]]="C",WORKDAY(Main[[#This Row],[Tech Start Date]],9),IF(Main[[#This Row],[Class]]="B", WORKDAY(Main[[#This Row],[Tech Start Date]],6),IF(Main[[#This Row],[Class]]="A",WORKDAY(Main[[#This Row],[Tech Start Date]],2),""))))</f>
        <v/>
      </c>
      <c r="N758" s="114" t="str">
        <f>IF(Main[[#This Row],[Tech Start Date]]&lt;1/1/1990,"",IF(Main[[#This Row],[Class]]="C",WORKDAY(Main[[#This Row],[Tech Start Date]],19),IF(Main[[#This Row],[Class]]="B", WORKDAY(Main[[#This Row],[Tech Start Date]],12),IF(Main[[#This Row],[Class]]="A",WORKDAY(Main[[#This Row],[Tech Start Date]],4),""))))</f>
        <v/>
      </c>
      <c r="O758" s="114" t="str">
        <f>IF(Main[[#This Row],[Tech Start Date]]&lt;1/1/1990,"",IF(Main[[#This Row],[Class]]="C",WORKDAY(Main[[#This Row],[Tech Start Date]],23),IF(Main[[#This Row],[Class]]="B", WORKDAY(Main[[#This Row],[Tech Start Date]],15),IF(Main[[#This Row],[Class]]="A",WORKDAY(Main[[#This Row],[Tech Start Date]],5),""))))</f>
        <v/>
      </c>
      <c r="P758" s="114" t="str">
        <f>IF(Main[[#This Row],[Tech Start Date]]&lt;1/1/1990,"",IF(Main[[#This Row],[Class]]="C",WORKDAY(Main[[#This Row],[Tech Start Date]],28),IF(Main[[#This Row],[Class]]="B", WORKDAY(Main[[#This Row],[Tech Start Date]],19),IF(Main[[#This Row],[Class]]="A",WORKDAY(Main[[#This Row],[Tech Start Date]],9),""))))</f>
        <v/>
      </c>
      <c r="Q758" s="129"/>
      <c r="R758" s="129"/>
      <c r="S758" s="139" t="s">
        <v>6</v>
      </c>
      <c r="T758" s="115" t="s">
        <v>4</v>
      </c>
      <c r="U758" s="139" t="s">
        <v>14</v>
      </c>
      <c r="V758" s="139" t="s">
        <v>1914</v>
      </c>
      <c r="W758" s="139" t="s">
        <v>1922</v>
      </c>
      <c r="X758" s="139" t="s">
        <v>708</v>
      </c>
      <c r="Y758" s="112" t="s">
        <v>3084</v>
      </c>
      <c r="Z758" s="112" t="s">
        <v>4</v>
      </c>
      <c r="AA758" s="139" t="s">
        <v>3425</v>
      </c>
    </row>
    <row r="759" spans="1:27" ht="17.25" customHeight="1">
      <c r="A759" s="69" t="str">
        <f>IF(priority(Main[[#This Row],[Comments]])&lt;&gt;0, priority(Main[[#This Row],[Comments]]),"")</f>
        <v/>
      </c>
      <c r="B759" s="63" t="s">
        <v>1576</v>
      </c>
      <c r="C759" s="148" t="s">
        <v>4</v>
      </c>
      <c r="D759" s="113" t="s">
        <v>656</v>
      </c>
      <c r="E759" s="129"/>
      <c r="F759" s="129"/>
      <c r="G759" s="69" t="str">
        <f>IF(stdProdLT(Main[[#This Row],[Comments]])=0.1,"N/A",IF(stdProdLT(Main[[#This Row],[Comments]])=0,"",stdProdLT(Main[[#This Row],[Comments]])))</f>
        <v/>
      </c>
      <c r="H759" s="138" t="str">
        <f>IF(Main[[#This Row],[In Stock Date]]="N/A", "N/A",IF(AND(Main[[#This Row],[In Stock Date]]&lt;&gt;"",Main[[#This Row],[Revised Due Date]]&lt;&gt;"",Main[[#This Row],[In Stock Date]]&lt;&gt;""),Main[[#This Row],[In Stock Date]]-Main[[#This Row],[Revised Due Date]],""))</f>
        <v/>
      </c>
      <c r="I759" s="139" t="s">
        <v>4</v>
      </c>
      <c r="J759" s="139" t="s">
        <v>4</v>
      </c>
      <c r="K759" s="139" t="s">
        <v>4</v>
      </c>
      <c r="L759" s="129"/>
      <c r="M759" s="114" t="str">
        <f>IF(Main[[#This Row],[Tech Start Date]]&lt;1/1/1990,"",IF(Main[[#This Row],[Class]]="C",WORKDAY(Main[[#This Row],[Tech Start Date]],9),IF(Main[[#This Row],[Class]]="B", WORKDAY(Main[[#This Row],[Tech Start Date]],6),IF(Main[[#This Row],[Class]]="A",WORKDAY(Main[[#This Row],[Tech Start Date]],2),""))))</f>
        <v/>
      </c>
      <c r="N759" s="114" t="str">
        <f>IF(Main[[#This Row],[Tech Start Date]]&lt;1/1/1990,"",IF(Main[[#This Row],[Class]]="C",WORKDAY(Main[[#This Row],[Tech Start Date]],19),IF(Main[[#This Row],[Class]]="B", WORKDAY(Main[[#This Row],[Tech Start Date]],12),IF(Main[[#This Row],[Class]]="A",WORKDAY(Main[[#This Row],[Tech Start Date]],4),""))))</f>
        <v/>
      </c>
      <c r="O759" s="114" t="str">
        <f>IF(Main[[#This Row],[Tech Start Date]]&lt;1/1/1990,"",IF(Main[[#This Row],[Class]]="C",WORKDAY(Main[[#This Row],[Tech Start Date]],23),IF(Main[[#This Row],[Class]]="B", WORKDAY(Main[[#This Row],[Tech Start Date]],15),IF(Main[[#This Row],[Class]]="A",WORKDAY(Main[[#This Row],[Tech Start Date]],5),""))))</f>
        <v/>
      </c>
      <c r="P759" s="114" t="str">
        <f>IF(Main[[#This Row],[Tech Start Date]]&lt;1/1/1990,"",IF(Main[[#This Row],[Class]]="C",WORKDAY(Main[[#This Row],[Tech Start Date]],28),IF(Main[[#This Row],[Class]]="B", WORKDAY(Main[[#This Row],[Tech Start Date]],19),IF(Main[[#This Row],[Class]]="A",WORKDAY(Main[[#This Row],[Tech Start Date]],9),""))))</f>
        <v/>
      </c>
      <c r="Q759" s="129"/>
      <c r="R759" s="129"/>
      <c r="S759" s="139" t="s">
        <v>11</v>
      </c>
      <c r="T759" s="115" t="s">
        <v>4</v>
      </c>
      <c r="U759" s="139" t="s">
        <v>12</v>
      </c>
      <c r="V759" s="139" t="s">
        <v>1914</v>
      </c>
      <c r="W759" s="139" t="s">
        <v>1918</v>
      </c>
      <c r="X759" s="139" t="s">
        <v>922</v>
      </c>
      <c r="Y759" s="112" t="s">
        <v>2992</v>
      </c>
      <c r="Z759" s="112" t="s">
        <v>4</v>
      </c>
      <c r="AA759" s="139" t="s">
        <v>3426</v>
      </c>
    </row>
    <row r="760" spans="1:27" ht="17.25" customHeight="1">
      <c r="A760" s="69" t="str">
        <f>IF(priority(Main[[#This Row],[Comments]])&lt;&gt;0, priority(Main[[#This Row],[Comments]]),"")</f>
        <v/>
      </c>
      <c r="B760" s="63" t="s">
        <v>1577</v>
      </c>
      <c r="C760" s="148" t="s">
        <v>4</v>
      </c>
      <c r="D760" s="113" t="s">
        <v>97</v>
      </c>
      <c r="E760" s="129"/>
      <c r="F760" s="129"/>
      <c r="G760" s="69" t="str">
        <f>IF(stdProdLT(Main[[#This Row],[Comments]])=0.1,"N/A",IF(stdProdLT(Main[[#This Row],[Comments]])=0,"",stdProdLT(Main[[#This Row],[Comments]])))</f>
        <v/>
      </c>
      <c r="H760" s="138" t="str">
        <f>IF(Main[[#This Row],[In Stock Date]]="N/A", "N/A",IF(AND(Main[[#This Row],[In Stock Date]]&lt;&gt;"",Main[[#This Row],[Revised Due Date]]&lt;&gt;"",Main[[#This Row],[In Stock Date]]&lt;&gt;""),Main[[#This Row],[In Stock Date]]-Main[[#This Row],[Revised Due Date]],""))</f>
        <v/>
      </c>
      <c r="I760" s="139" t="s">
        <v>4</v>
      </c>
      <c r="J760" s="139" t="s">
        <v>4</v>
      </c>
      <c r="K760" s="139" t="s">
        <v>4</v>
      </c>
      <c r="L760" s="129"/>
      <c r="M760" s="114" t="str">
        <f>IF(Main[[#This Row],[Tech Start Date]]&lt;1/1/1990,"",IF(Main[[#This Row],[Class]]="C",WORKDAY(Main[[#This Row],[Tech Start Date]],9),IF(Main[[#This Row],[Class]]="B", WORKDAY(Main[[#This Row],[Tech Start Date]],6),IF(Main[[#This Row],[Class]]="A",WORKDAY(Main[[#This Row],[Tech Start Date]],2),""))))</f>
        <v/>
      </c>
      <c r="N760" s="114" t="str">
        <f>IF(Main[[#This Row],[Tech Start Date]]&lt;1/1/1990,"",IF(Main[[#This Row],[Class]]="C",WORKDAY(Main[[#This Row],[Tech Start Date]],19),IF(Main[[#This Row],[Class]]="B", WORKDAY(Main[[#This Row],[Tech Start Date]],12),IF(Main[[#This Row],[Class]]="A",WORKDAY(Main[[#This Row],[Tech Start Date]],4),""))))</f>
        <v/>
      </c>
      <c r="O760" s="114" t="str">
        <f>IF(Main[[#This Row],[Tech Start Date]]&lt;1/1/1990,"",IF(Main[[#This Row],[Class]]="C",WORKDAY(Main[[#This Row],[Tech Start Date]],23),IF(Main[[#This Row],[Class]]="B", WORKDAY(Main[[#This Row],[Tech Start Date]],15),IF(Main[[#This Row],[Class]]="A",WORKDAY(Main[[#This Row],[Tech Start Date]],5),""))))</f>
        <v/>
      </c>
      <c r="P760" s="114" t="str">
        <f>IF(Main[[#This Row],[Tech Start Date]]&lt;1/1/1990,"",IF(Main[[#This Row],[Class]]="C",WORKDAY(Main[[#This Row],[Tech Start Date]],28),IF(Main[[#This Row],[Class]]="B", WORKDAY(Main[[#This Row],[Tech Start Date]],19),IF(Main[[#This Row],[Class]]="A",WORKDAY(Main[[#This Row],[Tech Start Date]],9),""))))</f>
        <v/>
      </c>
      <c r="Q760" s="129">
        <v>40858</v>
      </c>
      <c r="R760" s="129"/>
      <c r="S760" s="139" t="s">
        <v>17</v>
      </c>
      <c r="T760" s="115" t="s">
        <v>4</v>
      </c>
      <c r="U760" s="139" t="s">
        <v>14</v>
      </c>
      <c r="V760" s="139" t="s">
        <v>1914</v>
      </c>
      <c r="W760" s="139" t="s">
        <v>1919</v>
      </c>
      <c r="X760" s="139" t="s">
        <v>50</v>
      </c>
      <c r="Y760" s="112" t="s">
        <v>2959</v>
      </c>
      <c r="Z760" s="112" t="s">
        <v>4</v>
      </c>
      <c r="AA760" s="139" t="s">
        <v>2828</v>
      </c>
    </row>
    <row r="761" spans="1:27" ht="17.25" customHeight="1">
      <c r="A761" s="69" t="str">
        <f>IF(priority(Main[[#This Row],[Comments]])&lt;&gt;0, priority(Main[[#This Row],[Comments]]),"")</f>
        <v/>
      </c>
      <c r="B761" s="63" t="s">
        <v>1850</v>
      </c>
      <c r="C761" s="148" t="s">
        <v>67</v>
      </c>
      <c r="D761" s="113" t="s">
        <v>906</v>
      </c>
      <c r="E761" s="129">
        <v>39981.49428240741</v>
      </c>
      <c r="F761" s="129"/>
      <c r="G761" s="69" t="str">
        <f>IF(stdProdLT(Main[[#This Row],[Comments]])=0.1,"N/A",IF(stdProdLT(Main[[#This Row],[Comments]])=0,"",stdProdLT(Main[[#This Row],[Comments]])))</f>
        <v/>
      </c>
      <c r="H761" s="138" t="str">
        <f>IF(Main[[#This Row],[In Stock Date]]="N/A", "N/A",IF(AND(Main[[#This Row],[In Stock Date]]&lt;&gt;"",Main[[#This Row],[Revised Due Date]]&lt;&gt;"",Main[[#This Row],[In Stock Date]]&lt;&gt;""),Main[[#This Row],[In Stock Date]]-Main[[#This Row],[Revised Due Date]],""))</f>
        <v/>
      </c>
      <c r="I761" s="139" t="s">
        <v>974</v>
      </c>
      <c r="J761" s="139" t="s">
        <v>4</v>
      </c>
      <c r="K761" s="139" t="s">
        <v>1926</v>
      </c>
      <c r="L761" s="129"/>
      <c r="M761" s="114" t="str">
        <f>IF(Main[[#This Row],[Tech Start Date]]&lt;1/1/1990,"",IF(Main[[#This Row],[Class]]="C",WORKDAY(Main[[#This Row],[Tech Start Date]],9),IF(Main[[#This Row],[Class]]="B", WORKDAY(Main[[#This Row],[Tech Start Date]],6),IF(Main[[#This Row],[Class]]="A",WORKDAY(Main[[#This Row],[Tech Start Date]],2),""))))</f>
        <v/>
      </c>
      <c r="N761" s="114" t="str">
        <f>IF(Main[[#This Row],[Tech Start Date]]&lt;1/1/1990,"",IF(Main[[#This Row],[Class]]="C",WORKDAY(Main[[#This Row],[Tech Start Date]],19),IF(Main[[#This Row],[Class]]="B", WORKDAY(Main[[#This Row],[Tech Start Date]],12),IF(Main[[#This Row],[Class]]="A",WORKDAY(Main[[#This Row],[Tech Start Date]],4),""))))</f>
        <v/>
      </c>
      <c r="O761" s="114" t="str">
        <f>IF(Main[[#This Row],[Tech Start Date]]&lt;1/1/1990,"",IF(Main[[#This Row],[Class]]="C",WORKDAY(Main[[#This Row],[Tech Start Date]],23),IF(Main[[#This Row],[Class]]="B", WORKDAY(Main[[#This Row],[Tech Start Date]],15),IF(Main[[#This Row],[Class]]="A",WORKDAY(Main[[#This Row],[Tech Start Date]],5),""))))</f>
        <v/>
      </c>
      <c r="P761" s="114" t="str">
        <f>IF(Main[[#This Row],[Tech Start Date]]&lt;1/1/1990,"",IF(Main[[#This Row],[Class]]="C",WORKDAY(Main[[#This Row],[Tech Start Date]],28),IF(Main[[#This Row],[Class]]="B", WORKDAY(Main[[#This Row],[Tech Start Date]],19),IF(Main[[#This Row],[Class]]="A",WORKDAY(Main[[#This Row],[Tech Start Date]],9),""))))</f>
        <v/>
      </c>
      <c r="Q761" s="129">
        <v>40057</v>
      </c>
      <c r="R761" s="129">
        <v>40908</v>
      </c>
      <c r="S761" s="139" t="s">
        <v>17</v>
      </c>
      <c r="T761" s="115" t="s">
        <v>4</v>
      </c>
      <c r="U761" s="139" t="s">
        <v>29</v>
      </c>
      <c r="V761" s="139" t="s">
        <v>1917</v>
      </c>
      <c r="W761" s="139" t="s">
        <v>1919</v>
      </c>
      <c r="X761" s="139" t="s">
        <v>2820</v>
      </c>
      <c r="Y761" s="112" t="s">
        <v>3028</v>
      </c>
      <c r="Z761" s="112" t="s">
        <v>415</v>
      </c>
      <c r="AA761" s="139" t="s">
        <v>2858</v>
      </c>
    </row>
    <row r="762" spans="1:27" ht="17.25" customHeight="1">
      <c r="A762" s="69" t="str">
        <f>IF(priority(Main[[#This Row],[Comments]])&lt;&gt;0, priority(Main[[#This Row],[Comments]]),"")</f>
        <v/>
      </c>
      <c r="B762" s="63" t="s">
        <v>1832</v>
      </c>
      <c r="C762" s="148" t="s">
        <v>4</v>
      </c>
      <c r="D762" s="113" t="s">
        <v>885</v>
      </c>
      <c r="E762" s="129">
        <v>40045.443194444444</v>
      </c>
      <c r="F762" s="129"/>
      <c r="G762" s="69" t="str">
        <f>IF(stdProdLT(Main[[#This Row],[Comments]])=0.1,"N/A",IF(stdProdLT(Main[[#This Row],[Comments]])=0,"",stdProdLT(Main[[#This Row],[Comments]])))</f>
        <v/>
      </c>
      <c r="H762" s="138" t="str">
        <f>IF(Main[[#This Row],[In Stock Date]]="N/A", "N/A",IF(AND(Main[[#This Row],[In Stock Date]]&lt;&gt;"",Main[[#This Row],[Revised Due Date]]&lt;&gt;"",Main[[#This Row],[In Stock Date]]&lt;&gt;""),Main[[#This Row],[In Stock Date]]-Main[[#This Row],[Revised Due Date]],""))</f>
        <v/>
      </c>
      <c r="I762" s="139" t="s">
        <v>886</v>
      </c>
      <c r="J762" s="139" t="s">
        <v>4</v>
      </c>
      <c r="K762" s="139" t="s">
        <v>1926</v>
      </c>
      <c r="L762" s="129"/>
      <c r="M762" s="114" t="str">
        <f>IF(Main[[#This Row],[Tech Start Date]]&lt;1/1/1990,"",IF(Main[[#This Row],[Class]]="C",WORKDAY(Main[[#This Row],[Tech Start Date]],9),IF(Main[[#This Row],[Class]]="B", WORKDAY(Main[[#This Row],[Tech Start Date]],6),IF(Main[[#This Row],[Class]]="A",WORKDAY(Main[[#This Row],[Tech Start Date]],2),""))))</f>
        <v/>
      </c>
      <c r="N762" s="114" t="str">
        <f>IF(Main[[#This Row],[Tech Start Date]]&lt;1/1/1990,"",IF(Main[[#This Row],[Class]]="C",WORKDAY(Main[[#This Row],[Tech Start Date]],19),IF(Main[[#This Row],[Class]]="B", WORKDAY(Main[[#This Row],[Tech Start Date]],12),IF(Main[[#This Row],[Class]]="A",WORKDAY(Main[[#This Row],[Tech Start Date]],4),""))))</f>
        <v/>
      </c>
      <c r="O762" s="114" t="str">
        <f>IF(Main[[#This Row],[Tech Start Date]]&lt;1/1/1990,"",IF(Main[[#This Row],[Class]]="C",WORKDAY(Main[[#This Row],[Tech Start Date]],23),IF(Main[[#This Row],[Class]]="B", WORKDAY(Main[[#This Row],[Tech Start Date]],15),IF(Main[[#This Row],[Class]]="A",WORKDAY(Main[[#This Row],[Tech Start Date]],5),""))))</f>
        <v/>
      </c>
      <c r="P762" s="114" t="str">
        <f>IF(Main[[#This Row],[Tech Start Date]]&lt;1/1/1990,"",IF(Main[[#This Row],[Class]]="C",WORKDAY(Main[[#This Row],[Tech Start Date]],28),IF(Main[[#This Row],[Class]]="B", WORKDAY(Main[[#This Row],[Tech Start Date]],19),IF(Main[[#This Row],[Class]]="A",WORKDAY(Main[[#This Row],[Tech Start Date]],9),""))))</f>
        <v/>
      </c>
      <c r="Q762" s="129">
        <v>40359</v>
      </c>
      <c r="R762" s="129">
        <v>40420</v>
      </c>
      <c r="S762" s="139" t="s">
        <v>6</v>
      </c>
      <c r="T762" s="115" t="s">
        <v>4</v>
      </c>
      <c r="U762" s="139" t="s">
        <v>29</v>
      </c>
      <c r="V762" s="139" t="s">
        <v>1914</v>
      </c>
      <c r="W762" s="139" t="s">
        <v>1918</v>
      </c>
      <c r="X762" s="139" t="s">
        <v>969</v>
      </c>
      <c r="Y762" s="112" t="s">
        <v>3085</v>
      </c>
      <c r="Z762" s="112" t="s">
        <v>4</v>
      </c>
      <c r="AA762" s="139" t="s">
        <v>969</v>
      </c>
    </row>
    <row r="763" spans="1:27" ht="17.25" customHeight="1">
      <c r="A763" s="69" t="str">
        <f>IF(priority(Main[[#This Row],[Comments]])&lt;&gt;0, priority(Main[[#This Row],[Comments]]),"")</f>
        <v/>
      </c>
      <c r="B763" s="63" t="s">
        <v>1579</v>
      </c>
      <c r="C763" s="148" t="s">
        <v>47</v>
      </c>
      <c r="D763" s="113" t="s">
        <v>659</v>
      </c>
      <c r="E763" s="129"/>
      <c r="F763" s="129"/>
      <c r="G763" s="69" t="str">
        <f>IF(stdProdLT(Main[[#This Row],[Comments]])=0.1,"N/A",IF(stdProdLT(Main[[#This Row],[Comments]])=0,"",stdProdLT(Main[[#This Row],[Comments]])))</f>
        <v/>
      </c>
      <c r="H763" s="138" t="str">
        <f>IF(Main[[#This Row],[In Stock Date]]="N/A", "N/A",IF(AND(Main[[#This Row],[In Stock Date]]&lt;&gt;"",Main[[#This Row],[Revised Due Date]]&lt;&gt;"",Main[[#This Row],[In Stock Date]]&lt;&gt;""),Main[[#This Row],[In Stock Date]]-Main[[#This Row],[Revised Due Date]],""))</f>
        <v/>
      </c>
      <c r="I763" s="139" t="s">
        <v>4</v>
      </c>
      <c r="J763" s="139" t="s">
        <v>4</v>
      </c>
      <c r="K763" s="139" t="s">
        <v>4</v>
      </c>
      <c r="L763" s="129"/>
      <c r="M763" s="114" t="str">
        <f>IF(Main[[#This Row],[Tech Start Date]]&lt;1/1/1990,"",IF(Main[[#This Row],[Class]]="C",WORKDAY(Main[[#This Row],[Tech Start Date]],9),IF(Main[[#This Row],[Class]]="B", WORKDAY(Main[[#This Row],[Tech Start Date]],6),IF(Main[[#This Row],[Class]]="A",WORKDAY(Main[[#This Row],[Tech Start Date]],2),""))))</f>
        <v/>
      </c>
      <c r="N763" s="114" t="str">
        <f>IF(Main[[#This Row],[Tech Start Date]]&lt;1/1/1990,"",IF(Main[[#This Row],[Class]]="C",WORKDAY(Main[[#This Row],[Tech Start Date]],19),IF(Main[[#This Row],[Class]]="B", WORKDAY(Main[[#This Row],[Tech Start Date]],12),IF(Main[[#This Row],[Class]]="A",WORKDAY(Main[[#This Row],[Tech Start Date]],4),""))))</f>
        <v/>
      </c>
      <c r="O763" s="114" t="str">
        <f>IF(Main[[#This Row],[Tech Start Date]]&lt;1/1/1990,"",IF(Main[[#This Row],[Class]]="C",WORKDAY(Main[[#This Row],[Tech Start Date]],23),IF(Main[[#This Row],[Class]]="B", WORKDAY(Main[[#This Row],[Tech Start Date]],15),IF(Main[[#This Row],[Class]]="A",WORKDAY(Main[[#This Row],[Tech Start Date]],5),""))))</f>
        <v/>
      </c>
      <c r="P763" s="114" t="str">
        <f>IF(Main[[#This Row],[Tech Start Date]]&lt;1/1/1990,"",IF(Main[[#This Row],[Class]]="C",WORKDAY(Main[[#This Row],[Tech Start Date]],28),IF(Main[[#This Row],[Class]]="B", WORKDAY(Main[[#This Row],[Tech Start Date]],19),IF(Main[[#This Row],[Class]]="A",WORKDAY(Main[[#This Row],[Tech Start Date]],9),""))))</f>
        <v/>
      </c>
      <c r="Q763" s="129"/>
      <c r="R763" s="129"/>
      <c r="S763" s="139" t="s">
        <v>17</v>
      </c>
      <c r="T763" s="115" t="s">
        <v>4</v>
      </c>
      <c r="U763" s="139" t="s">
        <v>14</v>
      </c>
      <c r="V763" s="139" t="s">
        <v>1917</v>
      </c>
      <c r="W763" s="139" t="s">
        <v>4</v>
      </c>
      <c r="X763" s="139" t="s">
        <v>2859</v>
      </c>
      <c r="Y763" s="112" t="s">
        <v>2948</v>
      </c>
      <c r="Z763" s="112" t="s">
        <v>4</v>
      </c>
      <c r="AA763" s="139" t="s">
        <v>2859</v>
      </c>
    </row>
    <row r="764" spans="1:27" ht="17.25" customHeight="1">
      <c r="A764" s="69" t="str">
        <f>IF(priority(Main[[#This Row],[Comments]])&lt;&gt;0, priority(Main[[#This Row],[Comments]]),"")</f>
        <v/>
      </c>
      <c r="B764" s="63" t="s">
        <v>1580</v>
      </c>
      <c r="C764" s="148" t="s">
        <v>277</v>
      </c>
      <c r="D764" s="113" t="s">
        <v>660</v>
      </c>
      <c r="E764" s="129"/>
      <c r="F764" s="129">
        <v>40567</v>
      </c>
      <c r="G764" s="69" t="str">
        <f>IF(stdProdLT(Main[[#This Row],[Comments]])=0.1,"N/A",IF(stdProdLT(Main[[#This Row],[Comments]])=0,"",stdProdLT(Main[[#This Row],[Comments]])))</f>
        <v/>
      </c>
      <c r="H764" s="138" t="str">
        <f>IF(Main[[#This Row],[In Stock Date]]="N/A", "N/A",IF(AND(Main[[#This Row],[In Stock Date]]&lt;&gt;"",Main[[#This Row],[Revised Due Date]]&lt;&gt;"",Main[[#This Row],[In Stock Date]]&lt;&gt;""),Main[[#This Row],[In Stock Date]]-Main[[#This Row],[Revised Due Date]],""))</f>
        <v/>
      </c>
      <c r="I764" s="139" t="s">
        <v>4</v>
      </c>
      <c r="J764" s="139" t="s">
        <v>4</v>
      </c>
      <c r="K764" s="139" t="s">
        <v>4</v>
      </c>
      <c r="L764" s="129"/>
      <c r="M764" s="114" t="str">
        <f>IF(Main[[#This Row],[Tech Start Date]]&lt;1/1/1990,"",IF(Main[[#This Row],[Class]]="C",WORKDAY(Main[[#This Row],[Tech Start Date]],9),IF(Main[[#This Row],[Class]]="B", WORKDAY(Main[[#This Row],[Tech Start Date]],6),IF(Main[[#This Row],[Class]]="A",WORKDAY(Main[[#This Row],[Tech Start Date]],2),""))))</f>
        <v/>
      </c>
      <c r="N764" s="114" t="str">
        <f>IF(Main[[#This Row],[Tech Start Date]]&lt;1/1/1990,"",IF(Main[[#This Row],[Class]]="C",WORKDAY(Main[[#This Row],[Tech Start Date]],19),IF(Main[[#This Row],[Class]]="B", WORKDAY(Main[[#This Row],[Tech Start Date]],12),IF(Main[[#This Row],[Class]]="A",WORKDAY(Main[[#This Row],[Tech Start Date]],4),""))))</f>
        <v/>
      </c>
      <c r="O764" s="114" t="str">
        <f>IF(Main[[#This Row],[Tech Start Date]]&lt;1/1/1990,"",IF(Main[[#This Row],[Class]]="C",WORKDAY(Main[[#This Row],[Tech Start Date]],23),IF(Main[[#This Row],[Class]]="B", WORKDAY(Main[[#This Row],[Tech Start Date]],15),IF(Main[[#This Row],[Class]]="A",WORKDAY(Main[[#This Row],[Tech Start Date]],5),""))))</f>
        <v/>
      </c>
      <c r="P764" s="114" t="str">
        <f>IF(Main[[#This Row],[Tech Start Date]]&lt;1/1/1990,"",IF(Main[[#This Row],[Class]]="C",WORKDAY(Main[[#This Row],[Tech Start Date]],28),IF(Main[[#This Row],[Class]]="B", WORKDAY(Main[[#This Row],[Tech Start Date]],19),IF(Main[[#This Row],[Class]]="A",WORKDAY(Main[[#This Row],[Tech Start Date]],9),""))))</f>
        <v/>
      </c>
      <c r="Q764" s="129">
        <v>40427</v>
      </c>
      <c r="R764" s="129"/>
      <c r="S764" s="139" t="s">
        <v>11</v>
      </c>
      <c r="T764" s="115" t="s">
        <v>4</v>
      </c>
      <c r="U764" s="139" t="s">
        <v>12</v>
      </c>
      <c r="V764" s="139" t="s">
        <v>1914</v>
      </c>
      <c r="W764" s="139" t="s">
        <v>1922</v>
      </c>
      <c r="X764" s="139" t="s">
        <v>2843</v>
      </c>
      <c r="Y764" s="112" t="s">
        <v>4</v>
      </c>
      <c r="Z764" s="112" t="s">
        <v>4</v>
      </c>
      <c r="AA764" s="139" t="s">
        <v>2843</v>
      </c>
    </row>
    <row r="765" spans="1:27" ht="17.25" customHeight="1">
      <c r="A765" s="69" t="str">
        <f>IF(priority(Main[[#This Row],[Comments]])&lt;&gt;0, priority(Main[[#This Row],[Comments]]),"")</f>
        <v/>
      </c>
      <c r="B765" s="63" t="s">
        <v>2405</v>
      </c>
      <c r="C765" s="148" t="s">
        <v>4</v>
      </c>
      <c r="D765" s="113" t="s">
        <v>2731</v>
      </c>
      <c r="E765" s="129">
        <v>40905.580543981479</v>
      </c>
      <c r="F765" s="129"/>
      <c r="G765" s="69" t="str">
        <f>IF(stdProdLT(Main[[#This Row],[Comments]])=0.1,"N/A",IF(stdProdLT(Main[[#This Row],[Comments]])=0,"",stdProdLT(Main[[#This Row],[Comments]])))</f>
        <v/>
      </c>
      <c r="H765" s="138" t="str">
        <f>IF(Main[[#This Row],[In Stock Date]]="N/A", "N/A",IF(AND(Main[[#This Row],[In Stock Date]]&lt;&gt;"",Main[[#This Row],[Revised Due Date]]&lt;&gt;"",Main[[#This Row],[In Stock Date]]&lt;&gt;""),Main[[#This Row],[In Stock Date]]-Main[[#This Row],[Revised Due Date]],""))</f>
        <v/>
      </c>
      <c r="I765" s="139" t="s">
        <v>2044</v>
      </c>
      <c r="J765" s="139" t="s">
        <v>28</v>
      </c>
      <c r="K765" s="139" t="s">
        <v>1923</v>
      </c>
      <c r="L765" s="129"/>
      <c r="M765" s="114" t="str">
        <f>IF(Main[[#This Row],[Tech Start Date]]&lt;1/1/1990,"",IF(Main[[#This Row],[Class]]="C",WORKDAY(Main[[#This Row],[Tech Start Date]],9),IF(Main[[#This Row],[Class]]="B", WORKDAY(Main[[#This Row],[Tech Start Date]],6),IF(Main[[#This Row],[Class]]="A",WORKDAY(Main[[#This Row],[Tech Start Date]],2),""))))</f>
        <v/>
      </c>
      <c r="N765" s="114" t="str">
        <f>IF(Main[[#This Row],[Tech Start Date]]&lt;1/1/1990,"",IF(Main[[#This Row],[Class]]="C",WORKDAY(Main[[#This Row],[Tech Start Date]],19),IF(Main[[#This Row],[Class]]="B", WORKDAY(Main[[#This Row],[Tech Start Date]],12),IF(Main[[#This Row],[Class]]="A",WORKDAY(Main[[#This Row],[Tech Start Date]],4),""))))</f>
        <v/>
      </c>
      <c r="O765" s="114" t="str">
        <f>IF(Main[[#This Row],[Tech Start Date]]&lt;1/1/1990,"",IF(Main[[#This Row],[Class]]="C",WORKDAY(Main[[#This Row],[Tech Start Date]],23),IF(Main[[#This Row],[Class]]="B", WORKDAY(Main[[#This Row],[Tech Start Date]],15),IF(Main[[#This Row],[Class]]="A",WORKDAY(Main[[#This Row],[Tech Start Date]],5),""))))</f>
        <v/>
      </c>
      <c r="P765" s="114" t="str">
        <f>IF(Main[[#This Row],[Tech Start Date]]&lt;1/1/1990,"",IF(Main[[#This Row],[Class]]="C",WORKDAY(Main[[#This Row],[Tech Start Date]],28),IF(Main[[#This Row],[Class]]="B", WORKDAY(Main[[#This Row],[Tech Start Date]],19),IF(Main[[#This Row],[Class]]="A",WORKDAY(Main[[#This Row],[Tech Start Date]],9),""))))</f>
        <v/>
      </c>
      <c r="Q765" s="129">
        <v>40967</v>
      </c>
      <c r="R765" s="129"/>
      <c r="S765" s="139" t="s">
        <v>6</v>
      </c>
      <c r="T765" s="115" t="s">
        <v>4</v>
      </c>
      <c r="U765" s="139" t="s">
        <v>29</v>
      </c>
      <c r="V765" s="139" t="s">
        <v>1917</v>
      </c>
      <c r="W765" s="139" t="s">
        <v>1918</v>
      </c>
      <c r="X765" s="139" t="s">
        <v>30</v>
      </c>
      <c r="Y765" s="112" t="s">
        <v>2940</v>
      </c>
      <c r="Z765" s="112" t="s">
        <v>30</v>
      </c>
      <c r="AA765" s="139" t="s">
        <v>30</v>
      </c>
    </row>
    <row r="766" spans="1:27" ht="17.25" customHeight="1">
      <c r="A766" s="69" t="str">
        <f>IF(priority(Main[[#This Row],[Comments]])&lt;&gt;0, priority(Main[[#This Row],[Comments]]),"")</f>
        <v/>
      </c>
      <c r="B766" s="63" t="s">
        <v>1583</v>
      </c>
      <c r="C766" s="148" t="s">
        <v>72</v>
      </c>
      <c r="D766" s="113" t="s">
        <v>662</v>
      </c>
      <c r="E766" s="129"/>
      <c r="F766" s="129"/>
      <c r="G766" s="69" t="str">
        <f>IF(stdProdLT(Main[[#This Row],[Comments]])=0.1,"N/A",IF(stdProdLT(Main[[#This Row],[Comments]])=0,"",stdProdLT(Main[[#This Row],[Comments]])))</f>
        <v/>
      </c>
      <c r="H766" s="138" t="str">
        <f>IF(Main[[#This Row],[In Stock Date]]="N/A", "N/A",IF(AND(Main[[#This Row],[In Stock Date]]&lt;&gt;"",Main[[#This Row],[Revised Due Date]]&lt;&gt;"",Main[[#This Row],[In Stock Date]]&lt;&gt;""),Main[[#This Row],[In Stock Date]]-Main[[#This Row],[Revised Due Date]],""))</f>
        <v/>
      </c>
      <c r="I766" s="139" t="s">
        <v>4</v>
      </c>
      <c r="J766" s="139" t="s">
        <v>4</v>
      </c>
      <c r="K766" s="139" t="s">
        <v>4</v>
      </c>
      <c r="L766" s="129"/>
      <c r="M766" s="114" t="str">
        <f>IF(Main[[#This Row],[Tech Start Date]]&lt;1/1/1990,"",IF(Main[[#This Row],[Class]]="C",WORKDAY(Main[[#This Row],[Tech Start Date]],9),IF(Main[[#This Row],[Class]]="B", WORKDAY(Main[[#This Row],[Tech Start Date]],6),IF(Main[[#This Row],[Class]]="A",WORKDAY(Main[[#This Row],[Tech Start Date]],2),""))))</f>
        <v/>
      </c>
      <c r="N766" s="114" t="str">
        <f>IF(Main[[#This Row],[Tech Start Date]]&lt;1/1/1990,"",IF(Main[[#This Row],[Class]]="C",WORKDAY(Main[[#This Row],[Tech Start Date]],19),IF(Main[[#This Row],[Class]]="B", WORKDAY(Main[[#This Row],[Tech Start Date]],12),IF(Main[[#This Row],[Class]]="A",WORKDAY(Main[[#This Row],[Tech Start Date]],4),""))))</f>
        <v/>
      </c>
      <c r="O766" s="114" t="str">
        <f>IF(Main[[#This Row],[Tech Start Date]]&lt;1/1/1990,"",IF(Main[[#This Row],[Class]]="C",WORKDAY(Main[[#This Row],[Tech Start Date]],23),IF(Main[[#This Row],[Class]]="B", WORKDAY(Main[[#This Row],[Tech Start Date]],15),IF(Main[[#This Row],[Class]]="A",WORKDAY(Main[[#This Row],[Tech Start Date]],5),""))))</f>
        <v/>
      </c>
      <c r="P766" s="114" t="str">
        <f>IF(Main[[#This Row],[Tech Start Date]]&lt;1/1/1990,"",IF(Main[[#This Row],[Class]]="C",WORKDAY(Main[[#This Row],[Tech Start Date]],28),IF(Main[[#This Row],[Class]]="B", WORKDAY(Main[[#This Row],[Tech Start Date]],19),IF(Main[[#This Row],[Class]]="A",WORKDAY(Main[[#This Row],[Tech Start Date]],9),""))))</f>
        <v/>
      </c>
      <c r="Q766" s="129"/>
      <c r="R766" s="129"/>
      <c r="S766" s="139" t="s">
        <v>49</v>
      </c>
      <c r="T766" s="115" t="s">
        <v>4</v>
      </c>
      <c r="U766" s="139" t="s">
        <v>12</v>
      </c>
      <c r="V766" s="139" t="s">
        <v>1915</v>
      </c>
      <c r="W766" s="139" t="s">
        <v>1916</v>
      </c>
      <c r="X766" s="139" t="s">
        <v>2901</v>
      </c>
      <c r="Y766" s="112" t="s">
        <v>3079</v>
      </c>
      <c r="Z766" s="112" t="s">
        <v>4</v>
      </c>
      <c r="AA766" s="139" t="s">
        <v>2901</v>
      </c>
    </row>
    <row r="767" spans="1:27" ht="17.25" customHeight="1">
      <c r="A767" s="69" t="str">
        <f>IF(priority(Main[[#This Row],[Comments]])&lt;&gt;0, priority(Main[[#This Row],[Comments]]),"")</f>
        <v/>
      </c>
      <c r="B767" s="63" t="s">
        <v>1584</v>
      </c>
      <c r="C767" s="148" t="s">
        <v>33</v>
      </c>
      <c r="D767" s="113" t="s">
        <v>663</v>
      </c>
      <c r="E767" s="129"/>
      <c r="F767" s="129">
        <v>40566</v>
      </c>
      <c r="G767" s="69" t="str">
        <f>IF(stdProdLT(Main[[#This Row],[Comments]])=0.1,"N/A",IF(stdProdLT(Main[[#This Row],[Comments]])=0,"",stdProdLT(Main[[#This Row],[Comments]])))</f>
        <v/>
      </c>
      <c r="H767" s="138" t="str">
        <f>IF(Main[[#This Row],[In Stock Date]]="N/A", "N/A",IF(AND(Main[[#This Row],[In Stock Date]]&lt;&gt;"",Main[[#This Row],[Revised Due Date]]&lt;&gt;"",Main[[#This Row],[In Stock Date]]&lt;&gt;""),Main[[#This Row],[In Stock Date]]-Main[[#This Row],[Revised Due Date]],""))</f>
        <v/>
      </c>
      <c r="I767" s="139" t="s">
        <v>4</v>
      </c>
      <c r="J767" s="139" t="s">
        <v>4</v>
      </c>
      <c r="K767" s="139" t="s">
        <v>4</v>
      </c>
      <c r="L767" s="129"/>
      <c r="M767" s="114" t="str">
        <f>IF(Main[[#This Row],[Tech Start Date]]&lt;1/1/1990,"",IF(Main[[#This Row],[Class]]="C",WORKDAY(Main[[#This Row],[Tech Start Date]],9),IF(Main[[#This Row],[Class]]="B", WORKDAY(Main[[#This Row],[Tech Start Date]],6),IF(Main[[#This Row],[Class]]="A",WORKDAY(Main[[#This Row],[Tech Start Date]],2),""))))</f>
        <v/>
      </c>
      <c r="N767" s="114" t="str">
        <f>IF(Main[[#This Row],[Tech Start Date]]&lt;1/1/1990,"",IF(Main[[#This Row],[Class]]="C",WORKDAY(Main[[#This Row],[Tech Start Date]],19),IF(Main[[#This Row],[Class]]="B", WORKDAY(Main[[#This Row],[Tech Start Date]],12),IF(Main[[#This Row],[Class]]="A",WORKDAY(Main[[#This Row],[Tech Start Date]],4),""))))</f>
        <v/>
      </c>
      <c r="O767" s="114" t="str">
        <f>IF(Main[[#This Row],[Tech Start Date]]&lt;1/1/1990,"",IF(Main[[#This Row],[Class]]="C",WORKDAY(Main[[#This Row],[Tech Start Date]],23),IF(Main[[#This Row],[Class]]="B", WORKDAY(Main[[#This Row],[Tech Start Date]],15),IF(Main[[#This Row],[Class]]="A",WORKDAY(Main[[#This Row],[Tech Start Date]],5),""))))</f>
        <v/>
      </c>
      <c r="P767" s="114" t="str">
        <f>IF(Main[[#This Row],[Tech Start Date]]&lt;1/1/1990,"",IF(Main[[#This Row],[Class]]="C",WORKDAY(Main[[#This Row],[Tech Start Date]],28),IF(Main[[#This Row],[Class]]="B", WORKDAY(Main[[#This Row],[Tech Start Date]],19),IF(Main[[#This Row],[Class]]="A",WORKDAY(Main[[#This Row],[Tech Start Date]],9),""))))</f>
        <v/>
      </c>
      <c r="Q767" s="129">
        <v>40532</v>
      </c>
      <c r="R767" s="129"/>
      <c r="S767" s="139" t="s">
        <v>11</v>
      </c>
      <c r="T767" s="115" t="s">
        <v>4</v>
      </c>
      <c r="U767" s="139" t="s">
        <v>12</v>
      </c>
      <c r="V767" s="139" t="s">
        <v>1915</v>
      </c>
      <c r="W767" s="139" t="s">
        <v>1922</v>
      </c>
      <c r="X767" s="139" t="s">
        <v>2875</v>
      </c>
      <c r="Y767" s="112" t="s">
        <v>3021</v>
      </c>
      <c r="Z767" s="112" t="s">
        <v>4</v>
      </c>
      <c r="AA767" s="139" t="s">
        <v>2875</v>
      </c>
    </row>
    <row r="768" spans="1:27" ht="17.25" customHeight="1">
      <c r="A768" s="69" t="str">
        <f>IF(priority(Main[[#This Row],[Comments]])&lt;&gt;0, priority(Main[[#This Row],[Comments]]),"")</f>
        <v/>
      </c>
      <c r="B768" s="63" t="s">
        <v>1585</v>
      </c>
      <c r="C768" s="148" t="s">
        <v>347</v>
      </c>
      <c r="D768" s="113" t="s">
        <v>664</v>
      </c>
      <c r="E768" s="129"/>
      <c r="F768" s="129"/>
      <c r="G768" s="69" t="str">
        <f>IF(stdProdLT(Main[[#This Row],[Comments]])=0.1,"N/A",IF(stdProdLT(Main[[#This Row],[Comments]])=0,"",stdProdLT(Main[[#This Row],[Comments]])))</f>
        <v/>
      </c>
      <c r="H768" s="138" t="str">
        <f>IF(Main[[#This Row],[In Stock Date]]="N/A", "N/A",IF(AND(Main[[#This Row],[In Stock Date]]&lt;&gt;"",Main[[#This Row],[Revised Due Date]]&lt;&gt;"",Main[[#This Row],[In Stock Date]]&lt;&gt;""),Main[[#This Row],[In Stock Date]]-Main[[#This Row],[Revised Due Date]],""))</f>
        <v/>
      </c>
      <c r="I768" s="139" t="s">
        <v>4</v>
      </c>
      <c r="J768" s="139" t="s">
        <v>4</v>
      </c>
      <c r="K768" s="139" t="s">
        <v>4</v>
      </c>
      <c r="L768" s="129"/>
      <c r="M768" s="114" t="str">
        <f>IF(Main[[#This Row],[Tech Start Date]]&lt;1/1/1990,"",IF(Main[[#This Row],[Class]]="C",WORKDAY(Main[[#This Row],[Tech Start Date]],9),IF(Main[[#This Row],[Class]]="B", WORKDAY(Main[[#This Row],[Tech Start Date]],6),IF(Main[[#This Row],[Class]]="A",WORKDAY(Main[[#This Row],[Tech Start Date]],2),""))))</f>
        <v/>
      </c>
      <c r="N768" s="114" t="str">
        <f>IF(Main[[#This Row],[Tech Start Date]]&lt;1/1/1990,"",IF(Main[[#This Row],[Class]]="C",WORKDAY(Main[[#This Row],[Tech Start Date]],19),IF(Main[[#This Row],[Class]]="B", WORKDAY(Main[[#This Row],[Tech Start Date]],12),IF(Main[[#This Row],[Class]]="A",WORKDAY(Main[[#This Row],[Tech Start Date]],4),""))))</f>
        <v/>
      </c>
      <c r="O768" s="114" t="str">
        <f>IF(Main[[#This Row],[Tech Start Date]]&lt;1/1/1990,"",IF(Main[[#This Row],[Class]]="C",WORKDAY(Main[[#This Row],[Tech Start Date]],23),IF(Main[[#This Row],[Class]]="B", WORKDAY(Main[[#This Row],[Tech Start Date]],15),IF(Main[[#This Row],[Class]]="A",WORKDAY(Main[[#This Row],[Tech Start Date]],5),""))))</f>
        <v/>
      </c>
      <c r="P768" s="114" t="str">
        <f>IF(Main[[#This Row],[Tech Start Date]]&lt;1/1/1990,"",IF(Main[[#This Row],[Class]]="C",WORKDAY(Main[[#This Row],[Tech Start Date]],28),IF(Main[[#This Row],[Class]]="B", WORKDAY(Main[[#This Row],[Tech Start Date]],19),IF(Main[[#This Row],[Class]]="A",WORKDAY(Main[[#This Row],[Tech Start Date]],9),""))))</f>
        <v/>
      </c>
      <c r="Q768" s="129">
        <v>40494</v>
      </c>
      <c r="R768" s="129"/>
      <c r="S768" s="139" t="s">
        <v>11</v>
      </c>
      <c r="T768" s="115" t="s">
        <v>4</v>
      </c>
      <c r="U768" s="139" t="s">
        <v>14</v>
      </c>
      <c r="V768" s="139" t="s">
        <v>1924</v>
      </c>
      <c r="W768" s="139" t="s">
        <v>4</v>
      </c>
      <c r="X768" s="139" t="s">
        <v>2824</v>
      </c>
      <c r="Y768" s="112" t="s">
        <v>2943</v>
      </c>
      <c r="Z768" s="112" t="s">
        <v>4</v>
      </c>
      <c r="AA768" s="139" t="s">
        <v>2824</v>
      </c>
    </row>
    <row r="769" spans="1:27" ht="17.25" customHeight="1">
      <c r="A769" s="69" t="str">
        <f>IF(priority(Main[[#This Row],[Comments]])&lt;&gt;0, priority(Main[[#This Row],[Comments]]),"")</f>
        <v/>
      </c>
      <c r="B769" s="63" t="s">
        <v>1586</v>
      </c>
      <c r="C769" s="148" t="s">
        <v>4</v>
      </c>
      <c r="D769" s="113" t="s">
        <v>665</v>
      </c>
      <c r="E769" s="129">
        <v>40462.471782407411</v>
      </c>
      <c r="F769" s="129"/>
      <c r="G769" s="69" t="str">
        <f>IF(stdProdLT(Main[[#This Row],[Comments]])=0.1,"N/A",IF(stdProdLT(Main[[#This Row],[Comments]])=0,"",stdProdLT(Main[[#This Row],[Comments]])))</f>
        <v/>
      </c>
      <c r="H769" s="138" t="str">
        <f>IF(Main[[#This Row],[In Stock Date]]="N/A", "N/A",IF(AND(Main[[#This Row],[In Stock Date]]&lt;&gt;"",Main[[#This Row],[Revised Due Date]]&lt;&gt;"",Main[[#This Row],[In Stock Date]]&lt;&gt;""),Main[[#This Row],[In Stock Date]]-Main[[#This Row],[Revised Due Date]],""))</f>
        <v/>
      </c>
      <c r="I769" s="139" t="s">
        <v>4</v>
      </c>
      <c r="J769" s="139" t="s">
        <v>4</v>
      </c>
      <c r="K769" s="139" t="s">
        <v>4</v>
      </c>
      <c r="L769" s="129"/>
      <c r="M769" s="114" t="str">
        <f>IF(Main[[#This Row],[Tech Start Date]]&lt;1/1/1990,"",IF(Main[[#This Row],[Class]]="C",WORKDAY(Main[[#This Row],[Tech Start Date]],9),IF(Main[[#This Row],[Class]]="B", WORKDAY(Main[[#This Row],[Tech Start Date]],6),IF(Main[[#This Row],[Class]]="A",WORKDAY(Main[[#This Row],[Tech Start Date]],2),""))))</f>
        <v/>
      </c>
      <c r="N769" s="114" t="str">
        <f>IF(Main[[#This Row],[Tech Start Date]]&lt;1/1/1990,"",IF(Main[[#This Row],[Class]]="C",WORKDAY(Main[[#This Row],[Tech Start Date]],19),IF(Main[[#This Row],[Class]]="B", WORKDAY(Main[[#This Row],[Tech Start Date]],12),IF(Main[[#This Row],[Class]]="A",WORKDAY(Main[[#This Row],[Tech Start Date]],4),""))))</f>
        <v/>
      </c>
      <c r="O769" s="114" t="str">
        <f>IF(Main[[#This Row],[Tech Start Date]]&lt;1/1/1990,"",IF(Main[[#This Row],[Class]]="C",WORKDAY(Main[[#This Row],[Tech Start Date]],23),IF(Main[[#This Row],[Class]]="B", WORKDAY(Main[[#This Row],[Tech Start Date]],15),IF(Main[[#This Row],[Class]]="A",WORKDAY(Main[[#This Row],[Tech Start Date]],5),""))))</f>
        <v/>
      </c>
      <c r="P769" s="114" t="str">
        <f>IF(Main[[#This Row],[Tech Start Date]]&lt;1/1/1990,"",IF(Main[[#This Row],[Class]]="C",WORKDAY(Main[[#This Row],[Tech Start Date]],28),IF(Main[[#This Row],[Class]]="B", WORKDAY(Main[[#This Row],[Tech Start Date]],19),IF(Main[[#This Row],[Class]]="A",WORKDAY(Main[[#This Row],[Tech Start Date]],9),""))))</f>
        <v/>
      </c>
      <c r="Q769" s="129"/>
      <c r="R769" s="129"/>
      <c r="S769" s="139" t="s">
        <v>6</v>
      </c>
      <c r="T769" s="115" t="s">
        <v>4</v>
      </c>
      <c r="U769" s="139" t="s">
        <v>7</v>
      </c>
      <c r="V769" s="139" t="s">
        <v>1914</v>
      </c>
      <c r="W769" s="139" t="s">
        <v>1918</v>
      </c>
      <c r="X769" s="139" t="s">
        <v>2866</v>
      </c>
      <c r="Y769" s="112" t="s">
        <v>3000</v>
      </c>
      <c r="Z769" s="112" t="s">
        <v>4</v>
      </c>
      <c r="AA769" s="139" t="s">
        <v>2866</v>
      </c>
    </row>
    <row r="770" spans="1:27" ht="17.25" customHeight="1">
      <c r="A770" s="69" t="str">
        <f>IF(priority(Main[[#This Row],[Comments]])&lt;&gt;0, priority(Main[[#This Row],[Comments]]),"")</f>
        <v/>
      </c>
      <c r="B770" s="63" t="s">
        <v>1587</v>
      </c>
      <c r="C770" s="148" t="s">
        <v>4</v>
      </c>
      <c r="D770" s="113" t="s">
        <v>39</v>
      </c>
      <c r="E770" s="129"/>
      <c r="F770" s="129"/>
      <c r="G770" s="69" t="str">
        <f>IF(stdProdLT(Main[[#This Row],[Comments]])=0.1,"N/A",IF(stdProdLT(Main[[#This Row],[Comments]])=0,"",stdProdLT(Main[[#This Row],[Comments]])))</f>
        <v/>
      </c>
      <c r="H770" s="138" t="str">
        <f>IF(Main[[#This Row],[In Stock Date]]="N/A", "N/A",IF(AND(Main[[#This Row],[In Stock Date]]&lt;&gt;"",Main[[#This Row],[Revised Due Date]]&lt;&gt;"",Main[[#This Row],[In Stock Date]]&lt;&gt;""),Main[[#This Row],[In Stock Date]]-Main[[#This Row],[Revised Due Date]],""))</f>
        <v/>
      </c>
      <c r="I770" s="139" t="s">
        <v>4</v>
      </c>
      <c r="J770" s="139" t="s">
        <v>4</v>
      </c>
      <c r="K770" s="139" t="s">
        <v>4</v>
      </c>
      <c r="L770" s="129"/>
      <c r="M770" s="114" t="str">
        <f>IF(Main[[#This Row],[Tech Start Date]]&lt;1/1/1990,"",IF(Main[[#This Row],[Class]]="C",WORKDAY(Main[[#This Row],[Tech Start Date]],9),IF(Main[[#This Row],[Class]]="B", WORKDAY(Main[[#This Row],[Tech Start Date]],6),IF(Main[[#This Row],[Class]]="A",WORKDAY(Main[[#This Row],[Tech Start Date]],2),""))))</f>
        <v/>
      </c>
      <c r="N770" s="114" t="str">
        <f>IF(Main[[#This Row],[Tech Start Date]]&lt;1/1/1990,"",IF(Main[[#This Row],[Class]]="C",WORKDAY(Main[[#This Row],[Tech Start Date]],19),IF(Main[[#This Row],[Class]]="B", WORKDAY(Main[[#This Row],[Tech Start Date]],12),IF(Main[[#This Row],[Class]]="A",WORKDAY(Main[[#This Row],[Tech Start Date]],4),""))))</f>
        <v/>
      </c>
      <c r="O770" s="114" t="str">
        <f>IF(Main[[#This Row],[Tech Start Date]]&lt;1/1/1990,"",IF(Main[[#This Row],[Class]]="C",WORKDAY(Main[[#This Row],[Tech Start Date]],23),IF(Main[[#This Row],[Class]]="B", WORKDAY(Main[[#This Row],[Tech Start Date]],15),IF(Main[[#This Row],[Class]]="A",WORKDAY(Main[[#This Row],[Tech Start Date]],5),""))))</f>
        <v/>
      </c>
      <c r="P770" s="114" t="str">
        <f>IF(Main[[#This Row],[Tech Start Date]]&lt;1/1/1990,"",IF(Main[[#This Row],[Class]]="C",WORKDAY(Main[[#This Row],[Tech Start Date]],28),IF(Main[[#This Row],[Class]]="B", WORKDAY(Main[[#This Row],[Tech Start Date]],19),IF(Main[[#This Row],[Class]]="A",WORKDAY(Main[[#This Row],[Tech Start Date]],9),""))))</f>
        <v/>
      </c>
      <c r="Q770" s="129">
        <v>40669</v>
      </c>
      <c r="R770" s="129"/>
      <c r="S770" s="139" t="s">
        <v>6</v>
      </c>
      <c r="T770" s="115" t="s">
        <v>4</v>
      </c>
      <c r="U770" s="139" t="s">
        <v>14</v>
      </c>
      <c r="V770" s="139" t="s">
        <v>1917</v>
      </c>
      <c r="W770" s="139" t="s">
        <v>4</v>
      </c>
      <c r="X770" s="139" t="s">
        <v>2818</v>
      </c>
      <c r="Y770" s="112" t="s">
        <v>2929</v>
      </c>
      <c r="Z770" s="112" t="s">
        <v>4</v>
      </c>
      <c r="AA770" s="139" t="s">
        <v>2818</v>
      </c>
    </row>
    <row r="771" spans="1:27" ht="17.25" customHeight="1">
      <c r="A771" s="69" t="str">
        <f>IF(priority(Main[[#This Row],[Comments]])&lt;&gt;0, priority(Main[[#This Row],[Comments]]),"")</f>
        <v/>
      </c>
      <c r="B771" s="63" t="s">
        <v>1837</v>
      </c>
      <c r="C771" s="148" t="s">
        <v>4</v>
      </c>
      <c r="D771" s="113" t="s">
        <v>1948</v>
      </c>
      <c r="E771" s="129"/>
      <c r="F771" s="129">
        <v>40445</v>
      </c>
      <c r="G771" s="69" t="str">
        <f>IF(stdProdLT(Main[[#This Row],[Comments]])=0.1,"N/A",IF(stdProdLT(Main[[#This Row],[Comments]])=0,"",stdProdLT(Main[[#This Row],[Comments]])))</f>
        <v/>
      </c>
      <c r="H771" s="138">
        <f>IF(Main[[#This Row],[In Stock Date]]="N/A", "N/A",IF(AND(Main[[#This Row],[In Stock Date]]&lt;&gt;"",Main[[#This Row],[Revised Due Date]]&lt;&gt;"",Main[[#This Row],[In Stock Date]]&lt;&gt;""),Main[[#This Row],[In Stock Date]]-Main[[#This Row],[Revised Due Date]],""))</f>
        <v>0</v>
      </c>
      <c r="I771" s="139" t="s">
        <v>4</v>
      </c>
      <c r="J771" s="139" t="s">
        <v>28</v>
      </c>
      <c r="K771" s="139" t="s">
        <v>1927</v>
      </c>
      <c r="L771" s="129"/>
      <c r="M771" s="114" t="str">
        <f>IF(Main[[#This Row],[Tech Start Date]]&lt;1/1/1990,"",IF(Main[[#This Row],[Class]]="C",WORKDAY(Main[[#This Row],[Tech Start Date]],9),IF(Main[[#This Row],[Class]]="B", WORKDAY(Main[[#This Row],[Tech Start Date]],6),IF(Main[[#This Row],[Class]]="A",WORKDAY(Main[[#This Row],[Tech Start Date]],2),""))))</f>
        <v/>
      </c>
      <c r="N771" s="114" t="str">
        <f>IF(Main[[#This Row],[Tech Start Date]]&lt;1/1/1990,"",IF(Main[[#This Row],[Class]]="C",WORKDAY(Main[[#This Row],[Tech Start Date]],19),IF(Main[[#This Row],[Class]]="B", WORKDAY(Main[[#This Row],[Tech Start Date]],12),IF(Main[[#This Row],[Class]]="A",WORKDAY(Main[[#This Row],[Tech Start Date]],4),""))))</f>
        <v/>
      </c>
      <c r="O771" s="114" t="str">
        <f>IF(Main[[#This Row],[Tech Start Date]]&lt;1/1/1990,"",IF(Main[[#This Row],[Class]]="C",WORKDAY(Main[[#This Row],[Tech Start Date]],23),IF(Main[[#This Row],[Class]]="B", WORKDAY(Main[[#This Row],[Tech Start Date]],15),IF(Main[[#This Row],[Class]]="A",WORKDAY(Main[[#This Row],[Tech Start Date]],5),""))))</f>
        <v/>
      </c>
      <c r="P771" s="114" t="str">
        <f>IF(Main[[#This Row],[Tech Start Date]]&lt;1/1/1990,"",IF(Main[[#This Row],[Class]]="C",WORKDAY(Main[[#This Row],[Tech Start Date]],28),IF(Main[[#This Row],[Class]]="B", WORKDAY(Main[[#This Row],[Tech Start Date]],19),IF(Main[[#This Row],[Class]]="A",WORKDAY(Main[[#This Row],[Tech Start Date]],9),""))))</f>
        <v/>
      </c>
      <c r="Q771" s="129">
        <v>40445</v>
      </c>
      <c r="R771" s="129">
        <v>40445</v>
      </c>
      <c r="S771" s="139" t="s">
        <v>11</v>
      </c>
      <c r="T771" s="115" t="s">
        <v>4</v>
      </c>
      <c r="U771" s="139" t="s">
        <v>14</v>
      </c>
      <c r="V771" s="139" t="s">
        <v>1915</v>
      </c>
      <c r="W771" s="139" t="s">
        <v>1919</v>
      </c>
      <c r="X771" s="139" t="s">
        <v>2862</v>
      </c>
      <c r="Y771" s="112" t="s">
        <v>3086</v>
      </c>
      <c r="Z771" s="112" t="s">
        <v>3159</v>
      </c>
      <c r="AA771" s="139" t="s">
        <v>2875</v>
      </c>
    </row>
    <row r="772" spans="1:27" ht="17.25" customHeight="1">
      <c r="A772" s="69" t="str">
        <f>IF(priority(Main[[#This Row],[Comments]])&lt;&gt;0, priority(Main[[#This Row],[Comments]]),"")</f>
        <v/>
      </c>
      <c r="B772" s="63" t="s">
        <v>1588</v>
      </c>
      <c r="C772" s="148" t="s">
        <v>4</v>
      </c>
      <c r="D772" s="113" t="s">
        <v>666</v>
      </c>
      <c r="E772" s="129"/>
      <c r="F772" s="129"/>
      <c r="G772" s="69" t="str">
        <f>IF(stdProdLT(Main[[#This Row],[Comments]])=0.1,"N/A",IF(stdProdLT(Main[[#This Row],[Comments]])=0,"",stdProdLT(Main[[#This Row],[Comments]])))</f>
        <v/>
      </c>
      <c r="H772" s="138" t="str">
        <f>IF(Main[[#This Row],[In Stock Date]]="N/A", "N/A",IF(AND(Main[[#This Row],[In Stock Date]]&lt;&gt;"",Main[[#This Row],[Revised Due Date]]&lt;&gt;"",Main[[#This Row],[In Stock Date]]&lt;&gt;""),Main[[#This Row],[In Stock Date]]-Main[[#This Row],[Revised Due Date]],""))</f>
        <v/>
      </c>
      <c r="I772" s="139" t="s">
        <v>4</v>
      </c>
      <c r="J772" s="139" t="s">
        <v>4</v>
      </c>
      <c r="K772" s="139" t="s">
        <v>4</v>
      </c>
      <c r="L772" s="129"/>
      <c r="M772" s="114" t="str">
        <f>IF(Main[[#This Row],[Tech Start Date]]&lt;1/1/1990,"",IF(Main[[#This Row],[Class]]="C",WORKDAY(Main[[#This Row],[Tech Start Date]],9),IF(Main[[#This Row],[Class]]="B", WORKDAY(Main[[#This Row],[Tech Start Date]],6),IF(Main[[#This Row],[Class]]="A",WORKDAY(Main[[#This Row],[Tech Start Date]],2),""))))</f>
        <v/>
      </c>
      <c r="N772" s="114" t="str">
        <f>IF(Main[[#This Row],[Tech Start Date]]&lt;1/1/1990,"",IF(Main[[#This Row],[Class]]="C",WORKDAY(Main[[#This Row],[Tech Start Date]],19),IF(Main[[#This Row],[Class]]="B", WORKDAY(Main[[#This Row],[Tech Start Date]],12),IF(Main[[#This Row],[Class]]="A",WORKDAY(Main[[#This Row],[Tech Start Date]],4),""))))</f>
        <v/>
      </c>
      <c r="O772" s="114" t="str">
        <f>IF(Main[[#This Row],[Tech Start Date]]&lt;1/1/1990,"",IF(Main[[#This Row],[Class]]="C",WORKDAY(Main[[#This Row],[Tech Start Date]],23),IF(Main[[#This Row],[Class]]="B", WORKDAY(Main[[#This Row],[Tech Start Date]],15),IF(Main[[#This Row],[Class]]="A",WORKDAY(Main[[#This Row],[Tech Start Date]],5),""))))</f>
        <v/>
      </c>
      <c r="P772" s="114" t="str">
        <f>IF(Main[[#This Row],[Tech Start Date]]&lt;1/1/1990,"",IF(Main[[#This Row],[Class]]="C",WORKDAY(Main[[#This Row],[Tech Start Date]],28),IF(Main[[#This Row],[Class]]="B", WORKDAY(Main[[#This Row],[Tech Start Date]],19),IF(Main[[#This Row],[Class]]="A",WORKDAY(Main[[#This Row],[Tech Start Date]],9),""))))</f>
        <v/>
      </c>
      <c r="Q772" s="129"/>
      <c r="R772" s="129"/>
      <c r="S772" s="139" t="s">
        <v>6</v>
      </c>
      <c r="T772" s="115" t="s">
        <v>4</v>
      </c>
      <c r="U772" s="139" t="s">
        <v>14</v>
      </c>
      <c r="V772" s="139" t="s">
        <v>1914</v>
      </c>
      <c r="W772" s="139" t="s">
        <v>1918</v>
      </c>
      <c r="X772" s="139" t="s">
        <v>306</v>
      </c>
      <c r="Y772" s="112" t="s">
        <v>4</v>
      </c>
      <c r="Z772" s="112" t="s">
        <v>4</v>
      </c>
      <c r="AA772" s="139" t="s">
        <v>2851</v>
      </c>
    </row>
    <row r="773" spans="1:27" ht="17.25" customHeight="1">
      <c r="A773" s="69" t="str">
        <f>IF(priority(Main[[#This Row],[Comments]])&lt;&gt;0, priority(Main[[#This Row],[Comments]]),"")</f>
        <v/>
      </c>
      <c r="B773" s="63" t="s">
        <v>1589</v>
      </c>
      <c r="C773" s="148" t="s">
        <v>4</v>
      </c>
      <c r="D773" s="113" t="s">
        <v>97</v>
      </c>
      <c r="E773" s="129"/>
      <c r="F773" s="129"/>
      <c r="G773" s="69" t="str">
        <f>IF(stdProdLT(Main[[#This Row],[Comments]])=0.1,"N/A",IF(stdProdLT(Main[[#This Row],[Comments]])=0,"",stdProdLT(Main[[#This Row],[Comments]])))</f>
        <v/>
      </c>
      <c r="H773" s="138" t="str">
        <f>IF(Main[[#This Row],[In Stock Date]]="N/A", "N/A",IF(AND(Main[[#This Row],[In Stock Date]]&lt;&gt;"",Main[[#This Row],[Revised Due Date]]&lt;&gt;"",Main[[#This Row],[In Stock Date]]&lt;&gt;""),Main[[#This Row],[In Stock Date]]-Main[[#This Row],[Revised Due Date]],""))</f>
        <v/>
      </c>
      <c r="I773" s="139" t="s">
        <v>4</v>
      </c>
      <c r="J773" s="139" t="s">
        <v>4</v>
      </c>
      <c r="K773" s="139" t="s">
        <v>4</v>
      </c>
      <c r="L773" s="129"/>
      <c r="M773" s="114" t="str">
        <f>IF(Main[[#This Row],[Tech Start Date]]&lt;1/1/1990,"",IF(Main[[#This Row],[Class]]="C",WORKDAY(Main[[#This Row],[Tech Start Date]],9),IF(Main[[#This Row],[Class]]="B", WORKDAY(Main[[#This Row],[Tech Start Date]],6),IF(Main[[#This Row],[Class]]="A",WORKDAY(Main[[#This Row],[Tech Start Date]],2),""))))</f>
        <v/>
      </c>
      <c r="N773" s="114" t="str">
        <f>IF(Main[[#This Row],[Tech Start Date]]&lt;1/1/1990,"",IF(Main[[#This Row],[Class]]="C",WORKDAY(Main[[#This Row],[Tech Start Date]],19),IF(Main[[#This Row],[Class]]="B", WORKDAY(Main[[#This Row],[Tech Start Date]],12),IF(Main[[#This Row],[Class]]="A",WORKDAY(Main[[#This Row],[Tech Start Date]],4),""))))</f>
        <v/>
      </c>
      <c r="O773" s="114" t="str">
        <f>IF(Main[[#This Row],[Tech Start Date]]&lt;1/1/1990,"",IF(Main[[#This Row],[Class]]="C",WORKDAY(Main[[#This Row],[Tech Start Date]],23),IF(Main[[#This Row],[Class]]="B", WORKDAY(Main[[#This Row],[Tech Start Date]],15),IF(Main[[#This Row],[Class]]="A",WORKDAY(Main[[#This Row],[Tech Start Date]],5),""))))</f>
        <v/>
      </c>
      <c r="P773" s="114" t="str">
        <f>IF(Main[[#This Row],[Tech Start Date]]&lt;1/1/1990,"",IF(Main[[#This Row],[Class]]="C",WORKDAY(Main[[#This Row],[Tech Start Date]],28),IF(Main[[#This Row],[Class]]="B", WORKDAY(Main[[#This Row],[Tech Start Date]],19),IF(Main[[#This Row],[Class]]="A",WORKDAY(Main[[#This Row],[Tech Start Date]],9),""))))</f>
        <v/>
      </c>
      <c r="Q773" s="129">
        <v>40858</v>
      </c>
      <c r="R773" s="129"/>
      <c r="S773" s="139" t="s">
        <v>17</v>
      </c>
      <c r="T773" s="115" t="s">
        <v>4</v>
      </c>
      <c r="U773" s="139" t="s">
        <v>14</v>
      </c>
      <c r="V773" s="139" t="s">
        <v>1914</v>
      </c>
      <c r="W773" s="139" t="s">
        <v>1919</v>
      </c>
      <c r="X773" s="139" t="s">
        <v>50</v>
      </c>
      <c r="Y773" s="112" t="s">
        <v>2959</v>
      </c>
      <c r="Z773" s="112" t="s">
        <v>4</v>
      </c>
      <c r="AA773" s="139" t="s">
        <v>2828</v>
      </c>
    </row>
    <row r="774" spans="1:27" ht="17.25" customHeight="1">
      <c r="A774" s="69" t="str">
        <f>IF(priority(Main[[#This Row],[Comments]])&lt;&gt;0, priority(Main[[#This Row],[Comments]]),"")</f>
        <v/>
      </c>
      <c r="B774" s="63" t="s">
        <v>1592</v>
      </c>
      <c r="C774" s="148" t="s">
        <v>668</v>
      </c>
      <c r="D774" s="113" t="s">
        <v>669</v>
      </c>
      <c r="E774" s="129"/>
      <c r="F774" s="129">
        <v>40633</v>
      </c>
      <c r="G774" s="69" t="str">
        <f>IF(stdProdLT(Main[[#This Row],[Comments]])=0.1,"N/A",IF(stdProdLT(Main[[#This Row],[Comments]])=0,"",stdProdLT(Main[[#This Row],[Comments]])))</f>
        <v/>
      </c>
      <c r="H774" s="138" t="str">
        <f>IF(Main[[#This Row],[In Stock Date]]="N/A", "N/A",IF(AND(Main[[#This Row],[In Stock Date]]&lt;&gt;"",Main[[#This Row],[Revised Due Date]]&lt;&gt;"",Main[[#This Row],[In Stock Date]]&lt;&gt;""),Main[[#This Row],[In Stock Date]]-Main[[#This Row],[Revised Due Date]],""))</f>
        <v/>
      </c>
      <c r="I774" s="139" t="s">
        <v>4</v>
      </c>
      <c r="J774" s="139" t="s">
        <v>4</v>
      </c>
      <c r="K774" s="139" t="s">
        <v>4</v>
      </c>
      <c r="L774" s="129"/>
      <c r="M774" s="114" t="str">
        <f>IF(Main[[#This Row],[Tech Start Date]]&lt;1/1/1990,"",IF(Main[[#This Row],[Class]]="C",WORKDAY(Main[[#This Row],[Tech Start Date]],9),IF(Main[[#This Row],[Class]]="B", WORKDAY(Main[[#This Row],[Tech Start Date]],6),IF(Main[[#This Row],[Class]]="A",WORKDAY(Main[[#This Row],[Tech Start Date]],2),""))))</f>
        <v/>
      </c>
      <c r="N774" s="114" t="str">
        <f>IF(Main[[#This Row],[Tech Start Date]]&lt;1/1/1990,"",IF(Main[[#This Row],[Class]]="C",WORKDAY(Main[[#This Row],[Tech Start Date]],19),IF(Main[[#This Row],[Class]]="B", WORKDAY(Main[[#This Row],[Tech Start Date]],12),IF(Main[[#This Row],[Class]]="A",WORKDAY(Main[[#This Row],[Tech Start Date]],4),""))))</f>
        <v/>
      </c>
      <c r="O774" s="114" t="str">
        <f>IF(Main[[#This Row],[Tech Start Date]]&lt;1/1/1990,"",IF(Main[[#This Row],[Class]]="C",WORKDAY(Main[[#This Row],[Tech Start Date]],23),IF(Main[[#This Row],[Class]]="B", WORKDAY(Main[[#This Row],[Tech Start Date]],15),IF(Main[[#This Row],[Class]]="A",WORKDAY(Main[[#This Row],[Tech Start Date]],5),""))))</f>
        <v/>
      </c>
      <c r="P774" s="114" t="str">
        <f>IF(Main[[#This Row],[Tech Start Date]]&lt;1/1/1990,"",IF(Main[[#This Row],[Class]]="C",WORKDAY(Main[[#This Row],[Tech Start Date]],28),IF(Main[[#This Row],[Class]]="B", WORKDAY(Main[[#This Row],[Tech Start Date]],19),IF(Main[[#This Row],[Class]]="A",WORKDAY(Main[[#This Row],[Tech Start Date]],9),""))))</f>
        <v/>
      </c>
      <c r="Q774" s="129">
        <v>40574</v>
      </c>
      <c r="R774" s="129"/>
      <c r="S774" s="139" t="s">
        <v>11</v>
      </c>
      <c r="T774" s="115" t="s">
        <v>4</v>
      </c>
      <c r="U774" s="139" t="s">
        <v>14</v>
      </c>
      <c r="V774" s="139" t="s">
        <v>1917</v>
      </c>
      <c r="W774" s="139" t="s">
        <v>1920</v>
      </c>
      <c r="X774" s="139" t="s">
        <v>2856</v>
      </c>
      <c r="Y774" s="112" t="s">
        <v>2997</v>
      </c>
      <c r="Z774" s="112" t="s">
        <v>4</v>
      </c>
      <c r="AA774" s="139" t="s">
        <v>2856</v>
      </c>
    </row>
    <row r="775" spans="1:27" ht="17.25" customHeight="1">
      <c r="A775" s="69" t="str">
        <f>IF(priority(Main[[#This Row],[Comments]])&lt;&gt;0, priority(Main[[#This Row],[Comments]]),"")</f>
        <v/>
      </c>
      <c r="B775" s="63" t="s">
        <v>2184</v>
      </c>
      <c r="C775" s="148" t="s">
        <v>2176</v>
      </c>
      <c r="D775" s="113" t="s">
        <v>2185</v>
      </c>
      <c r="E775" s="129"/>
      <c r="F775" s="129">
        <v>40829</v>
      </c>
      <c r="G775" s="69" t="str">
        <f>IF(stdProdLT(Main[[#This Row],[Comments]])=0.1,"N/A",IF(stdProdLT(Main[[#This Row],[Comments]])=0,"",stdProdLT(Main[[#This Row],[Comments]])))</f>
        <v/>
      </c>
      <c r="H775" s="138" t="str">
        <f>IF(Main[[#This Row],[In Stock Date]]="N/A", "N/A",IF(AND(Main[[#This Row],[In Stock Date]]&lt;&gt;"",Main[[#This Row],[Revised Due Date]]&lt;&gt;"",Main[[#This Row],[In Stock Date]]&lt;&gt;""),Main[[#This Row],[In Stock Date]]-Main[[#This Row],[Revised Due Date]],""))</f>
        <v/>
      </c>
      <c r="I775" s="139" t="s">
        <v>4</v>
      </c>
      <c r="J775" s="139" t="s">
        <v>4</v>
      </c>
      <c r="K775" s="139" t="s">
        <v>4</v>
      </c>
      <c r="L775" s="129"/>
      <c r="M775" s="114" t="str">
        <f>IF(Main[[#This Row],[Tech Start Date]]&lt;1/1/1990,"",IF(Main[[#This Row],[Class]]="C",WORKDAY(Main[[#This Row],[Tech Start Date]],9),IF(Main[[#This Row],[Class]]="B", WORKDAY(Main[[#This Row],[Tech Start Date]],6),IF(Main[[#This Row],[Class]]="A",WORKDAY(Main[[#This Row],[Tech Start Date]],2),""))))</f>
        <v/>
      </c>
      <c r="N775" s="114" t="str">
        <f>IF(Main[[#This Row],[Tech Start Date]]&lt;1/1/1990,"",IF(Main[[#This Row],[Class]]="C",WORKDAY(Main[[#This Row],[Tech Start Date]],19),IF(Main[[#This Row],[Class]]="B", WORKDAY(Main[[#This Row],[Tech Start Date]],12),IF(Main[[#This Row],[Class]]="A",WORKDAY(Main[[#This Row],[Tech Start Date]],4),""))))</f>
        <v/>
      </c>
      <c r="O775" s="114" t="str">
        <f>IF(Main[[#This Row],[Tech Start Date]]&lt;1/1/1990,"",IF(Main[[#This Row],[Class]]="C",WORKDAY(Main[[#This Row],[Tech Start Date]],23),IF(Main[[#This Row],[Class]]="B", WORKDAY(Main[[#This Row],[Tech Start Date]],15),IF(Main[[#This Row],[Class]]="A",WORKDAY(Main[[#This Row],[Tech Start Date]],5),""))))</f>
        <v/>
      </c>
      <c r="P775" s="114" t="str">
        <f>IF(Main[[#This Row],[Tech Start Date]]&lt;1/1/1990,"",IF(Main[[#This Row],[Class]]="C",WORKDAY(Main[[#This Row],[Tech Start Date]],28),IF(Main[[#This Row],[Class]]="B", WORKDAY(Main[[#This Row],[Tech Start Date]],19),IF(Main[[#This Row],[Class]]="A",WORKDAY(Main[[#This Row],[Tech Start Date]],9),""))))</f>
        <v/>
      </c>
      <c r="Q775" s="129">
        <v>40801</v>
      </c>
      <c r="R775" s="129"/>
      <c r="S775" s="139" t="s">
        <v>11</v>
      </c>
      <c r="T775" s="115" t="s">
        <v>4</v>
      </c>
      <c r="U775" s="139" t="s">
        <v>14</v>
      </c>
      <c r="V775" s="139" t="s">
        <v>1915</v>
      </c>
      <c r="W775" s="139" t="s">
        <v>1922</v>
      </c>
      <c r="X775" s="139" t="s">
        <v>2838</v>
      </c>
      <c r="Y775" s="112" t="s">
        <v>2968</v>
      </c>
      <c r="Z775" s="112" t="s">
        <v>4</v>
      </c>
      <c r="AA775" s="139" t="s">
        <v>2838</v>
      </c>
    </row>
    <row r="776" spans="1:27" ht="17.25" customHeight="1">
      <c r="A776" s="69" t="str">
        <f>IF(priority(Main[[#This Row],[Comments]])&lt;&gt;0, priority(Main[[#This Row],[Comments]]),"")</f>
        <v/>
      </c>
      <c r="B776" s="63" t="s">
        <v>1593</v>
      </c>
      <c r="C776" s="148" t="s">
        <v>4</v>
      </c>
      <c r="D776" s="113" t="s">
        <v>2305</v>
      </c>
      <c r="E776" s="129">
        <v>40515.590300925927</v>
      </c>
      <c r="F776" s="129"/>
      <c r="G776" s="69" t="str">
        <f>IF(stdProdLT(Main[[#This Row],[Comments]])=0.1,"N/A",IF(stdProdLT(Main[[#This Row],[Comments]])=0,"",stdProdLT(Main[[#This Row],[Comments]])))</f>
        <v/>
      </c>
      <c r="H776" s="138" t="str">
        <f>IF(Main[[#This Row],[In Stock Date]]="N/A", "N/A",IF(AND(Main[[#This Row],[In Stock Date]]&lt;&gt;"",Main[[#This Row],[Revised Due Date]]&lt;&gt;"",Main[[#This Row],[In Stock Date]]&lt;&gt;""),Main[[#This Row],[In Stock Date]]-Main[[#This Row],[Revised Due Date]],""))</f>
        <v/>
      </c>
      <c r="I776" s="139" t="s">
        <v>912</v>
      </c>
      <c r="J776" s="139" t="s">
        <v>52</v>
      </c>
      <c r="K776" s="140" t="s">
        <v>1921</v>
      </c>
      <c r="L776" s="129"/>
      <c r="M776" s="114" t="str">
        <f>IF(Main[[#This Row],[Tech Start Date]]&lt;1/1/1990,"",IF(Main[[#This Row],[Class]]="C",WORKDAY(Main[[#This Row],[Tech Start Date]],9),IF(Main[[#This Row],[Class]]="B", WORKDAY(Main[[#This Row],[Tech Start Date]],6),IF(Main[[#This Row],[Class]]="A",WORKDAY(Main[[#This Row],[Tech Start Date]],2),""))))</f>
        <v/>
      </c>
      <c r="N776" s="114" t="str">
        <f>IF(Main[[#This Row],[Tech Start Date]]&lt;1/1/1990,"",IF(Main[[#This Row],[Class]]="C",WORKDAY(Main[[#This Row],[Tech Start Date]],19),IF(Main[[#This Row],[Class]]="B", WORKDAY(Main[[#This Row],[Tech Start Date]],12),IF(Main[[#This Row],[Class]]="A",WORKDAY(Main[[#This Row],[Tech Start Date]],4),""))))</f>
        <v/>
      </c>
      <c r="O776" s="114" t="str">
        <f>IF(Main[[#This Row],[Tech Start Date]]&lt;1/1/1990,"",IF(Main[[#This Row],[Class]]="C",WORKDAY(Main[[#This Row],[Tech Start Date]],23),IF(Main[[#This Row],[Class]]="B", WORKDAY(Main[[#This Row],[Tech Start Date]],15),IF(Main[[#This Row],[Class]]="A",WORKDAY(Main[[#This Row],[Tech Start Date]],5),""))))</f>
        <v/>
      </c>
      <c r="P776" s="114" t="str">
        <f>IF(Main[[#This Row],[Tech Start Date]]&lt;1/1/1990,"",IF(Main[[#This Row],[Class]]="C",WORKDAY(Main[[#This Row],[Tech Start Date]],28),IF(Main[[#This Row],[Class]]="B", WORKDAY(Main[[#This Row],[Tech Start Date]],19),IF(Main[[#This Row],[Class]]="A",WORKDAY(Main[[#This Row],[Tech Start Date]],9),""))))</f>
        <v/>
      </c>
      <c r="Q776" s="129">
        <v>40574</v>
      </c>
      <c r="R776" s="129"/>
      <c r="S776" s="139" t="s">
        <v>6</v>
      </c>
      <c r="T776" s="115" t="s">
        <v>4</v>
      </c>
      <c r="U776" s="139" t="s">
        <v>29</v>
      </c>
      <c r="V776" s="139" t="s">
        <v>1914</v>
      </c>
      <c r="W776" s="139" t="s">
        <v>1916</v>
      </c>
      <c r="X776" s="139" t="s">
        <v>2887</v>
      </c>
      <c r="Y776" s="112" t="s">
        <v>3043</v>
      </c>
      <c r="Z776" s="112" t="s">
        <v>129</v>
      </c>
      <c r="AA776" s="139" t="s">
        <v>2887</v>
      </c>
    </row>
    <row r="777" spans="1:27" ht="17.25" customHeight="1">
      <c r="A777" s="69" t="str">
        <f>IF(priority(Main[[#This Row],[Comments]])&lt;&gt;0, priority(Main[[#This Row],[Comments]]),"")</f>
        <v/>
      </c>
      <c r="B777" s="63" t="s">
        <v>1594</v>
      </c>
      <c r="C777" s="148" t="s">
        <v>436</v>
      </c>
      <c r="D777" s="113" t="s">
        <v>670</v>
      </c>
      <c r="E777" s="129"/>
      <c r="F777" s="129"/>
      <c r="G777" s="69" t="str">
        <f>IF(stdProdLT(Main[[#This Row],[Comments]])=0.1,"N/A",IF(stdProdLT(Main[[#This Row],[Comments]])=0,"",stdProdLT(Main[[#This Row],[Comments]])))</f>
        <v/>
      </c>
      <c r="H777" s="138" t="str">
        <f>IF(Main[[#This Row],[In Stock Date]]="N/A", "N/A",IF(AND(Main[[#This Row],[In Stock Date]]&lt;&gt;"",Main[[#This Row],[Revised Due Date]]&lt;&gt;"",Main[[#This Row],[In Stock Date]]&lt;&gt;""),Main[[#This Row],[In Stock Date]]-Main[[#This Row],[Revised Due Date]],""))</f>
        <v/>
      </c>
      <c r="I777" s="139" t="s">
        <v>4</v>
      </c>
      <c r="J777" s="139" t="s">
        <v>4</v>
      </c>
      <c r="K777" s="139" t="s">
        <v>4</v>
      </c>
      <c r="L777" s="129"/>
      <c r="M777" s="114" t="str">
        <f>IF(Main[[#This Row],[Tech Start Date]]&lt;1/1/1990,"",IF(Main[[#This Row],[Class]]="C",WORKDAY(Main[[#This Row],[Tech Start Date]],9),IF(Main[[#This Row],[Class]]="B", WORKDAY(Main[[#This Row],[Tech Start Date]],6),IF(Main[[#This Row],[Class]]="A",WORKDAY(Main[[#This Row],[Tech Start Date]],2),""))))</f>
        <v/>
      </c>
      <c r="N777" s="114" t="str">
        <f>IF(Main[[#This Row],[Tech Start Date]]&lt;1/1/1990,"",IF(Main[[#This Row],[Class]]="C",WORKDAY(Main[[#This Row],[Tech Start Date]],19),IF(Main[[#This Row],[Class]]="B", WORKDAY(Main[[#This Row],[Tech Start Date]],12),IF(Main[[#This Row],[Class]]="A",WORKDAY(Main[[#This Row],[Tech Start Date]],4),""))))</f>
        <v/>
      </c>
      <c r="O777" s="114" t="str">
        <f>IF(Main[[#This Row],[Tech Start Date]]&lt;1/1/1990,"",IF(Main[[#This Row],[Class]]="C",WORKDAY(Main[[#This Row],[Tech Start Date]],23),IF(Main[[#This Row],[Class]]="B", WORKDAY(Main[[#This Row],[Tech Start Date]],15),IF(Main[[#This Row],[Class]]="A",WORKDAY(Main[[#This Row],[Tech Start Date]],5),""))))</f>
        <v/>
      </c>
      <c r="P777" s="114" t="str">
        <f>IF(Main[[#This Row],[Tech Start Date]]&lt;1/1/1990,"",IF(Main[[#This Row],[Class]]="C",WORKDAY(Main[[#This Row],[Tech Start Date]],28),IF(Main[[#This Row],[Class]]="B", WORKDAY(Main[[#This Row],[Tech Start Date]],19),IF(Main[[#This Row],[Class]]="A",WORKDAY(Main[[#This Row],[Tech Start Date]],9),""))))</f>
        <v/>
      </c>
      <c r="Q777" s="129"/>
      <c r="R777" s="129"/>
      <c r="S777" s="139" t="s">
        <v>11</v>
      </c>
      <c r="T777" s="115" t="s">
        <v>4</v>
      </c>
      <c r="U777" s="139" t="s">
        <v>14</v>
      </c>
      <c r="V777" s="139" t="s">
        <v>1915</v>
      </c>
      <c r="W777" s="139" t="s">
        <v>1922</v>
      </c>
      <c r="X777" s="139" t="s">
        <v>2827</v>
      </c>
      <c r="Y777" s="112" t="s">
        <v>2948</v>
      </c>
      <c r="Z777" s="112" t="s">
        <v>4</v>
      </c>
      <c r="AA777" s="139" t="s">
        <v>2827</v>
      </c>
    </row>
    <row r="778" spans="1:27" ht="17.25" customHeight="1">
      <c r="A778" s="69" t="str">
        <f>IF(priority(Main[[#This Row],[Comments]])&lt;&gt;0, priority(Main[[#This Row],[Comments]]),"")</f>
        <v/>
      </c>
      <c r="B778" s="63" t="s">
        <v>3340</v>
      </c>
      <c r="C778" s="148" t="s">
        <v>4</v>
      </c>
      <c r="D778" s="113" t="s">
        <v>3341</v>
      </c>
      <c r="E778" s="129"/>
      <c r="F778" s="129"/>
      <c r="G778" s="69" t="str">
        <f>IF(stdProdLT(Main[[#This Row],[Comments]])=0.1,"N/A",IF(stdProdLT(Main[[#This Row],[Comments]])=0,"",stdProdLT(Main[[#This Row],[Comments]])))</f>
        <v/>
      </c>
      <c r="H778" s="138" t="str">
        <f>IF(Main[[#This Row],[In Stock Date]]="N/A", "N/A",IF(AND(Main[[#This Row],[In Stock Date]]&lt;&gt;"",Main[[#This Row],[Revised Due Date]]&lt;&gt;"",Main[[#This Row],[In Stock Date]]&lt;&gt;""),Main[[#This Row],[In Stock Date]]-Main[[#This Row],[Revised Due Date]],""))</f>
        <v/>
      </c>
      <c r="I778" s="139" t="s">
        <v>4</v>
      </c>
      <c r="J778" s="139" t="s">
        <v>4</v>
      </c>
      <c r="K778" s="139" t="s">
        <v>4</v>
      </c>
      <c r="L778" s="129"/>
      <c r="M778" s="114" t="str">
        <f>IF(Main[[#This Row],[Tech Start Date]]&lt;1/1/1990,"",IF(Main[[#This Row],[Class]]="C",WORKDAY(Main[[#This Row],[Tech Start Date]],9),IF(Main[[#This Row],[Class]]="B", WORKDAY(Main[[#This Row],[Tech Start Date]],6),IF(Main[[#This Row],[Class]]="A",WORKDAY(Main[[#This Row],[Tech Start Date]],2),""))))</f>
        <v/>
      </c>
      <c r="N778" s="114" t="str">
        <f>IF(Main[[#This Row],[Tech Start Date]]&lt;1/1/1990,"",IF(Main[[#This Row],[Class]]="C",WORKDAY(Main[[#This Row],[Tech Start Date]],19),IF(Main[[#This Row],[Class]]="B", WORKDAY(Main[[#This Row],[Tech Start Date]],12),IF(Main[[#This Row],[Class]]="A",WORKDAY(Main[[#This Row],[Tech Start Date]],4),""))))</f>
        <v/>
      </c>
      <c r="O778" s="114" t="str">
        <f>IF(Main[[#This Row],[Tech Start Date]]&lt;1/1/1990,"",IF(Main[[#This Row],[Class]]="C",WORKDAY(Main[[#This Row],[Tech Start Date]],23),IF(Main[[#This Row],[Class]]="B", WORKDAY(Main[[#This Row],[Tech Start Date]],15),IF(Main[[#This Row],[Class]]="A",WORKDAY(Main[[#This Row],[Tech Start Date]],5),""))))</f>
        <v/>
      </c>
      <c r="P778" s="114" t="str">
        <f>IF(Main[[#This Row],[Tech Start Date]]&lt;1/1/1990,"",IF(Main[[#This Row],[Class]]="C",WORKDAY(Main[[#This Row],[Tech Start Date]],28),IF(Main[[#This Row],[Class]]="B", WORKDAY(Main[[#This Row],[Tech Start Date]],19),IF(Main[[#This Row],[Class]]="A",WORKDAY(Main[[#This Row],[Tech Start Date]],9),""))))</f>
        <v/>
      </c>
      <c r="Q778" s="129"/>
      <c r="R778" s="129"/>
      <c r="S778" s="139" t="s">
        <v>6</v>
      </c>
      <c r="T778" s="115" t="s">
        <v>4</v>
      </c>
      <c r="U778" s="139" t="s">
        <v>14</v>
      </c>
      <c r="V778" s="139" t="s">
        <v>1917</v>
      </c>
      <c r="W778" s="139" t="s">
        <v>4</v>
      </c>
      <c r="X778" s="139" t="s">
        <v>2841</v>
      </c>
      <c r="Y778" s="112" t="s">
        <v>2971</v>
      </c>
      <c r="Z778" s="112" t="s">
        <v>4</v>
      </c>
      <c r="AA778" s="139" t="s">
        <v>2841</v>
      </c>
    </row>
    <row r="779" spans="1:27" ht="17.25" customHeight="1">
      <c r="A779" s="69" t="str">
        <f>IF(priority(Main[[#This Row],[Comments]])&lt;&gt;0, priority(Main[[#This Row],[Comments]]),"")</f>
        <v/>
      </c>
      <c r="B779" s="63" t="s">
        <v>1595</v>
      </c>
      <c r="C779" s="148" t="s">
        <v>4</v>
      </c>
      <c r="D779" s="113" t="s">
        <v>671</v>
      </c>
      <c r="E779" s="129"/>
      <c r="F779" s="129"/>
      <c r="G779" s="69" t="str">
        <f>IF(stdProdLT(Main[[#This Row],[Comments]])=0.1,"N/A",IF(stdProdLT(Main[[#This Row],[Comments]])=0,"",stdProdLT(Main[[#This Row],[Comments]])))</f>
        <v/>
      </c>
      <c r="H779" s="138" t="str">
        <f>IF(Main[[#This Row],[In Stock Date]]="N/A", "N/A",IF(AND(Main[[#This Row],[In Stock Date]]&lt;&gt;"",Main[[#This Row],[Revised Due Date]]&lt;&gt;"",Main[[#This Row],[In Stock Date]]&lt;&gt;""),Main[[#This Row],[In Stock Date]]-Main[[#This Row],[Revised Due Date]],""))</f>
        <v/>
      </c>
      <c r="I779" s="139" t="s">
        <v>4</v>
      </c>
      <c r="J779" s="139" t="s">
        <v>28</v>
      </c>
      <c r="K779" s="140" t="s">
        <v>4</v>
      </c>
      <c r="L779" s="129"/>
      <c r="M779" s="114" t="str">
        <f>IF(Main[[#This Row],[Tech Start Date]]&lt;1/1/1990,"",IF(Main[[#This Row],[Class]]="C",WORKDAY(Main[[#This Row],[Tech Start Date]],9),IF(Main[[#This Row],[Class]]="B", WORKDAY(Main[[#This Row],[Tech Start Date]],6),IF(Main[[#This Row],[Class]]="A",WORKDAY(Main[[#This Row],[Tech Start Date]],2),""))))</f>
        <v/>
      </c>
      <c r="N779" s="114" t="str">
        <f>IF(Main[[#This Row],[Tech Start Date]]&lt;1/1/1990,"",IF(Main[[#This Row],[Class]]="C",WORKDAY(Main[[#This Row],[Tech Start Date]],19),IF(Main[[#This Row],[Class]]="B", WORKDAY(Main[[#This Row],[Tech Start Date]],12),IF(Main[[#This Row],[Class]]="A",WORKDAY(Main[[#This Row],[Tech Start Date]],4),""))))</f>
        <v/>
      </c>
      <c r="O779" s="114" t="str">
        <f>IF(Main[[#This Row],[Tech Start Date]]&lt;1/1/1990,"",IF(Main[[#This Row],[Class]]="C",WORKDAY(Main[[#This Row],[Tech Start Date]],23),IF(Main[[#This Row],[Class]]="B", WORKDAY(Main[[#This Row],[Tech Start Date]],15),IF(Main[[#This Row],[Class]]="A",WORKDAY(Main[[#This Row],[Tech Start Date]],5),""))))</f>
        <v/>
      </c>
      <c r="P779" s="114" t="str">
        <f>IF(Main[[#This Row],[Tech Start Date]]&lt;1/1/1990,"",IF(Main[[#This Row],[Class]]="C",WORKDAY(Main[[#This Row],[Tech Start Date]],28),IF(Main[[#This Row],[Class]]="B", WORKDAY(Main[[#This Row],[Tech Start Date]],19),IF(Main[[#This Row],[Class]]="A",WORKDAY(Main[[#This Row],[Tech Start Date]],9),""))))</f>
        <v/>
      </c>
      <c r="Q779" s="129">
        <v>40471</v>
      </c>
      <c r="R779" s="129"/>
      <c r="S779" s="139" t="s">
        <v>296</v>
      </c>
      <c r="T779" s="115" t="s">
        <v>4</v>
      </c>
      <c r="U779" s="139" t="s">
        <v>14</v>
      </c>
      <c r="V779" s="139" t="s">
        <v>1924</v>
      </c>
      <c r="W779" s="139" t="s">
        <v>1916</v>
      </c>
      <c r="X779" s="139" t="s">
        <v>2847</v>
      </c>
      <c r="Y779" s="112" t="s">
        <v>2978</v>
      </c>
      <c r="Z779" s="112" t="s">
        <v>530</v>
      </c>
      <c r="AA779" s="139" t="s">
        <v>2847</v>
      </c>
    </row>
    <row r="780" spans="1:27" ht="17.25" customHeight="1">
      <c r="A780" s="69" t="str">
        <f>IF(priority(Main[[#This Row],[Comments]])&lt;&gt;0, priority(Main[[#This Row],[Comments]]),"")</f>
        <v/>
      </c>
      <c r="B780" s="63" t="s">
        <v>1609</v>
      </c>
      <c r="C780" s="148" t="s">
        <v>4</v>
      </c>
      <c r="D780" s="113" t="s">
        <v>682</v>
      </c>
      <c r="E780" s="129"/>
      <c r="F780" s="129"/>
      <c r="G780" s="69" t="str">
        <f>IF(stdProdLT(Main[[#This Row],[Comments]])=0.1,"N/A",IF(stdProdLT(Main[[#This Row],[Comments]])=0,"",stdProdLT(Main[[#This Row],[Comments]])))</f>
        <v/>
      </c>
      <c r="H780" s="138" t="str">
        <f>IF(Main[[#This Row],[In Stock Date]]="N/A", "N/A",IF(AND(Main[[#This Row],[In Stock Date]]&lt;&gt;"",Main[[#This Row],[Revised Due Date]]&lt;&gt;"",Main[[#This Row],[In Stock Date]]&lt;&gt;""),Main[[#This Row],[In Stock Date]]-Main[[#This Row],[Revised Due Date]],""))</f>
        <v/>
      </c>
      <c r="I780" s="139" t="s">
        <v>4</v>
      </c>
      <c r="J780" s="139" t="s">
        <v>4</v>
      </c>
      <c r="K780" s="139" t="s">
        <v>4</v>
      </c>
      <c r="L780" s="129"/>
      <c r="M780" s="114" t="str">
        <f>IF(Main[[#This Row],[Tech Start Date]]&lt;1/1/1990,"",IF(Main[[#This Row],[Class]]="C",WORKDAY(Main[[#This Row],[Tech Start Date]],9),IF(Main[[#This Row],[Class]]="B", WORKDAY(Main[[#This Row],[Tech Start Date]],6),IF(Main[[#This Row],[Class]]="A",WORKDAY(Main[[#This Row],[Tech Start Date]],2),""))))</f>
        <v/>
      </c>
      <c r="N780" s="114" t="str">
        <f>IF(Main[[#This Row],[Tech Start Date]]&lt;1/1/1990,"",IF(Main[[#This Row],[Class]]="C",WORKDAY(Main[[#This Row],[Tech Start Date]],19),IF(Main[[#This Row],[Class]]="B", WORKDAY(Main[[#This Row],[Tech Start Date]],12),IF(Main[[#This Row],[Class]]="A",WORKDAY(Main[[#This Row],[Tech Start Date]],4),""))))</f>
        <v/>
      </c>
      <c r="O780" s="114" t="str">
        <f>IF(Main[[#This Row],[Tech Start Date]]&lt;1/1/1990,"",IF(Main[[#This Row],[Class]]="C",WORKDAY(Main[[#This Row],[Tech Start Date]],23),IF(Main[[#This Row],[Class]]="B", WORKDAY(Main[[#This Row],[Tech Start Date]],15),IF(Main[[#This Row],[Class]]="A",WORKDAY(Main[[#This Row],[Tech Start Date]],5),""))))</f>
        <v/>
      </c>
      <c r="P780" s="114" t="str">
        <f>IF(Main[[#This Row],[Tech Start Date]]&lt;1/1/1990,"",IF(Main[[#This Row],[Class]]="C",WORKDAY(Main[[#This Row],[Tech Start Date]],28),IF(Main[[#This Row],[Class]]="B", WORKDAY(Main[[#This Row],[Tech Start Date]],19),IF(Main[[#This Row],[Class]]="A",WORKDAY(Main[[#This Row],[Tech Start Date]],9),""))))</f>
        <v/>
      </c>
      <c r="Q780" s="129"/>
      <c r="R780" s="129"/>
      <c r="S780" s="139" t="s">
        <v>23</v>
      </c>
      <c r="T780" s="115" t="s">
        <v>4</v>
      </c>
      <c r="U780" s="139" t="s">
        <v>14</v>
      </c>
      <c r="V780" s="139" t="s">
        <v>1924</v>
      </c>
      <c r="W780" s="139" t="s">
        <v>1918</v>
      </c>
      <c r="X780" s="139" t="s">
        <v>102</v>
      </c>
      <c r="Y780" s="112" t="s">
        <v>3087</v>
      </c>
      <c r="Z780" s="112" t="s">
        <v>4</v>
      </c>
      <c r="AA780" s="139" t="s">
        <v>3427</v>
      </c>
    </row>
    <row r="781" spans="1:27" ht="17.25" customHeight="1">
      <c r="A781" s="69" t="str">
        <f>IF(priority(Main[[#This Row],[Comments]])&lt;&gt;0, priority(Main[[#This Row],[Comments]]),"")</f>
        <v/>
      </c>
      <c r="B781" s="63" t="s">
        <v>1610</v>
      </c>
      <c r="C781" s="148" t="s">
        <v>4</v>
      </c>
      <c r="D781" s="113" t="s">
        <v>683</v>
      </c>
      <c r="E781" s="129">
        <v>40464.400208333333</v>
      </c>
      <c r="F781" s="129"/>
      <c r="G781" s="69" t="str">
        <f>IF(stdProdLT(Main[[#This Row],[Comments]])=0.1,"N/A",IF(stdProdLT(Main[[#This Row],[Comments]])=0,"",stdProdLT(Main[[#This Row],[Comments]])))</f>
        <v/>
      </c>
      <c r="H781" s="138" t="str">
        <f>IF(Main[[#This Row],[In Stock Date]]="N/A", "N/A",IF(AND(Main[[#This Row],[In Stock Date]]&lt;&gt;"",Main[[#This Row],[Revised Due Date]]&lt;&gt;"",Main[[#This Row],[In Stock Date]]&lt;&gt;""),Main[[#This Row],[In Stock Date]]-Main[[#This Row],[Revised Due Date]],""))</f>
        <v/>
      </c>
      <c r="I781" s="139" t="s">
        <v>4</v>
      </c>
      <c r="J781" s="139" t="s">
        <v>4</v>
      </c>
      <c r="K781" s="139" t="s">
        <v>4</v>
      </c>
      <c r="L781" s="129"/>
      <c r="M781" s="114" t="str">
        <f>IF(Main[[#This Row],[Tech Start Date]]&lt;1/1/1990,"",IF(Main[[#This Row],[Class]]="C",WORKDAY(Main[[#This Row],[Tech Start Date]],9),IF(Main[[#This Row],[Class]]="B", WORKDAY(Main[[#This Row],[Tech Start Date]],6),IF(Main[[#This Row],[Class]]="A",WORKDAY(Main[[#This Row],[Tech Start Date]],2),""))))</f>
        <v/>
      </c>
      <c r="N781" s="114" t="str">
        <f>IF(Main[[#This Row],[Tech Start Date]]&lt;1/1/1990,"",IF(Main[[#This Row],[Class]]="C",WORKDAY(Main[[#This Row],[Tech Start Date]],19),IF(Main[[#This Row],[Class]]="B", WORKDAY(Main[[#This Row],[Tech Start Date]],12),IF(Main[[#This Row],[Class]]="A",WORKDAY(Main[[#This Row],[Tech Start Date]],4),""))))</f>
        <v/>
      </c>
      <c r="O781" s="114" t="str">
        <f>IF(Main[[#This Row],[Tech Start Date]]&lt;1/1/1990,"",IF(Main[[#This Row],[Class]]="C",WORKDAY(Main[[#This Row],[Tech Start Date]],23),IF(Main[[#This Row],[Class]]="B", WORKDAY(Main[[#This Row],[Tech Start Date]],15),IF(Main[[#This Row],[Class]]="A",WORKDAY(Main[[#This Row],[Tech Start Date]],5),""))))</f>
        <v/>
      </c>
      <c r="P781" s="114" t="str">
        <f>IF(Main[[#This Row],[Tech Start Date]]&lt;1/1/1990,"",IF(Main[[#This Row],[Class]]="C",WORKDAY(Main[[#This Row],[Tech Start Date]],28),IF(Main[[#This Row],[Class]]="B", WORKDAY(Main[[#This Row],[Tech Start Date]],19),IF(Main[[#This Row],[Class]]="A",WORKDAY(Main[[#This Row],[Tech Start Date]],9),""))))</f>
        <v/>
      </c>
      <c r="Q781" s="129">
        <v>40512</v>
      </c>
      <c r="R781" s="129"/>
      <c r="S781" s="139" t="s">
        <v>6</v>
      </c>
      <c r="T781" s="115" t="s">
        <v>4</v>
      </c>
      <c r="U781" s="139" t="s">
        <v>7</v>
      </c>
      <c r="V781" s="139" t="s">
        <v>1914</v>
      </c>
      <c r="W781" s="139" t="s">
        <v>4</v>
      </c>
      <c r="X781" s="139" t="s">
        <v>2819</v>
      </c>
      <c r="Y781" s="112" t="s">
        <v>2932</v>
      </c>
      <c r="Z781" s="112" t="s">
        <v>4</v>
      </c>
      <c r="AA781" s="139" t="s">
        <v>2819</v>
      </c>
    </row>
    <row r="782" spans="1:27" ht="17.25" customHeight="1">
      <c r="A782" s="69" t="str">
        <f>IF(priority(Main[[#This Row],[Comments]])&lt;&gt;0, priority(Main[[#This Row],[Comments]]),"")</f>
        <v/>
      </c>
      <c r="B782" s="63" t="s">
        <v>1844</v>
      </c>
      <c r="C782" s="148" t="s">
        <v>67</v>
      </c>
      <c r="D782" s="113" t="s">
        <v>901</v>
      </c>
      <c r="E782" s="129"/>
      <c r="F782" s="129"/>
      <c r="G782" s="69" t="str">
        <f>IF(stdProdLT(Main[[#This Row],[Comments]])=0.1,"N/A",IF(stdProdLT(Main[[#This Row],[Comments]])=0,"",stdProdLT(Main[[#This Row],[Comments]])))</f>
        <v/>
      </c>
      <c r="H782" s="138" t="str">
        <f>IF(Main[[#This Row],[In Stock Date]]="N/A", "N/A",IF(AND(Main[[#This Row],[In Stock Date]]&lt;&gt;"",Main[[#This Row],[Revised Due Date]]&lt;&gt;"",Main[[#This Row],[In Stock Date]]&lt;&gt;""),Main[[#This Row],[In Stock Date]]-Main[[#This Row],[Revised Due Date]],""))</f>
        <v/>
      </c>
      <c r="I782" s="139" t="s">
        <v>163</v>
      </c>
      <c r="J782" s="139" t="s">
        <v>4</v>
      </c>
      <c r="K782" s="139" t="s">
        <v>1926</v>
      </c>
      <c r="L782" s="129"/>
      <c r="M782" s="114" t="str">
        <f>IF(Main[[#This Row],[Tech Start Date]]&lt;1/1/1990,"",IF(Main[[#This Row],[Class]]="C",WORKDAY(Main[[#This Row],[Tech Start Date]],9),IF(Main[[#This Row],[Class]]="B", WORKDAY(Main[[#This Row],[Tech Start Date]],6),IF(Main[[#This Row],[Class]]="A",WORKDAY(Main[[#This Row],[Tech Start Date]],2),""))))</f>
        <v/>
      </c>
      <c r="N782" s="114" t="str">
        <f>IF(Main[[#This Row],[Tech Start Date]]&lt;1/1/1990,"",IF(Main[[#This Row],[Class]]="C",WORKDAY(Main[[#This Row],[Tech Start Date]],19),IF(Main[[#This Row],[Class]]="B", WORKDAY(Main[[#This Row],[Tech Start Date]],12),IF(Main[[#This Row],[Class]]="A",WORKDAY(Main[[#This Row],[Tech Start Date]],4),""))))</f>
        <v/>
      </c>
      <c r="O782" s="114" t="str">
        <f>IF(Main[[#This Row],[Tech Start Date]]&lt;1/1/1990,"",IF(Main[[#This Row],[Class]]="C",WORKDAY(Main[[#This Row],[Tech Start Date]],23),IF(Main[[#This Row],[Class]]="B", WORKDAY(Main[[#This Row],[Tech Start Date]],15),IF(Main[[#This Row],[Class]]="A",WORKDAY(Main[[#This Row],[Tech Start Date]],5),""))))</f>
        <v/>
      </c>
      <c r="P782" s="114" t="str">
        <f>IF(Main[[#This Row],[Tech Start Date]]&lt;1/1/1990,"",IF(Main[[#This Row],[Class]]="C",WORKDAY(Main[[#This Row],[Tech Start Date]],28),IF(Main[[#This Row],[Class]]="B", WORKDAY(Main[[#This Row],[Tech Start Date]],19),IF(Main[[#This Row],[Class]]="A",WORKDAY(Main[[#This Row],[Tech Start Date]],9),""))))</f>
        <v/>
      </c>
      <c r="Q782" s="129">
        <v>39990</v>
      </c>
      <c r="R782" s="129">
        <v>40497</v>
      </c>
      <c r="S782" s="139" t="s">
        <v>17</v>
      </c>
      <c r="T782" s="115" t="s">
        <v>4</v>
      </c>
      <c r="U782" s="139" t="s">
        <v>14</v>
      </c>
      <c r="V782" s="139" t="s">
        <v>1917</v>
      </c>
      <c r="W782" s="139" t="s">
        <v>1919</v>
      </c>
      <c r="X782" s="139" t="s">
        <v>2820</v>
      </c>
      <c r="Y782" s="112" t="s">
        <v>2934</v>
      </c>
      <c r="Z782" s="112" t="s">
        <v>415</v>
      </c>
      <c r="AA782" s="139" t="s">
        <v>3380</v>
      </c>
    </row>
    <row r="783" spans="1:27" ht="17.25" customHeight="1">
      <c r="A783" s="69" t="str">
        <f>IF(priority(Main[[#This Row],[Comments]])&lt;&gt;0, priority(Main[[#This Row],[Comments]]),"")</f>
        <v/>
      </c>
      <c r="B783" s="63" t="s">
        <v>1596</v>
      </c>
      <c r="C783" s="148" t="s">
        <v>31</v>
      </c>
      <c r="D783" s="113" t="s">
        <v>672</v>
      </c>
      <c r="E783" s="129"/>
      <c r="F783" s="129">
        <v>40725</v>
      </c>
      <c r="G783" s="69" t="str">
        <f>IF(stdProdLT(Main[[#This Row],[Comments]])=0.1,"N/A",IF(stdProdLT(Main[[#This Row],[Comments]])=0,"",stdProdLT(Main[[#This Row],[Comments]])))</f>
        <v/>
      </c>
      <c r="H783" s="138" t="str">
        <f>IF(Main[[#This Row],[In Stock Date]]="N/A", "N/A",IF(AND(Main[[#This Row],[In Stock Date]]&lt;&gt;"",Main[[#This Row],[Revised Due Date]]&lt;&gt;"",Main[[#This Row],[In Stock Date]]&lt;&gt;""),Main[[#This Row],[In Stock Date]]-Main[[#This Row],[Revised Due Date]],""))</f>
        <v/>
      </c>
      <c r="I783" s="139" t="s">
        <v>4</v>
      </c>
      <c r="J783" s="139" t="s">
        <v>4</v>
      </c>
      <c r="K783" s="139" t="s">
        <v>4</v>
      </c>
      <c r="L783" s="129"/>
      <c r="M783" s="114" t="str">
        <f>IF(Main[[#This Row],[Tech Start Date]]&lt;1/1/1990,"",IF(Main[[#This Row],[Class]]="C",WORKDAY(Main[[#This Row],[Tech Start Date]],9),IF(Main[[#This Row],[Class]]="B", WORKDAY(Main[[#This Row],[Tech Start Date]],6),IF(Main[[#This Row],[Class]]="A",WORKDAY(Main[[#This Row],[Tech Start Date]],2),""))))</f>
        <v/>
      </c>
      <c r="N783" s="114" t="str">
        <f>IF(Main[[#This Row],[Tech Start Date]]&lt;1/1/1990,"",IF(Main[[#This Row],[Class]]="C",WORKDAY(Main[[#This Row],[Tech Start Date]],19),IF(Main[[#This Row],[Class]]="B", WORKDAY(Main[[#This Row],[Tech Start Date]],12),IF(Main[[#This Row],[Class]]="A",WORKDAY(Main[[#This Row],[Tech Start Date]],4),""))))</f>
        <v/>
      </c>
      <c r="O783" s="114" t="str">
        <f>IF(Main[[#This Row],[Tech Start Date]]&lt;1/1/1990,"",IF(Main[[#This Row],[Class]]="C",WORKDAY(Main[[#This Row],[Tech Start Date]],23),IF(Main[[#This Row],[Class]]="B", WORKDAY(Main[[#This Row],[Tech Start Date]],15),IF(Main[[#This Row],[Class]]="A",WORKDAY(Main[[#This Row],[Tech Start Date]],5),""))))</f>
        <v/>
      </c>
      <c r="P783" s="114" t="str">
        <f>IF(Main[[#This Row],[Tech Start Date]]&lt;1/1/1990,"",IF(Main[[#This Row],[Class]]="C",WORKDAY(Main[[#This Row],[Tech Start Date]],28),IF(Main[[#This Row],[Class]]="B", WORKDAY(Main[[#This Row],[Tech Start Date]],19),IF(Main[[#This Row],[Class]]="A",WORKDAY(Main[[#This Row],[Tech Start Date]],9),""))))</f>
        <v/>
      </c>
      <c r="Q783" s="129">
        <v>40634</v>
      </c>
      <c r="R783" s="129"/>
      <c r="S783" s="139" t="s">
        <v>11</v>
      </c>
      <c r="T783" s="115" t="s">
        <v>4</v>
      </c>
      <c r="U783" s="139" t="s">
        <v>14</v>
      </c>
      <c r="V783" s="139" t="s">
        <v>1917</v>
      </c>
      <c r="W783" s="139" t="s">
        <v>1920</v>
      </c>
      <c r="X783" s="139" t="s">
        <v>2845</v>
      </c>
      <c r="Y783" s="112" t="s">
        <v>3065</v>
      </c>
      <c r="Z783" s="112" t="s">
        <v>4</v>
      </c>
      <c r="AA783" s="139" t="s">
        <v>2845</v>
      </c>
    </row>
    <row r="784" spans="1:27" ht="17.25" customHeight="1">
      <c r="A784" s="69" t="str">
        <f>IF(priority(Main[[#This Row],[Comments]])&lt;&gt;0, priority(Main[[#This Row],[Comments]]),"")</f>
        <v/>
      </c>
      <c r="B784" s="63" t="s">
        <v>1709</v>
      </c>
      <c r="C784" s="148" t="s">
        <v>31</v>
      </c>
      <c r="D784" s="113" t="s">
        <v>768</v>
      </c>
      <c r="E784" s="129"/>
      <c r="F784" s="129">
        <v>40664</v>
      </c>
      <c r="G784" s="69" t="str">
        <f>IF(stdProdLT(Main[[#This Row],[Comments]])=0.1,"N/A",IF(stdProdLT(Main[[#This Row],[Comments]])=0,"",stdProdLT(Main[[#This Row],[Comments]])))</f>
        <v/>
      </c>
      <c r="H784" s="138" t="str">
        <f>IF(Main[[#This Row],[In Stock Date]]="N/A", "N/A",IF(AND(Main[[#This Row],[In Stock Date]]&lt;&gt;"",Main[[#This Row],[Revised Due Date]]&lt;&gt;"",Main[[#This Row],[In Stock Date]]&lt;&gt;""),Main[[#This Row],[In Stock Date]]-Main[[#This Row],[Revised Due Date]],""))</f>
        <v/>
      </c>
      <c r="I784" s="139" t="s">
        <v>4</v>
      </c>
      <c r="J784" s="139" t="s">
        <v>28</v>
      </c>
      <c r="K784" s="139" t="s">
        <v>4</v>
      </c>
      <c r="L784" s="129"/>
      <c r="M784" s="114" t="str">
        <f>IF(Main[[#This Row],[Tech Start Date]]&lt;1/1/1990,"",IF(Main[[#This Row],[Class]]="C",WORKDAY(Main[[#This Row],[Tech Start Date]],9),IF(Main[[#This Row],[Class]]="B", WORKDAY(Main[[#This Row],[Tech Start Date]],6),IF(Main[[#This Row],[Class]]="A",WORKDAY(Main[[#This Row],[Tech Start Date]],2),""))))</f>
        <v/>
      </c>
      <c r="N784" s="114" t="str">
        <f>IF(Main[[#This Row],[Tech Start Date]]&lt;1/1/1990,"",IF(Main[[#This Row],[Class]]="C",WORKDAY(Main[[#This Row],[Tech Start Date]],19),IF(Main[[#This Row],[Class]]="B", WORKDAY(Main[[#This Row],[Tech Start Date]],12),IF(Main[[#This Row],[Class]]="A",WORKDAY(Main[[#This Row],[Tech Start Date]],4),""))))</f>
        <v/>
      </c>
      <c r="O784" s="114" t="str">
        <f>IF(Main[[#This Row],[Tech Start Date]]&lt;1/1/1990,"",IF(Main[[#This Row],[Class]]="C",WORKDAY(Main[[#This Row],[Tech Start Date]],23),IF(Main[[#This Row],[Class]]="B", WORKDAY(Main[[#This Row],[Tech Start Date]],15),IF(Main[[#This Row],[Class]]="A",WORKDAY(Main[[#This Row],[Tech Start Date]],5),""))))</f>
        <v/>
      </c>
      <c r="P784" s="114" t="str">
        <f>IF(Main[[#This Row],[Tech Start Date]]&lt;1/1/1990,"",IF(Main[[#This Row],[Class]]="C",WORKDAY(Main[[#This Row],[Tech Start Date]],28),IF(Main[[#This Row],[Class]]="B", WORKDAY(Main[[#This Row],[Tech Start Date]],19),IF(Main[[#This Row],[Class]]="A",WORKDAY(Main[[#This Row],[Tech Start Date]],9),""))))</f>
        <v/>
      </c>
      <c r="Q784" s="129">
        <v>40589</v>
      </c>
      <c r="R784" s="129"/>
      <c r="S784" s="139" t="s">
        <v>11</v>
      </c>
      <c r="T784" s="115" t="s">
        <v>4</v>
      </c>
      <c r="U784" s="139" t="s">
        <v>14</v>
      </c>
      <c r="V784" s="139" t="s">
        <v>1917</v>
      </c>
      <c r="W784" s="139" t="s">
        <v>1920</v>
      </c>
      <c r="X784" s="139" t="s">
        <v>50</v>
      </c>
      <c r="Y784" s="112" t="s">
        <v>3120</v>
      </c>
      <c r="Z784" s="112" t="s">
        <v>30</v>
      </c>
      <c r="AA784" s="139" t="s">
        <v>2825</v>
      </c>
    </row>
    <row r="785" spans="1:27" ht="17.25" customHeight="1">
      <c r="A785" s="69" t="str">
        <f>IF(priority(Main[[#This Row],[Comments]])&lt;&gt;0, priority(Main[[#This Row],[Comments]]),"")</f>
        <v/>
      </c>
      <c r="B785" s="63" t="s">
        <v>3604</v>
      </c>
      <c r="C785" s="148" t="s">
        <v>3605</v>
      </c>
      <c r="D785" s="113" t="s">
        <v>3606</v>
      </c>
      <c r="E785" s="129">
        <v>40960.213784722226</v>
      </c>
      <c r="F785" s="129">
        <v>41146</v>
      </c>
      <c r="G785" s="69">
        <f>IF(stdProdLT(Main[[#This Row],[Comments]])=0.1,"N/A",IF(stdProdLT(Main[[#This Row],[Comments]])=0,"",stdProdLT(Main[[#This Row],[Comments]])))</f>
        <v>126</v>
      </c>
      <c r="H785" s="138" t="str">
        <f>IF(Main[[#This Row],[In Stock Date]]="N/A", "N/A",IF(AND(Main[[#This Row],[In Stock Date]]&lt;&gt;"",Main[[#This Row],[Revised Due Date]]&lt;&gt;"",Main[[#This Row],[In Stock Date]]&lt;&gt;""),Main[[#This Row],[In Stock Date]]-Main[[#This Row],[Revised Due Date]],""))</f>
        <v/>
      </c>
      <c r="I785" s="139" t="s">
        <v>4</v>
      </c>
      <c r="J785" s="139" t="s">
        <v>4</v>
      </c>
      <c r="K785" s="139" t="s">
        <v>4</v>
      </c>
      <c r="L785" s="129"/>
      <c r="M785" s="114" t="str">
        <f>IF(Main[[#This Row],[Tech Start Date]]&lt;1/1/1990,"",IF(Main[[#This Row],[Class]]="C",WORKDAY(Main[[#This Row],[Tech Start Date]],9),IF(Main[[#This Row],[Class]]="B", WORKDAY(Main[[#This Row],[Tech Start Date]],6),IF(Main[[#This Row],[Class]]="A",WORKDAY(Main[[#This Row],[Tech Start Date]],2),""))))</f>
        <v/>
      </c>
      <c r="N785" s="114" t="str">
        <f>IF(Main[[#This Row],[Tech Start Date]]&lt;1/1/1990,"",IF(Main[[#This Row],[Class]]="C",WORKDAY(Main[[#This Row],[Tech Start Date]],19),IF(Main[[#This Row],[Class]]="B", WORKDAY(Main[[#This Row],[Tech Start Date]],12),IF(Main[[#This Row],[Class]]="A",WORKDAY(Main[[#This Row],[Tech Start Date]],4),""))))</f>
        <v/>
      </c>
      <c r="O785" s="114" t="str">
        <f>IF(Main[[#This Row],[Tech Start Date]]&lt;1/1/1990,"",IF(Main[[#This Row],[Class]]="C",WORKDAY(Main[[#This Row],[Tech Start Date]],23),IF(Main[[#This Row],[Class]]="B", WORKDAY(Main[[#This Row],[Tech Start Date]],15),IF(Main[[#This Row],[Class]]="A",WORKDAY(Main[[#This Row],[Tech Start Date]],5),""))))</f>
        <v/>
      </c>
      <c r="P785" s="114" t="str">
        <f>IF(Main[[#This Row],[Tech Start Date]]&lt;1/1/1990,"",IF(Main[[#This Row],[Class]]="C",WORKDAY(Main[[#This Row],[Tech Start Date]],28),IF(Main[[#This Row],[Class]]="B", WORKDAY(Main[[#This Row],[Tech Start Date]],19),IF(Main[[#This Row],[Class]]="A",WORKDAY(Main[[#This Row],[Tech Start Date]],9),""))))</f>
        <v/>
      </c>
      <c r="Q785" s="129"/>
      <c r="R785" s="129"/>
      <c r="S785" s="139" t="s">
        <v>11</v>
      </c>
      <c r="T785" s="115" t="s">
        <v>3607</v>
      </c>
      <c r="U785" s="139" t="s">
        <v>694</v>
      </c>
      <c r="V785" s="139" t="s">
        <v>1917</v>
      </c>
      <c r="W785" s="139" t="s">
        <v>1919</v>
      </c>
      <c r="X785" s="139" t="s">
        <v>2893</v>
      </c>
      <c r="Y785" s="112" t="s">
        <v>3055</v>
      </c>
      <c r="Z785" s="112" t="s">
        <v>4</v>
      </c>
      <c r="AA785" s="139" t="s">
        <v>2893</v>
      </c>
    </row>
    <row r="786" spans="1:27" ht="17.25" customHeight="1">
      <c r="A786" s="69" t="str">
        <f>IF(priority(Main[[#This Row],[Comments]])&lt;&gt;0, priority(Main[[#This Row],[Comments]]),"")</f>
        <v/>
      </c>
      <c r="B786" s="63" t="s">
        <v>1597</v>
      </c>
      <c r="C786" s="148" t="s">
        <v>4</v>
      </c>
      <c r="D786" s="113" t="s">
        <v>673</v>
      </c>
      <c r="E786" s="129"/>
      <c r="F786" s="129"/>
      <c r="G786" s="69" t="str">
        <f>IF(stdProdLT(Main[[#This Row],[Comments]])=0.1,"N/A",IF(stdProdLT(Main[[#This Row],[Comments]])=0,"",stdProdLT(Main[[#This Row],[Comments]])))</f>
        <v/>
      </c>
      <c r="H786" s="138" t="str">
        <f>IF(Main[[#This Row],[In Stock Date]]="N/A", "N/A",IF(AND(Main[[#This Row],[In Stock Date]]&lt;&gt;"",Main[[#This Row],[Revised Due Date]]&lt;&gt;"",Main[[#This Row],[In Stock Date]]&lt;&gt;""),Main[[#This Row],[In Stock Date]]-Main[[#This Row],[Revised Due Date]],""))</f>
        <v/>
      </c>
      <c r="I786" s="139" t="s">
        <v>102</v>
      </c>
      <c r="J786" s="139" t="s">
        <v>4</v>
      </c>
      <c r="K786" s="139" t="s">
        <v>1921</v>
      </c>
      <c r="L786" s="129"/>
      <c r="M786" s="114" t="str">
        <f>IF(Main[[#This Row],[Tech Start Date]]&lt;1/1/1990,"",IF(Main[[#This Row],[Class]]="C",WORKDAY(Main[[#This Row],[Tech Start Date]],9),IF(Main[[#This Row],[Class]]="B", WORKDAY(Main[[#This Row],[Tech Start Date]],6),IF(Main[[#This Row],[Class]]="A",WORKDAY(Main[[#This Row],[Tech Start Date]],2),""))))</f>
        <v/>
      </c>
      <c r="N786" s="114" t="str">
        <f>IF(Main[[#This Row],[Tech Start Date]]&lt;1/1/1990,"",IF(Main[[#This Row],[Class]]="C",WORKDAY(Main[[#This Row],[Tech Start Date]],19),IF(Main[[#This Row],[Class]]="B", WORKDAY(Main[[#This Row],[Tech Start Date]],12),IF(Main[[#This Row],[Class]]="A",WORKDAY(Main[[#This Row],[Tech Start Date]],4),""))))</f>
        <v/>
      </c>
      <c r="O786" s="114" t="str">
        <f>IF(Main[[#This Row],[Tech Start Date]]&lt;1/1/1990,"",IF(Main[[#This Row],[Class]]="C",WORKDAY(Main[[#This Row],[Tech Start Date]],23),IF(Main[[#This Row],[Class]]="B", WORKDAY(Main[[#This Row],[Tech Start Date]],15),IF(Main[[#This Row],[Class]]="A",WORKDAY(Main[[#This Row],[Tech Start Date]],5),""))))</f>
        <v/>
      </c>
      <c r="P786" s="114" t="str">
        <f>IF(Main[[#This Row],[Tech Start Date]]&lt;1/1/1990,"",IF(Main[[#This Row],[Class]]="C",WORKDAY(Main[[#This Row],[Tech Start Date]],28),IF(Main[[#This Row],[Class]]="B", WORKDAY(Main[[#This Row],[Tech Start Date]],19),IF(Main[[#This Row],[Class]]="A",WORKDAY(Main[[#This Row],[Tech Start Date]],9),""))))</f>
        <v/>
      </c>
      <c r="Q786" s="129"/>
      <c r="R786" s="129"/>
      <c r="S786" s="139" t="s">
        <v>23</v>
      </c>
      <c r="T786" s="115" t="s">
        <v>4</v>
      </c>
      <c r="U786" s="139" t="s">
        <v>14</v>
      </c>
      <c r="V786" s="139" t="s">
        <v>1914</v>
      </c>
      <c r="W786" s="139" t="s">
        <v>1918</v>
      </c>
      <c r="X786" s="139" t="s">
        <v>306</v>
      </c>
      <c r="Y786" s="112" t="s">
        <v>4</v>
      </c>
      <c r="Z786" s="112" t="s">
        <v>4</v>
      </c>
      <c r="AA786" s="139" t="s">
        <v>3427</v>
      </c>
    </row>
    <row r="787" spans="1:27" ht="17.25" customHeight="1">
      <c r="A787" s="69" t="str">
        <f>IF(priority(Main[[#This Row],[Comments]])&lt;&gt;0, priority(Main[[#This Row],[Comments]]),"")</f>
        <v/>
      </c>
      <c r="B787" s="63" t="s">
        <v>1598</v>
      </c>
      <c r="C787" s="148" t="s">
        <v>4</v>
      </c>
      <c r="D787" s="113" t="s">
        <v>674</v>
      </c>
      <c r="E787" s="129">
        <v>40491.714780092596</v>
      </c>
      <c r="F787" s="129"/>
      <c r="G787" s="69" t="str">
        <f>IF(stdProdLT(Main[[#This Row],[Comments]])=0.1,"N/A",IF(stdProdLT(Main[[#This Row],[Comments]])=0,"",stdProdLT(Main[[#This Row],[Comments]])))</f>
        <v/>
      </c>
      <c r="H787" s="138" t="str">
        <f>IF(Main[[#This Row],[In Stock Date]]="N/A", "N/A",IF(AND(Main[[#This Row],[In Stock Date]]&lt;&gt;"",Main[[#This Row],[Revised Due Date]]&lt;&gt;"",Main[[#This Row],[In Stock Date]]&lt;&gt;""),Main[[#This Row],[In Stock Date]]-Main[[#This Row],[Revised Due Date]],""))</f>
        <v/>
      </c>
      <c r="I787" s="139" t="s">
        <v>4</v>
      </c>
      <c r="J787" s="139" t="s">
        <v>28</v>
      </c>
      <c r="K787" s="139" t="s">
        <v>1921</v>
      </c>
      <c r="L787" s="129"/>
      <c r="M787" s="114" t="str">
        <f>IF(Main[[#This Row],[Tech Start Date]]&lt;1/1/1990,"",IF(Main[[#This Row],[Class]]="C",WORKDAY(Main[[#This Row],[Tech Start Date]],9),IF(Main[[#This Row],[Class]]="B", WORKDAY(Main[[#This Row],[Tech Start Date]],6),IF(Main[[#This Row],[Class]]="A",WORKDAY(Main[[#This Row],[Tech Start Date]],2),""))))</f>
        <v/>
      </c>
      <c r="N787" s="114" t="str">
        <f>IF(Main[[#This Row],[Tech Start Date]]&lt;1/1/1990,"",IF(Main[[#This Row],[Class]]="C",WORKDAY(Main[[#This Row],[Tech Start Date]],19),IF(Main[[#This Row],[Class]]="B", WORKDAY(Main[[#This Row],[Tech Start Date]],12),IF(Main[[#This Row],[Class]]="A",WORKDAY(Main[[#This Row],[Tech Start Date]],4),""))))</f>
        <v/>
      </c>
      <c r="O787" s="114" t="str">
        <f>IF(Main[[#This Row],[Tech Start Date]]&lt;1/1/1990,"",IF(Main[[#This Row],[Class]]="C",WORKDAY(Main[[#This Row],[Tech Start Date]],23),IF(Main[[#This Row],[Class]]="B", WORKDAY(Main[[#This Row],[Tech Start Date]],15),IF(Main[[#This Row],[Class]]="A",WORKDAY(Main[[#This Row],[Tech Start Date]],5),""))))</f>
        <v/>
      </c>
      <c r="P787" s="114" t="str">
        <f>IF(Main[[#This Row],[Tech Start Date]]&lt;1/1/1990,"",IF(Main[[#This Row],[Class]]="C",WORKDAY(Main[[#This Row],[Tech Start Date]],28),IF(Main[[#This Row],[Class]]="B", WORKDAY(Main[[#This Row],[Tech Start Date]],19),IF(Main[[#This Row],[Class]]="A",WORKDAY(Main[[#This Row],[Tech Start Date]],9),""))))</f>
        <v/>
      </c>
      <c r="Q787" s="129">
        <v>40520</v>
      </c>
      <c r="R787" s="129"/>
      <c r="S787" s="139" t="s">
        <v>6</v>
      </c>
      <c r="T787" s="115" t="s">
        <v>4</v>
      </c>
      <c r="U787" s="139" t="s">
        <v>7</v>
      </c>
      <c r="V787" s="139" t="s">
        <v>1914</v>
      </c>
      <c r="W787" s="139" t="s">
        <v>1916</v>
      </c>
      <c r="X787" s="139" t="s">
        <v>2821</v>
      </c>
      <c r="Y787" s="112" t="s">
        <v>2936</v>
      </c>
      <c r="Z787" s="112" t="s">
        <v>129</v>
      </c>
      <c r="AA787" s="139" t="s">
        <v>2821</v>
      </c>
    </row>
    <row r="788" spans="1:27" ht="17.25" customHeight="1">
      <c r="A788" s="69" t="str">
        <f>IF(priority(Main[[#This Row],[Comments]])&lt;&gt;0, priority(Main[[#This Row],[Comments]]),"")</f>
        <v/>
      </c>
      <c r="B788" s="63" t="s">
        <v>1599</v>
      </c>
      <c r="C788" s="148" t="s">
        <v>47</v>
      </c>
      <c r="D788" s="113" t="s">
        <v>675</v>
      </c>
      <c r="E788" s="129"/>
      <c r="F788" s="129"/>
      <c r="G788" s="69" t="str">
        <f>IF(stdProdLT(Main[[#This Row],[Comments]])=0.1,"N/A",IF(stdProdLT(Main[[#This Row],[Comments]])=0,"",stdProdLT(Main[[#This Row],[Comments]])))</f>
        <v/>
      </c>
      <c r="H788" s="138" t="str">
        <f>IF(Main[[#This Row],[In Stock Date]]="N/A", "N/A",IF(AND(Main[[#This Row],[In Stock Date]]&lt;&gt;"",Main[[#This Row],[Revised Due Date]]&lt;&gt;"",Main[[#This Row],[In Stock Date]]&lt;&gt;""),Main[[#This Row],[In Stock Date]]-Main[[#This Row],[Revised Due Date]],""))</f>
        <v/>
      </c>
      <c r="I788" s="139" t="s">
        <v>4</v>
      </c>
      <c r="J788" s="139" t="s">
        <v>4</v>
      </c>
      <c r="K788" s="139" t="s">
        <v>4</v>
      </c>
      <c r="L788" s="129"/>
      <c r="M788" s="114" t="str">
        <f>IF(Main[[#This Row],[Tech Start Date]]&lt;1/1/1990,"",IF(Main[[#This Row],[Class]]="C",WORKDAY(Main[[#This Row],[Tech Start Date]],9),IF(Main[[#This Row],[Class]]="B", WORKDAY(Main[[#This Row],[Tech Start Date]],6),IF(Main[[#This Row],[Class]]="A",WORKDAY(Main[[#This Row],[Tech Start Date]],2),""))))</f>
        <v/>
      </c>
      <c r="N788" s="114" t="str">
        <f>IF(Main[[#This Row],[Tech Start Date]]&lt;1/1/1990,"",IF(Main[[#This Row],[Class]]="C",WORKDAY(Main[[#This Row],[Tech Start Date]],19),IF(Main[[#This Row],[Class]]="B", WORKDAY(Main[[#This Row],[Tech Start Date]],12),IF(Main[[#This Row],[Class]]="A",WORKDAY(Main[[#This Row],[Tech Start Date]],4),""))))</f>
        <v/>
      </c>
      <c r="O788" s="114" t="str">
        <f>IF(Main[[#This Row],[Tech Start Date]]&lt;1/1/1990,"",IF(Main[[#This Row],[Class]]="C",WORKDAY(Main[[#This Row],[Tech Start Date]],23),IF(Main[[#This Row],[Class]]="B", WORKDAY(Main[[#This Row],[Tech Start Date]],15),IF(Main[[#This Row],[Class]]="A",WORKDAY(Main[[#This Row],[Tech Start Date]],5),""))))</f>
        <v/>
      </c>
      <c r="P788" s="114" t="str">
        <f>IF(Main[[#This Row],[Tech Start Date]]&lt;1/1/1990,"",IF(Main[[#This Row],[Class]]="C",WORKDAY(Main[[#This Row],[Tech Start Date]],28),IF(Main[[#This Row],[Class]]="B", WORKDAY(Main[[#This Row],[Tech Start Date]],19),IF(Main[[#This Row],[Class]]="A",WORKDAY(Main[[#This Row],[Tech Start Date]],9),""))))</f>
        <v/>
      </c>
      <c r="Q788" s="129"/>
      <c r="R788" s="129"/>
      <c r="S788" s="139" t="s">
        <v>11</v>
      </c>
      <c r="T788" s="115" t="s">
        <v>4</v>
      </c>
      <c r="U788" s="139" t="s">
        <v>14</v>
      </c>
      <c r="V788" s="139" t="s">
        <v>1915</v>
      </c>
      <c r="W788" s="139" t="s">
        <v>1918</v>
      </c>
      <c r="X788" s="139" t="s">
        <v>306</v>
      </c>
      <c r="Y788" s="112" t="s">
        <v>2941</v>
      </c>
      <c r="Z788" s="112" t="s">
        <v>4</v>
      </c>
      <c r="AA788" s="139" t="s">
        <v>3376</v>
      </c>
    </row>
    <row r="789" spans="1:27" ht="17.25" customHeight="1">
      <c r="A789" s="69" t="str">
        <f>IF(priority(Main[[#This Row],[Comments]])&lt;&gt;0, priority(Main[[#This Row],[Comments]]),"")</f>
        <v/>
      </c>
      <c r="B789" s="63" t="s">
        <v>1600</v>
      </c>
      <c r="C789" s="148" t="s">
        <v>275</v>
      </c>
      <c r="D789" s="113" t="s">
        <v>585</v>
      </c>
      <c r="E789" s="129"/>
      <c r="F789" s="129">
        <v>40186</v>
      </c>
      <c r="G789" s="69" t="str">
        <f>IF(stdProdLT(Main[[#This Row],[Comments]])=0.1,"N/A",IF(stdProdLT(Main[[#This Row],[Comments]])=0,"",stdProdLT(Main[[#This Row],[Comments]])))</f>
        <v/>
      </c>
      <c r="H789" s="138" t="str">
        <f>IF(Main[[#This Row],[In Stock Date]]="N/A", "N/A",IF(AND(Main[[#This Row],[In Stock Date]]&lt;&gt;"",Main[[#This Row],[Revised Due Date]]&lt;&gt;"",Main[[#This Row],[In Stock Date]]&lt;&gt;""),Main[[#This Row],[In Stock Date]]-Main[[#This Row],[Revised Due Date]],""))</f>
        <v/>
      </c>
      <c r="I789" s="139" t="s">
        <v>4</v>
      </c>
      <c r="J789" s="139" t="s">
        <v>4</v>
      </c>
      <c r="K789" s="140" t="s">
        <v>4</v>
      </c>
      <c r="L789" s="129"/>
      <c r="M789" s="114" t="str">
        <f>IF(Main[[#This Row],[Tech Start Date]]&lt;1/1/1990,"",IF(Main[[#This Row],[Class]]="C",WORKDAY(Main[[#This Row],[Tech Start Date]],9),IF(Main[[#This Row],[Class]]="B", WORKDAY(Main[[#This Row],[Tech Start Date]],6),IF(Main[[#This Row],[Class]]="A",WORKDAY(Main[[#This Row],[Tech Start Date]],2),""))))</f>
        <v/>
      </c>
      <c r="N789" s="114" t="str">
        <f>IF(Main[[#This Row],[Tech Start Date]]&lt;1/1/1990,"",IF(Main[[#This Row],[Class]]="C",WORKDAY(Main[[#This Row],[Tech Start Date]],19),IF(Main[[#This Row],[Class]]="B", WORKDAY(Main[[#This Row],[Tech Start Date]],12),IF(Main[[#This Row],[Class]]="A",WORKDAY(Main[[#This Row],[Tech Start Date]],4),""))))</f>
        <v/>
      </c>
      <c r="O789" s="114" t="str">
        <f>IF(Main[[#This Row],[Tech Start Date]]&lt;1/1/1990,"",IF(Main[[#This Row],[Class]]="C",WORKDAY(Main[[#This Row],[Tech Start Date]],23),IF(Main[[#This Row],[Class]]="B", WORKDAY(Main[[#This Row],[Tech Start Date]],15),IF(Main[[#This Row],[Class]]="A",WORKDAY(Main[[#This Row],[Tech Start Date]],5),""))))</f>
        <v/>
      </c>
      <c r="P789" s="114" t="str">
        <f>IF(Main[[#This Row],[Tech Start Date]]&lt;1/1/1990,"",IF(Main[[#This Row],[Class]]="C",WORKDAY(Main[[#This Row],[Tech Start Date]],28),IF(Main[[#This Row],[Class]]="B", WORKDAY(Main[[#This Row],[Tech Start Date]],19),IF(Main[[#This Row],[Class]]="A",WORKDAY(Main[[#This Row],[Tech Start Date]],9),""))))</f>
        <v/>
      </c>
      <c r="Q789" s="129">
        <v>40186</v>
      </c>
      <c r="R789" s="129"/>
      <c r="S789" s="139" t="s">
        <v>11</v>
      </c>
      <c r="T789" s="115" t="s">
        <v>4</v>
      </c>
      <c r="U789" s="139" t="s">
        <v>14</v>
      </c>
      <c r="V789" s="139" t="s">
        <v>1917</v>
      </c>
      <c r="W789" s="139" t="s">
        <v>1922</v>
      </c>
      <c r="X789" s="139" t="s">
        <v>2842</v>
      </c>
      <c r="Y789" s="112" t="s">
        <v>4</v>
      </c>
      <c r="Z789" s="112" t="s">
        <v>4</v>
      </c>
      <c r="AA789" s="139" t="s">
        <v>2842</v>
      </c>
    </row>
    <row r="790" spans="1:27" ht="17.25" customHeight="1">
      <c r="A790" s="69" t="str">
        <f>IF(priority(Main[[#This Row],[Comments]])&lt;&gt;0, priority(Main[[#This Row],[Comments]]),"")</f>
        <v/>
      </c>
      <c r="B790" s="63" t="s">
        <v>1055</v>
      </c>
      <c r="C790" s="148" t="s">
        <v>4</v>
      </c>
      <c r="D790" s="113" t="s">
        <v>39</v>
      </c>
      <c r="E790" s="129"/>
      <c r="F790" s="129"/>
      <c r="G790" s="69" t="str">
        <f>IF(stdProdLT(Main[[#This Row],[Comments]])=0.1,"N/A",IF(stdProdLT(Main[[#This Row],[Comments]])=0,"",stdProdLT(Main[[#This Row],[Comments]])))</f>
        <v/>
      </c>
      <c r="H790" s="138" t="str">
        <f>IF(Main[[#This Row],[In Stock Date]]="N/A", "N/A",IF(AND(Main[[#This Row],[In Stock Date]]&lt;&gt;"",Main[[#This Row],[Revised Due Date]]&lt;&gt;"",Main[[#This Row],[In Stock Date]]&lt;&gt;""),Main[[#This Row],[In Stock Date]]-Main[[#This Row],[Revised Due Date]],""))</f>
        <v/>
      </c>
      <c r="I790" s="139" t="s">
        <v>489</v>
      </c>
      <c r="J790" s="139" t="s">
        <v>70</v>
      </c>
      <c r="K790" s="139" t="s">
        <v>1923</v>
      </c>
      <c r="L790" s="129"/>
      <c r="M790" s="114" t="str">
        <f>IF(Main[[#This Row],[Tech Start Date]]&lt;1/1/1990,"",IF(Main[[#This Row],[Class]]="C",WORKDAY(Main[[#This Row],[Tech Start Date]],9),IF(Main[[#This Row],[Class]]="B", WORKDAY(Main[[#This Row],[Tech Start Date]],6),IF(Main[[#This Row],[Class]]="A",WORKDAY(Main[[#This Row],[Tech Start Date]],2),""))))</f>
        <v/>
      </c>
      <c r="N790" s="114" t="str">
        <f>IF(Main[[#This Row],[Tech Start Date]]&lt;1/1/1990,"",IF(Main[[#This Row],[Class]]="C",WORKDAY(Main[[#This Row],[Tech Start Date]],19),IF(Main[[#This Row],[Class]]="B", WORKDAY(Main[[#This Row],[Tech Start Date]],12),IF(Main[[#This Row],[Class]]="A",WORKDAY(Main[[#This Row],[Tech Start Date]],4),""))))</f>
        <v/>
      </c>
      <c r="O790" s="114" t="str">
        <f>IF(Main[[#This Row],[Tech Start Date]]&lt;1/1/1990,"",IF(Main[[#This Row],[Class]]="C",WORKDAY(Main[[#This Row],[Tech Start Date]],23),IF(Main[[#This Row],[Class]]="B", WORKDAY(Main[[#This Row],[Tech Start Date]],15),IF(Main[[#This Row],[Class]]="A",WORKDAY(Main[[#This Row],[Tech Start Date]],5),""))))</f>
        <v/>
      </c>
      <c r="P790" s="114" t="str">
        <f>IF(Main[[#This Row],[Tech Start Date]]&lt;1/1/1990,"",IF(Main[[#This Row],[Class]]="C",WORKDAY(Main[[#This Row],[Tech Start Date]],28),IF(Main[[#This Row],[Class]]="B", WORKDAY(Main[[#This Row],[Tech Start Date]],19),IF(Main[[#This Row],[Class]]="A",WORKDAY(Main[[#This Row],[Tech Start Date]],9),""))))</f>
        <v/>
      </c>
      <c r="Q790" s="129">
        <v>40704</v>
      </c>
      <c r="R790" s="129"/>
      <c r="S790" s="139" t="s">
        <v>6</v>
      </c>
      <c r="T790" s="115" t="s">
        <v>4</v>
      </c>
      <c r="U790" s="139" t="s">
        <v>14</v>
      </c>
      <c r="V790" s="139" t="s">
        <v>1917</v>
      </c>
      <c r="W790" s="139" t="s">
        <v>1918</v>
      </c>
      <c r="X790" s="139" t="s">
        <v>2818</v>
      </c>
      <c r="Y790" s="112" t="s">
        <v>2929</v>
      </c>
      <c r="Z790" s="112" t="s">
        <v>30</v>
      </c>
      <c r="AA790" s="139" t="s">
        <v>2818</v>
      </c>
    </row>
    <row r="791" spans="1:27" ht="17.25" customHeight="1">
      <c r="A791" s="69" t="str">
        <f>IF(priority(Main[[#This Row],[Comments]])&lt;&gt;0, priority(Main[[#This Row],[Comments]]),"")</f>
        <v/>
      </c>
      <c r="B791" s="63" t="s">
        <v>1602</v>
      </c>
      <c r="C791" s="148" t="s">
        <v>4</v>
      </c>
      <c r="D791" s="113" t="s">
        <v>677</v>
      </c>
      <c r="E791" s="129">
        <v>40497.338240740741</v>
      </c>
      <c r="F791" s="129"/>
      <c r="G791" s="69" t="str">
        <f>IF(stdProdLT(Main[[#This Row],[Comments]])=0.1,"N/A",IF(stdProdLT(Main[[#This Row],[Comments]])=0,"",stdProdLT(Main[[#This Row],[Comments]])))</f>
        <v/>
      </c>
      <c r="H791" s="138" t="str">
        <f>IF(Main[[#This Row],[In Stock Date]]="N/A", "N/A",IF(AND(Main[[#This Row],[In Stock Date]]&lt;&gt;"",Main[[#This Row],[Revised Due Date]]&lt;&gt;"",Main[[#This Row],[In Stock Date]]&lt;&gt;""),Main[[#This Row],[In Stock Date]]-Main[[#This Row],[Revised Due Date]],""))</f>
        <v/>
      </c>
      <c r="I791" s="139" t="s">
        <v>4</v>
      </c>
      <c r="J791" s="139" t="s">
        <v>4</v>
      </c>
      <c r="K791" s="139" t="s">
        <v>4</v>
      </c>
      <c r="L791" s="129"/>
      <c r="M791" s="114" t="str">
        <f>IF(Main[[#This Row],[Tech Start Date]]&lt;1/1/1990,"",IF(Main[[#This Row],[Class]]="C",WORKDAY(Main[[#This Row],[Tech Start Date]],9),IF(Main[[#This Row],[Class]]="B", WORKDAY(Main[[#This Row],[Tech Start Date]],6),IF(Main[[#This Row],[Class]]="A",WORKDAY(Main[[#This Row],[Tech Start Date]],2),""))))</f>
        <v/>
      </c>
      <c r="N791" s="114" t="str">
        <f>IF(Main[[#This Row],[Tech Start Date]]&lt;1/1/1990,"",IF(Main[[#This Row],[Class]]="C",WORKDAY(Main[[#This Row],[Tech Start Date]],19),IF(Main[[#This Row],[Class]]="B", WORKDAY(Main[[#This Row],[Tech Start Date]],12),IF(Main[[#This Row],[Class]]="A",WORKDAY(Main[[#This Row],[Tech Start Date]],4),""))))</f>
        <v/>
      </c>
      <c r="O791" s="114" t="str">
        <f>IF(Main[[#This Row],[Tech Start Date]]&lt;1/1/1990,"",IF(Main[[#This Row],[Class]]="C",WORKDAY(Main[[#This Row],[Tech Start Date]],23),IF(Main[[#This Row],[Class]]="B", WORKDAY(Main[[#This Row],[Tech Start Date]],15),IF(Main[[#This Row],[Class]]="A",WORKDAY(Main[[#This Row],[Tech Start Date]],5),""))))</f>
        <v/>
      </c>
      <c r="P791" s="114" t="str">
        <f>IF(Main[[#This Row],[Tech Start Date]]&lt;1/1/1990,"",IF(Main[[#This Row],[Class]]="C",WORKDAY(Main[[#This Row],[Tech Start Date]],28),IF(Main[[#This Row],[Class]]="B", WORKDAY(Main[[#This Row],[Tech Start Date]],19),IF(Main[[#This Row],[Class]]="A",WORKDAY(Main[[#This Row],[Tech Start Date]],9),""))))</f>
        <v/>
      </c>
      <c r="Q791" s="129">
        <v>40529</v>
      </c>
      <c r="R791" s="129"/>
      <c r="S791" s="139" t="s">
        <v>4</v>
      </c>
      <c r="T791" s="115" t="s">
        <v>4</v>
      </c>
      <c r="U791" s="139" t="s">
        <v>7</v>
      </c>
      <c r="V791" s="139" t="s">
        <v>1914</v>
      </c>
      <c r="W791" s="139" t="s">
        <v>4</v>
      </c>
      <c r="X791" s="139" t="s">
        <v>2818</v>
      </c>
      <c r="Y791" s="112" t="s">
        <v>2929</v>
      </c>
      <c r="Z791" s="112" t="s">
        <v>4</v>
      </c>
      <c r="AA791" s="139" t="s">
        <v>2818</v>
      </c>
    </row>
    <row r="792" spans="1:27" ht="17.25" customHeight="1">
      <c r="A792" s="69" t="str">
        <f>IF(priority(Main[[#This Row],[Comments]])&lt;&gt;0, priority(Main[[#This Row],[Comments]]),"")</f>
        <v/>
      </c>
      <c r="B792" s="63" t="s">
        <v>1603</v>
      </c>
      <c r="C792" s="148" t="s">
        <v>72</v>
      </c>
      <c r="D792" s="113" t="s">
        <v>645</v>
      </c>
      <c r="E792" s="129"/>
      <c r="F792" s="129"/>
      <c r="G792" s="69" t="str">
        <f>IF(stdProdLT(Main[[#This Row],[Comments]])=0.1,"N/A",IF(stdProdLT(Main[[#This Row],[Comments]])=0,"",stdProdLT(Main[[#This Row],[Comments]])))</f>
        <v/>
      </c>
      <c r="H792" s="138" t="str">
        <f>IF(Main[[#This Row],[In Stock Date]]="N/A", "N/A",IF(AND(Main[[#This Row],[In Stock Date]]&lt;&gt;"",Main[[#This Row],[Revised Due Date]]&lt;&gt;"",Main[[#This Row],[In Stock Date]]&lt;&gt;""),Main[[#This Row],[In Stock Date]]-Main[[#This Row],[Revised Due Date]],""))</f>
        <v/>
      </c>
      <c r="I792" s="139" t="s">
        <v>4</v>
      </c>
      <c r="J792" s="139" t="s">
        <v>4</v>
      </c>
      <c r="K792" s="139" t="s">
        <v>4</v>
      </c>
      <c r="L792" s="129"/>
      <c r="M792" s="114" t="str">
        <f>IF(Main[[#This Row],[Tech Start Date]]&lt;1/1/1990,"",IF(Main[[#This Row],[Class]]="C",WORKDAY(Main[[#This Row],[Tech Start Date]],9),IF(Main[[#This Row],[Class]]="B", WORKDAY(Main[[#This Row],[Tech Start Date]],6),IF(Main[[#This Row],[Class]]="A",WORKDAY(Main[[#This Row],[Tech Start Date]],2),""))))</f>
        <v/>
      </c>
      <c r="N792" s="114" t="str">
        <f>IF(Main[[#This Row],[Tech Start Date]]&lt;1/1/1990,"",IF(Main[[#This Row],[Class]]="C",WORKDAY(Main[[#This Row],[Tech Start Date]],19),IF(Main[[#This Row],[Class]]="B", WORKDAY(Main[[#This Row],[Tech Start Date]],12),IF(Main[[#This Row],[Class]]="A",WORKDAY(Main[[#This Row],[Tech Start Date]],4),""))))</f>
        <v/>
      </c>
      <c r="O792" s="114" t="str">
        <f>IF(Main[[#This Row],[Tech Start Date]]&lt;1/1/1990,"",IF(Main[[#This Row],[Class]]="C",WORKDAY(Main[[#This Row],[Tech Start Date]],23),IF(Main[[#This Row],[Class]]="B", WORKDAY(Main[[#This Row],[Tech Start Date]],15),IF(Main[[#This Row],[Class]]="A",WORKDAY(Main[[#This Row],[Tech Start Date]],5),""))))</f>
        <v/>
      </c>
      <c r="P792" s="114" t="str">
        <f>IF(Main[[#This Row],[Tech Start Date]]&lt;1/1/1990,"",IF(Main[[#This Row],[Class]]="C",WORKDAY(Main[[#This Row],[Tech Start Date]],28),IF(Main[[#This Row],[Class]]="B", WORKDAY(Main[[#This Row],[Tech Start Date]],19),IF(Main[[#This Row],[Class]]="A",WORKDAY(Main[[#This Row],[Tech Start Date]],9),""))))</f>
        <v/>
      </c>
      <c r="Q792" s="129"/>
      <c r="R792" s="129"/>
      <c r="S792" s="139" t="s">
        <v>49</v>
      </c>
      <c r="T792" s="115" t="s">
        <v>4</v>
      </c>
      <c r="U792" s="139" t="s">
        <v>12</v>
      </c>
      <c r="V792" s="139" t="s">
        <v>1915</v>
      </c>
      <c r="W792" s="139" t="s">
        <v>1916</v>
      </c>
      <c r="X792" s="139" t="s">
        <v>2901</v>
      </c>
      <c r="Y792" s="112" t="s">
        <v>3079</v>
      </c>
      <c r="Z792" s="112" t="s">
        <v>4</v>
      </c>
      <c r="AA792" s="139" t="s">
        <v>2901</v>
      </c>
    </row>
    <row r="793" spans="1:27" ht="17.25" customHeight="1">
      <c r="A793" s="69" t="str">
        <f>IF(priority(Main[[#This Row],[Comments]])&lt;&gt;0, priority(Main[[#This Row],[Comments]]),"")</f>
        <v/>
      </c>
      <c r="B793" s="63" t="s">
        <v>1606</v>
      </c>
      <c r="C793" s="148" t="s">
        <v>4</v>
      </c>
      <c r="D793" s="113" t="s">
        <v>679</v>
      </c>
      <c r="E793" s="129">
        <v>40603.482094907406</v>
      </c>
      <c r="F793" s="129"/>
      <c r="G793" s="69" t="str">
        <f>IF(stdProdLT(Main[[#This Row],[Comments]])=0.1,"N/A",IF(stdProdLT(Main[[#This Row],[Comments]])=0,"",stdProdLT(Main[[#This Row],[Comments]])))</f>
        <v/>
      </c>
      <c r="H793" s="138" t="str">
        <f>IF(Main[[#This Row],[In Stock Date]]="N/A", "N/A",IF(AND(Main[[#This Row],[In Stock Date]]&lt;&gt;"",Main[[#This Row],[Revised Due Date]]&lt;&gt;"",Main[[#This Row],[In Stock Date]]&lt;&gt;""),Main[[#This Row],[In Stock Date]]-Main[[#This Row],[Revised Due Date]],""))</f>
        <v/>
      </c>
      <c r="I793" s="139" t="s">
        <v>44</v>
      </c>
      <c r="J793" s="139" t="s">
        <v>28</v>
      </c>
      <c r="K793" s="139" t="s">
        <v>1923</v>
      </c>
      <c r="L793" s="129"/>
      <c r="M793" s="114" t="str">
        <f>IF(Main[[#This Row],[Tech Start Date]]&lt;1/1/1990,"",IF(Main[[#This Row],[Class]]="C",WORKDAY(Main[[#This Row],[Tech Start Date]],9),IF(Main[[#This Row],[Class]]="B", WORKDAY(Main[[#This Row],[Tech Start Date]],6),IF(Main[[#This Row],[Class]]="A",WORKDAY(Main[[#This Row],[Tech Start Date]],2),""))))</f>
        <v/>
      </c>
      <c r="N793" s="114" t="str">
        <f>IF(Main[[#This Row],[Tech Start Date]]&lt;1/1/1990,"",IF(Main[[#This Row],[Class]]="C",WORKDAY(Main[[#This Row],[Tech Start Date]],19),IF(Main[[#This Row],[Class]]="B", WORKDAY(Main[[#This Row],[Tech Start Date]],12),IF(Main[[#This Row],[Class]]="A",WORKDAY(Main[[#This Row],[Tech Start Date]],4),""))))</f>
        <v/>
      </c>
      <c r="O793" s="114" t="str">
        <f>IF(Main[[#This Row],[Tech Start Date]]&lt;1/1/1990,"",IF(Main[[#This Row],[Class]]="C",WORKDAY(Main[[#This Row],[Tech Start Date]],23),IF(Main[[#This Row],[Class]]="B", WORKDAY(Main[[#This Row],[Tech Start Date]],15),IF(Main[[#This Row],[Class]]="A",WORKDAY(Main[[#This Row],[Tech Start Date]],5),""))))</f>
        <v/>
      </c>
      <c r="P793" s="114" t="str">
        <f>IF(Main[[#This Row],[Tech Start Date]]&lt;1/1/1990,"",IF(Main[[#This Row],[Class]]="C",WORKDAY(Main[[#This Row],[Tech Start Date]],28),IF(Main[[#This Row],[Class]]="B", WORKDAY(Main[[#This Row],[Tech Start Date]],19),IF(Main[[#This Row],[Class]]="A",WORKDAY(Main[[#This Row],[Tech Start Date]],9),""))))</f>
        <v/>
      </c>
      <c r="Q793" s="129">
        <v>40637</v>
      </c>
      <c r="R793" s="129"/>
      <c r="S793" s="139" t="s">
        <v>6</v>
      </c>
      <c r="T793" s="115" t="s">
        <v>4</v>
      </c>
      <c r="U793" s="139" t="s">
        <v>7</v>
      </c>
      <c r="V793" s="139" t="s">
        <v>1914</v>
      </c>
      <c r="W793" s="139" t="s">
        <v>1916</v>
      </c>
      <c r="X793" s="139" t="s">
        <v>2822</v>
      </c>
      <c r="Y793" s="112" t="s">
        <v>2938</v>
      </c>
      <c r="Z793" s="112" t="s">
        <v>44</v>
      </c>
      <c r="AA793" s="139" t="s">
        <v>2822</v>
      </c>
    </row>
    <row r="794" spans="1:27" ht="17.25" customHeight="1">
      <c r="A794" s="69" t="str">
        <f>IF(priority(Main[[#This Row],[Comments]])&lt;&gt;0, priority(Main[[#This Row],[Comments]]),"")</f>
        <v/>
      </c>
      <c r="B794" s="63" t="s">
        <v>1607</v>
      </c>
      <c r="C794" s="148" t="s">
        <v>113</v>
      </c>
      <c r="D794" s="113" t="s">
        <v>680</v>
      </c>
      <c r="E794" s="129"/>
      <c r="F794" s="129">
        <v>40193</v>
      </c>
      <c r="G794" s="69" t="str">
        <f>IF(stdProdLT(Main[[#This Row],[Comments]])=0.1,"N/A",IF(stdProdLT(Main[[#This Row],[Comments]])=0,"",stdProdLT(Main[[#This Row],[Comments]])))</f>
        <v/>
      </c>
      <c r="H794" s="138" t="str">
        <f>IF(Main[[#This Row],[In Stock Date]]="N/A", "N/A",IF(AND(Main[[#This Row],[In Stock Date]]&lt;&gt;"",Main[[#This Row],[Revised Due Date]]&lt;&gt;"",Main[[#This Row],[In Stock Date]]&lt;&gt;""),Main[[#This Row],[In Stock Date]]-Main[[#This Row],[Revised Due Date]],""))</f>
        <v/>
      </c>
      <c r="I794" s="139" t="s">
        <v>4</v>
      </c>
      <c r="J794" s="139" t="s">
        <v>4</v>
      </c>
      <c r="K794" s="139" t="s">
        <v>4</v>
      </c>
      <c r="L794" s="129"/>
      <c r="M794" s="114" t="str">
        <f>IF(Main[[#This Row],[Tech Start Date]]&lt;1/1/1990,"",IF(Main[[#This Row],[Class]]="C",WORKDAY(Main[[#This Row],[Tech Start Date]],9),IF(Main[[#This Row],[Class]]="B", WORKDAY(Main[[#This Row],[Tech Start Date]],6),IF(Main[[#This Row],[Class]]="A",WORKDAY(Main[[#This Row],[Tech Start Date]],2),""))))</f>
        <v/>
      </c>
      <c r="N794" s="114" t="str">
        <f>IF(Main[[#This Row],[Tech Start Date]]&lt;1/1/1990,"",IF(Main[[#This Row],[Class]]="C",WORKDAY(Main[[#This Row],[Tech Start Date]],19),IF(Main[[#This Row],[Class]]="B", WORKDAY(Main[[#This Row],[Tech Start Date]],12),IF(Main[[#This Row],[Class]]="A",WORKDAY(Main[[#This Row],[Tech Start Date]],4),""))))</f>
        <v/>
      </c>
      <c r="O794" s="114" t="str">
        <f>IF(Main[[#This Row],[Tech Start Date]]&lt;1/1/1990,"",IF(Main[[#This Row],[Class]]="C",WORKDAY(Main[[#This Row],[Tech Start Date]],23),IF(Main[[#This Row],[Class]]="B", WORKDAY(Main[[#This Row],[Tech Start Date]],15),IF(Main[[#This Row],[Class]]="A",WORKDAY(Main[[#This Row],[Tech Start Date]],5),""))))</f>
        <v/>
      </c>
      <c r="P794" s="114" t="str">
        <f>IF(Main[[#This Row],[Tech Start Date]]&lt;1/1/1990,"",IF(Main[[#This Row],[Class]]="C",WORKDAY(Main[[#This Row],[Tech Start Date]],28),IF(Main[[#This Row],[Class]]="B", WORKDAY(Main[[#This Row],[Tech Start Date]],19),IF(Main[[#This Row],[Class]]="A",WORKDAY(Main[[#This Row],[Tech Start Date]],9),""))))</f>
        <v/>
      </c>
      <c r="Q794" s="129">
        <v>40470</v>
      </c>
      <c r="R794" s="129"/>
      <c r="S794" s="139" t="s">
        <v>11</v>
      </c>
      <c r="T794" s="115" t="s">
        <v>4</v>
      </c>
      <c r="U794" s="139" t="s">
        <v>14</v>
      </c>
      <c r="V794" s="139" t="s">
        <v>1924</v>
      </c>
      <c r="W794" s="139" t="s">
        <v>1920</v>
      </c>
      <c r="X794" s="139" t="s">
        <v>2844</v>
      </c>
      <c r="Y794" s="112" t="s">
        <v>2977</v>
      </c>
      <c r="Z794" s="112" t="s">
        <v>4</v>
      </c>
      <c r="AA794" s="139" t="s">
        <v>2844</v>
      </c>
    </row>
    <row r="795" spans="1:27" ht="17.25" customHeight="1">
      <c r="A795" s="69" t="str">
        <f>IF(priority(Main[[#This Row],[Comments]])&lt;&gt;0, priority(Main[[#This Row],[Comments]]),"")</f>
        <v/>
      </c>
      <c r="B795" s="63" t="s">
        <v>1608</v>
      </c>
      <c r="C795" s="148" t="s">
        <v>4</v>
      </c>
      <c r="D795" s="113" t="s">
        <v>681</v>
      </c>
      <c r="E795" s="129"/>
      <c r="F795" s="129"/>
      <c r="G795" s="69" t="str">
        <f>IF(stdProdLT(Main[[#This Row],[Comments]])=0.1,"N/A",IF(stdProdLT(Main[[#This Row],[Comments]])=0,"",stdProdLT(Main[[#This Row],[Comments]])))</f>
        <v/>
      </c>
      <c r="H795" s="138" t="str">
        <f>IF(Main[[#This Row],[In Stock Date]]="N/A", "N/A",IF(AND(Main[[#This Row],[In Stock Date]]&lt;&gt;"",Main[[#This Row],[Revised Due Date]]&lt;&gt;"",Main[[#This Row],[In Stock Date]]&lt;&gt;""),Main[[#This Row],[In Stock Date]]-Main[[#This Row],[Revised Due Date]],""))</f>
        <v/>
      </c>
      <c r="I795" s="139" t="s">
        <v>417</v>
      </c>
      <c r="J795" s="139" t="s">
        <v>4</v>
      </c>
      <c r="K795" s="139" t="s">
        <v>4</v>
      </c>
      <c r="L795" s="129"/>
      <c r="M795" s="114" t="str">
        <f>IF(Main[[#This Row],[Tech Start Date]]&lt;1/1/1990,"",IF(Main[[#This Row],[Class]]="C",WORKDAY(Main[[#This Row],[Tech Start Date]],9),IF(Main[[#This Row],[Class]]="B", WORKDAY(Main[[#This Row],[Tech Start Date]],6),IF(Main[[#This Row],[Class]]="A",WORKDAY(Main[[#This Row],[Tech Start Date]],2),""))))</f>
        <v/>
      </c>
      <c r="N795" s="114" t="str">
        <f>IF(Main[[#This Row],[Tech Start Date]]&lt;1/1/1990,"",IF(Main[[#This Row],[Class]]="C",WORKDAY(Main[[#This Row],[Tech Start Date]],19),IF(Main[[#This Row],[Class]]="B", WORKDAY(Main[[#This Row],[Tech Start Date]],12),IF(Main[[#This Row],[Class]]="A",WORKDAY(Main[[#This Row],[Tech Start Date]],4),""))))</f>
        <v/>
      </c>
      <c r="O795" s="114" t="str">
        <f>IF(Main[[#This Row],[Tech Start Date]]&lt;1/1/1990,"",IF(Main[[#This Row],[Class]]="C",WORKDAY(Main[[#This Row],[Tech Start Date]],23),IF(Main[[#This Row],[Class]]="B", WORKDAY(Main[[#This Row],[Tech Start Date]],15),IF(Main[[#This Row],[Class]]="A",WORKDAY(Main[[#This Row],[Tech Start Date]],5),""))))</f>
        <v/>
      </c>
      <c r="P795" s="114" t="str">
        <f>IF(Main[[#This Row],[Tech Start Date]]&lt;1/1/1990,"",IF(Main[[#This Row],[Class]]="C",WORKDAY(Main[[#This Row],[Tech Start Date]],28),IF(Main[[#This Row],[Class]]="B", WORKDAY(Main[[#This Row],[Tech Start Date]],19),IF(Main[[#This Row],[Class]]="A",WORKDAY(Main[[#This Row],[Tech Start Date]],9),""))))</f>
        <v/>
      </c>
      <c r="Q795" s="129"/>
      <c r="R795" s="129"/>
      <c r="S795" s="139" t="s">
        <v>23</v>
      </c>
      <c r="T795" s="115" t="s">
        <v>4</v>
      </c>
      <c r="U795" s="139" t="s">
        <v>14</v>
      </c>
      <c r="V795" s="139" t="s">
        <v>1917</v>
      </c>
      <c r="W795" s="139" t="s">
        <v>1918</v>
      </c>
      <c r="X795" s="139" t="s">
        <v>417</v>
      </c>
      <c r="Y795" s="112" t="s">
        <v>3088</v>
      </c>
      <c r="Z795" s="112" t="s">
        <v>30</v>
      </c>
      <c r="AA795" s="139" t="s">
        <v>3428</v>
      </c>
    </row>
    <row r="796" spans="1:27" ht="17.25" customHeight="1">
      <c r="A796" s="69" t="str">
        <f>IF(priority(Main[[#This Row],[Comments]])&lt;&gt;0, priority(Main[[#This Row],[Comments]]),"")</f>
        <v/>
      </c>
      <c r="B796" s="63" t="s">
        <v>1612</v>
      </c>
      <c r="C796" s="148" t="s">
        <v>685</v>
      </c>
      <c r="D796" s="113" t="s">
        <v>686</v>
      </c>
      <c r="E796" s="129"/>
      <c r="F796" s="129">
        <v>40527</v>
      </c>
      <c r="G796" s="69" t="str">
        <f>IF(stdProdLT(Main[[#This Row],[Comments]])=0.1,"N/A",IF(stdProdLT(Main[[#This Row],[Comments]])=0,"",stdProdLT(Main[[#This Row],[Comments]])))</f>
        <v/>
      </c>
      <c r="H796" s="138" t="str">
        <f>IF(Main[[#This Row],[In Stock Date]]="N/A", "N/A",IF(AND(Main[[#This Row],[In Stock Date]]&lt;&gt;"",Main[[#This Row],[Revised Due Date]]&lt;&gt;"",Main[[#This Row],[In Stock Date]]&lt;&gt;""),Main[[#This Row],[In Stock Date]]-Main[[#This Row],[Revised Due Date]],""))</f>
        <v/>
      </c>
      <c r="I796" s="139" t="s">
        <v>4</v>
      </c>
      <c r="J796" s="139" t="s">
        <v>4</v>
      </c>
      <c r="K796" s="139" t="s">
        <v>4</v>
      </c>
      <c r="L796" s="129"/>
      <c r="M796" s="114" t="str">
        <f>IF(Main[[#This Row],[Tech Start Date]]&lt;1/1/1990,"",IF(Main[[#This Row],[Class]]="C",WORKDAY(Main[[#This Row],[Tech Start Date]],9),IF(Main[[#This Row],[Class]]="B", WORKDAY(Main[[#This Row],[Tech Start Date]],6),IF(Main[[#This Row],[Class]]="A",WORKDAY(Main[[#This Row],[Tech Start Date]],2),""))))</f>
        <v/>
      </c>
      <c r="N796" s="114" t="str">
        <f>IF(Main[[#This Row],[Tech Start Date]]&lt;1/1/1990,"",IF(Main[[#This Row],[Class]]="C",WORKDAY(Main[[#This Row],[Tech Start Date]],19),IF(Main[[#This Row],[Class]]="B", WORKDAY(Main[[#This Row],[Tech Start Date]],12),IF(Main[[#This Row],[Class]]="A",WORKDAY(Main[[#This Row],[Tech Start Date]],4),""))))</f>
        <v/>
      </c>
      <c r="O796" s="114" t="str">
        <f>IF(Main[[#This Row],[Tech Start Date]]&lt;1/1/1990,"",IF(Main[[#This Row],[Class]]="C",WORKDAY(Main[[#This Row],[Tech Start Date]],23),IF(Main[[#This Row],[Class]]="B", WORKDAY(Main[[#This Row],[Tech Start Date]],15),IF(Main[[#This Row],[Class]]="A",WORKDAY(Main[[#This Row],[Tech Start Date]],5),""))))</f>
        <v/>
      </c>
      <c r="P796" s="114" t="str">
        <f>IF(Main[[#This Row],[Tech Start Date]]&lt;1/1/1990,"",IF(Main[[#This Row],[Class]]="C",WORKDAY(Main[[#This Row],[Tech Start Date]],28),IF(Main[[#This Row],[Class]]="B", WORKDAY(Main[[#This Row],[Tech Start Date]],19),IF(Main[[#This Row],[Class]]="A",WORKDAY(Main[[#This Row],[Tech Start Date]],9),""))))</f>
        <v/>
      </c>
      <c r="Q796" s="129">
        <v>40480</v>
      </c>
      <c r="R796" s="129"/>
      <c r="S796" s="139" t="s">
        <v>11</v>
      </c>
      <c r="T796" s="115" t="s">
        <v>4</v>
      </c>
      <c r="U796" s="139" t="s">
        <v>14</v>
      </c>
      <c r="V796" s="139" t="s">
        <v>1915</v>
      </c>
      <c r="W796" s="139" t="s">
        <v>1920</v>
      </c>
      <c r="X796" s="139" t="s">
        <v>2879</v>
      </c>
      <c r="Y796" s="112" t="s">
        <v>3027</v>
      </c>
      <c r="Z796" s="112" t="s">
        <v>4</v>
      </c>
      <c r="AA796" s="139" t="s">
        <v>2879</v>
      </c>
    </row>
    <row r="797" spans="1:27" ht="17.25" customHeight="1">
      <c r="A797" s="69" t="str">
        <f>IF(priority(Main[[#This Row],[Comments]])&lt;&gt;0, priority(Main[[#This Row],[Comments]]),"")</f>
        <v/>
      </c>
      <c r="B797" s="63" t="s">
        <v>1613</v>
      </c>
      <c r="C797" s="148" t="s">
        <v>4</v>
      </c>
      <c r="D797" s="113" t="s">
        <v>687</v>
      </c>
      <c r="E797" s="129"/>
      <c r="F797" s="129"/>
      <c r="G797" s="69" t="str">
        <f>IF(stdProdLT(Main[[#This Row],[Comments]])=0.1,"N/A",IF(stdProdLT(Main[[#This Row],[Comments]])=0,"",stdProdLT(Main[[#This Row],[Comments]])))</f>
        <v/>
      </c>
      <c r="H797" s="138" t="str">
        <f>IF(Main[[#This Row],[In Stock Date]]="N/A", "N/A",IF(AND(Main[[#This Row],[In Stock Date]]&lt;&gt;"",Main[[#This Row],[Revised Due Date]]&lt;&gt;"",Main[[#This Row],[In Stock Date]]&lt;&gt;""),Main[[#This Row],[In Stock Date]]-Main[[#This Row],[Revised Due Date]],""))</f>
        <v/>
      </c>
      <c r="I797" s="139" t="s">
        <v>4</v>
      </c>
      <c r="J797" s="139" t="s">
        <v>4</v>
      </c>
      <c r="K797" s="139" t="s">
        <v>4</v>
      </c>
      <c r="L797" s="129"/>
      <c r="M797" s="114" t="str">
        <f>IF(Main[[#This Row],[Tech Start Date]]&lt;1/1/1990,"",IF(Main[[#This Row],[Class]]="C",WORKDAY(Main[[#This Row],[Tech Start Date]],9),IF(Main[[#This Row],[Class]]="B", WORKDAY(Main[[#This Row],[Tech Start Date]],6),IF(Main[[#This Row],[Class]]="A",WORKDAY(Main[[#This Row],[Tech Start Date]],2),""))))</f>
        <v/>
      </c>
      <c r="N797" s="114" t="str">
        <f>IF(Main[[#This Row],[Tech Start Date]]&lt;1/1/1990,"",IF(Main[[#This Row],[Class]]="C",WORKDAY(Main[[#This Row],[Tech Start Date]],19),IF(Main[[#This Row],[Class]]="B", WORKDAY(Main[[#This Row],[Tech Start Date]],12),IF(Main[[#This Row],[Class]]="A",WORKDAY(Main[[#This Row],[Tech Start Date]],4),""))))</f>
        <v/>
      </c>
      <c r="O797" s="114" t="str">
        <f>IF(Main[[#This Row],[Tech Start Date]]&lt;1/1/1990,"",IF(Main[[#This Row],[Class]]="C",WORKDAY(Main[[#This Row],[Tech Start Date]],23),IF(Main[[#This Row],[Class]]="B", WORKDAY(Main[[#This Row],[Tech Start Date]],15),IF(Main[[#This Row],[Class]]="A",WORKDAY(Main[[#This Row],[Tech Start Date]],5),""))))</f>
        <v/>
      </c>
      <c r="P797" s="114" t="str">
        <f>IF(Main[[#This Row],[Tech Start Date]]&lt;1/1/1990,"",IF(Main[[#This Row],[Class]]="C",WORKDAY(Main[[#This Row],[Tech Start Date]],28),IF(Main[[#This Row],[Class]]="B", WORKDAY(Main[[#This Row],[Tech Start Date]],19),IF(Main[[#This Row],[Class]]="A",WORKDAY(Main[[#This Row],[Tech Start Date]],9),""))))</f>
        <v/>
      </c>
      <c r="Q797" s="129"/>
      <c r="R797" s="129"/>
      <c r="S797" s="139" t="s">
        <v>6</v>
      </c>
      <c r="T797" s="115" t="s">
        <v>4</v>
      </c>
      <c r="U797" s="139" t="s">
        <v>14</v>
      </c>
      <c r="V797" s="139" t="s">
        <v>1914</v>
      </c>
      <c r="W797" s="139" t="s">
        <v>1922</v>
      </c>
      <c r="X797" s="139" t="s">
        <v>2052</v>
      </c>
      <c r="Y797" s="112" t="s">
        <v>3002</v>
      </c>
      <c r="Z797" s="112" t="s">
        <v>4</v>
      </c>
      <c r="AA797" s="139" t="s">
        <v>2052</v>
      </c>
    </row>
    <row r="798" spans="1:27" ht="17.25" customHeight="1">
      <c r="A798" s="69" t="str">
        <f>IF(priority(Main[[#This Row],[Comments]])&lt;&gt;0, priority(Main[[#This Row],[Comments]]),"")</f>
        <v/>
      </c>
      <c r="B798" s="63" t="s">
        <v>1559</v>
      </c>
      <c r="C798" s="148" t="s">
        <v>93</v>
      </c>
      <c r="D798" s="113" t="s">
        <v>638</v>
      </c>
      <c r="E798" s="129"/>
      <c r="F798" s="129">
        <v>40132</v>
      </c>
      <c r="G798" s="69" t="str">
        <f>IF(stdProdLT(Main[[#This Row],[Comments]])=0.1,"N/A",IF(stdProdLT(Main[[#This Row],[Comments]])=0,"",stdProdLT(Main[[#This Row],[Comments]])))</f>
        <v/>
      </c>
      <c r="H798" s="138" t="str">
        <f>IF(Main[[#This Row],[In Stock Date]]="N/A", "N/A",IF(AND(Main[[#This Row],[In Stock Date]]&lt;&gt;"",Main[[#This Row],[Revised Due Date]]&lt;&gt;"",Main[[#This Row],[In Stock Date]]&lt;&gt;""),Main[[#This Row],[In Stock Date]]-Main[[#This Row],[Revised Due Date]],""))</f>
        <v/>
      </c>
      <c r="I798" s="139" t="s">
        <v>4</v>
      </c>
      <c r="J798" s="139" t="s">
        <v>4</v>
      </c>
      <c r="K798" s="139" t="s">
        <v>4</v>
      </c>
      <c r="L798" s="129"/>
      <c r="M798" s="114" t="str">
        <f>IF(Main[[#This Row],[Tech Start Date]]&lt;1/1/1990,"",IF(Main[[#This Row],[Class]]="C",WORKDAY(Main[[#This Row],[Tech Start Date]],9),IF(Main[[#This Row],[Class]]="B", WORKDAY(Main[[#This Row],[Tech Start Date]],6),IF(Main[[#This Row],[Class]]="A",WORKDAY(Main[[#This Row],[Tech Start Date]],2),""))))</f>
        <v/>
      </c>
      <c r="N798" s="114" t="str">
        <f>IF(Main[[#This Row],[Tech Start Date]]&lt;1/1/1990,"",IF(Main[[#This Row],[Class]]="C",WORKDAY(Main[[#This Row],[Tech Start Date]],19),IF(Main[[#This Row],[Class]]="B", WORKDAY(Main[[#This Row],[Tech Start Date]],12),IF(Main[[#This Row],[Class]]="A",WORKDAY(Main[[#This Row],[Tech Start Date]],4),""))))</f>
        <v/>
      </c>
      <c r="O798" s="114" t="str">
        <f>IF(Main[[#This Row],[Tech Start Date]]&lt;1/1/1990,"",IF(Main[[#This Row],[Class]]="C",WORKDAY(Main[[#This Row],[Tech Start Date]],23),IF(Main[[#This Row],[Class]]="B", WORKDAY(Main[[#This Row],[Tech Start Date]],15),IF(Main[[#This Row],[Class]]="A",WORKDAY(Main[[#This Row],[Tech Start Date]],5),""))))</f>
        <v/>
      </c>
      <c r="P798" s="114" t="str">
        <f>IF(Main[[#This Row],[Tech Start Date]]&lt;1/1/1990,"",IF(Main[[#This Row],[Class]]="C",WORKDAY(Main[[#This Row],[Tech Start Date]],28),IF(Main[[#This Row],[Class]]="B", WORKDAY(Main[[#This Row],[Tech Start Date]],19),IF(Main[[#This Row],[Class]]="A",WORKDAY(Main[[#This Row],[Tech Start Date]],9),""))))</f>
        <v/>
      </c>
      <c r="Q798" s="129">
        <v>40132</v>
      </c>
      <c r="R798" s="129"/>
      <c r="S798" s="139" t="s">
        <v>11</v>
      </c>
      <c r="T798" s="115" t="s">
        <v>4</v>
      </c>
      <c r="U798" s="139" t="s">
        <v>14</v>
      </c>
      <c r="V798" s="139" t="s">
        <v>1917</v>
      </c>
      <c r="W798" s="139" t="s">
        <v>1925</v>
      </c>
      <c r="X798" s="139" t="s">
        <v>2856</v>
      </c>
      <c r="Y798" s="112" t="s">
        <v>4</v>
      </c>
      <c r="Z798" s="112" t="s">
        <v>4</v>
      </c>
      <c r="AA798" s="139" t="s">
        <v>2856</v>
      </c>
    </row>
    <row r="799" spans="1:27" ht="17.25" customHeight="1">
      <c r="A799" s="69" t="str">
        <f>IF(priority(Main[[#This Row],[Comments]])&lt;&gt;0, priority(Main[[#This Row],[Comments]]),"")</f>
        <v/>
      </c>
      <c r="B799" s="63" t="s">
        <v>3251</v>
      </c>
      <c r="C799" s="148" t="s">
        <v>3252</v>
      </c>
      <c r="D799" s="113" t="s">
        <v>3253</v>
      </c>
      <c r="E799" s="129">
        <v>40931.373113425929</v>
      </c>
      <c r="F799" s="129"/>
      <c r="G799" s="69" t="str">
        <f>IF(stdProdLT(Main[[#This Row],[Comments]])=0.1,"N/A",IF(stdProdLT(Main[[#This Row],[Comments]])=0,"",stdProdLT(Main[[#This Row],[Comments]])))</f>
        <v/>
      </c>
      <c r="H799" s="138" t="str">
        <f>IF(Main[[#This Row],[In Stock Date]]="N/A", "N/A",IF(AND(Main[[#This Row],[In Stock Date]]&lt;&gt;"",Main[[#This Row],[Revised Due Date]]&lt;&gt;"",Main[[#This Row],[In Stock Date]]&lt;&gt;""),Main[[#This Row],[In Stock Date]]-Main[[#This Row],[Revised Due Date]],""))</f>
        <v/>
      </c>
      <c r="I799" s="139" t="s">
        <v>941</v>
      </c>
      <c r="J799" s="139" t="s">
        <v>28</v>
      </c>
      <c r="K799" s="139" t="s">
        <v>1923</v>
      </c>
      <c r="L799" s="129"/>
      <c r="M799" s="114" t="str">
        <f>IF(Main[[#This Row],[Tech Start Date]]&lt;1/1/1990,"",IF(Main[[#This Row],[Class]]="C",WORKDAY(Main[[#This Row],[Tech Start Date]],9),IF(Main[[#This Row],[Class]]="B", WORKDAY(Main[[#This Row],[Tech Start Date]],6),IF(Main[[#This Row],[Class]]="A",WORKDAY(Main[[#This Row],[Tech Start Date]],2),""))))</f>
        <v/>
      </c>
      <c r="N799" s="114" t="str">
        <f>IF(Main[[#This Row],[Tech Start Date]]&lt;1/1/1990,"",IF(Main[[#This Row],[Class]]="C",WORKDAY(Main[[#This Row],[Tech Start Date]],19),IF(Main[[#This Row],[Class]]="B", WORKDAY(Main[[#This Row],[Tech Start Date]],12),IF(Main[[#This Row],[Class]]="A",WORKDAY(Main[[#This Row],[Tech Start Date]],4),""))))</f>
        <v/>
      </c>
      <c r="O799" s="114" t="str">
        <f>IF(Main[[#This Row],[Tech Start Date]]&lt;1/1/1990,"",IF(Main[[#This Row],[Class]]="C",WORKDAY(Main[[#This Row],[Tech Start Date]],23),IF(Main[[#This Row],[Class]]="B", WORKDAY(Main[[#This Row],[Tech Start Date]],15),IF(Main[[#This Row],[Class]]="A",WORKDAY(Main[[#This Row],[Tech Start Date]],5),""))))</f>
        <v/>
      </c>
      <c r="P799" s="114" t="str">
        <f>IF(Main[[#This Row],[Tech Start Date]]&lt;1/1/1990,"",IF(Main[[#This Row],[Class]]="C",WORKDAY(Main[[#This Row],[Tech Start Date]],28),IF(Main[[#This Row],[Class]]="B", WORKDAY(Main[[#This Row],[Tech Start Date]],19),IF(Main[[#This Row],[Class]]="A",WORKDAY(Main[[#This Row],[Tech Start Date]],9),""))))</f>
        <v/>
      </c>
      <c r="Q799" s="129"/>
      <c r="R799" s="129"/>
      <c r="S799" s="139" t="s">
        <v>6</v>
      </c>
      <c r="T799" s="115" t="s">
        <v>3254</v>
      </c>
      <c r="U799" s="139" t="s">
        <v>29</v>
      </c>
      <c r="V799" s="139" t="s">
        <v>1915</v>
      </c>
      <c r="W799" s="139" t="s">
        <v>1918</v>
      </c>
      <c r="X799" s="139" t="s">
        <v>2816</v>
      </c>
      <c r="Y799" s="112" t="s">
        <v>2993</v>
      </c>
      <c r="Z799" s="112" t="s">
        <v>2053</v>
      </c>
      <c r="AA799" s="139" t="s">
        <v>2816</v>
      </c>
    </row>
    <row r="800" spans="1:27" ht="17.25" customHeight="1">
      <c r="A800" s="69" t="str">
        <f>IF(priority(Main[[#This Row],[Comments]])&lt;&gt;0, priority(Main[[#This Row],[Comments]]),"")</f>
        <v/>
      </c>
      <c r="B800" s="63" t="s">
        <v>1560</v>
      </c>
      <c r="C800" s="148" t="s">
        <v>4</v>
      </c>
      <c r="D800" s="113" t="s">
        <v>639</v>
      </c>
      <c r="E800" s="129"/>
      <c r="F800" s="129">
        <v>40602</v>
      </c>
      <c r="G800" s="69" t="str">
        <f>IF(stdProdLT(Main[[#This Row],[Comments]])=0.1,"N/A",IF(stdProdLT(Main[[#This Row],[Comments]])=0,"",stdProdLT(Main[[#This Row],[Comments]])))</f>
        <v/>
      </c>
      <c r="H800" s="138" t="str">
        <f>IF(Main[[#This Row],[In Stock Date]]="N/A", "N/A",IF(AND(Main[[#This Row],[In Stock Date]]&lt;&gt;"",Main[[#This Row],[Revised Due Date]]&lt;&gt;"",Main[[#This Row],[In Stock Date]]&lt;&gt;""),Main[[#This Row],[In Stock Date]]-Main[[#This Row],[Revised Due Date]],""))</f>
        <v/>
      </c>
      <c r="I800" s="139" t="s">
        <v>399</v>
      </c>
      <c r="J800" s="139" t="s">
        <v>75</v>
      </c>
      <c r="K800" s="139" t="s">
        <v>1923</v>
      </c>
      <c r="L800" s="129"/>
      <c r="M800" s="114" t="str">
        <f>IF(Main[[#This Row],[Tech Start Date]]&lt;1/1/1990,"",IF(Main[[#This Row],[Class]]="C",WORKDAY(Main[[#This Row],[Tech Start Date]],9),IF(Main[[#This Row],[Class]]="B", WORKDAY(Main[[#This Row],[Tech Start Date]],6),IF(Main[[#This Row],[Class]]="A",WORKDAY(Main[[#This Row],[Tech Start Date]],2),""))))</f>
        <v/>
      </c>
      <c r="N800" s="114" t="str">
        <f>IF(Main[[#This Row],[Tech Start Date]]&lt;1/1/1990,"",IF(Main[[#This Row],[Class]]="C",WORKDAY(Main[[#This Row],[Tech Start Date]],19),IF(Main[[#This Row],[Class]]="B", WORKDAY(Main[[#This Row],[Tech Start Date]],12),IF(Main[[#This Row],[Class]]="A",WORKDAY(Main[[#This Row],[Tech Start Date]],4),""))))</f>
        <v/>
      </c>
      <c r="O800" s="114" t="str">
        <f>IF(Main[[#This Row],[Tech Start Date]]&lt;1/1/1990,"",IF(Main[[#This Row],[Class]]="C",WORKDAY(Main[[#This Row],[Tech Start Date]],23),IF(Main[[#This Row],[Class]]="B", WORKDAY(Main[[#This Row],[Tech Start Date]],15),IF(Main[[#This Row],[Class]]="A",WORKDAY(Main[[#This Row],[Tech Start Date]],5),""))))</f>
        <v/>
      </c>
      <c r="P800" s="114" t="str">
        <f>IF(Main[[#This Row],[Tech Start Date]]&lt;1/1/1990,"",IF(Main[[#This Row],[Class]]="C",WORKDAY(Main[[#This Row],[Tech Start Date]],28),IF(Main[[#This Row],[Class]]="B", WORKDAY(Main[[#This Row],[Tech Start Date]],19),IF(Main[[#This Row],[Class]]="A",WORKDAY(Main[[#This Row],[Tech Start Date]],9),""))))</f>
        <v/>
      </c>
      <c r="Q800" s="129"/>
      <c r="R800" s="129"/>
      <c r="S800" s="139" t="s">
        <v>11</v>
      </c>
      <c r="T800" s="115" t="s">
        <v>4</v>
      </c>
      <c r="U800" s="139" t="s">
        <v>14</v>
      </c>
      <c r="V800" s="139" t="s">
        <v>1917</v>
      </c>
      <c r="W800" s="139" t="s">
        <v>1920</v>
      </c>
      <c r="X800" s="139" t="s">
        <v>50</v>
      </c>
      <c r="Y800" s="112" t="s">
        <v>2961</v>
      </c>
      <c r="Z800" s="112" t="s">
        <v>306</v>
      </c>
      <c r="AA800" s="139" t="s">
        <v>50</v>
      </c>
    </row>
    <row r="801" spans="1:27" ht="17.25" customHeight="1">
      <c r="A801" s="69" t="str">
        <f>IF(priority(Main[[#This Row],[Comments]])&lt;&gt;0, priority(Main[[#This Row],[Comments]]),"")</f>
        <v/>
      </c>
      <c r="B801" s="63" t="s">
        <v>1561</v>
      </c>
      <c r="C801" s="148" t="s">
        <v>4</v>
      </c>
      <c r="D801" s="113" t="s">
        <v>640</v>
      </c>
      <c r="E801" s="129"/>
      <c r="F801" s="129">
        <v>40711</v>
      </c>
      <c r="G801" s="69" t="str">
        <f>IF(stdProdLT(Main[[#This Row],[Comments]])=0.1,"N/A",IF(stdProdLT(Main[[#This Row],[Comments]])=0,"",stdProdLT(Main[[#This Row],[Comments]])))</f>
        <v/>
      </c>
      <c r="H801" s="138" t="str">
        <f>IF(Main[[#This Row],[In Stock Date]]="N/A", "N/A",IF(AND(Main[[#This Row],[In Stock Date]]&lt;&gt;"",Main[[#This Row],[Revised Due Date]]&lt;&gt;"",Main[[#This Row],[In Stock Date]]&lt;&gt;""),Main[[#This Row],[In Stock Date]]-Main[[#This Row],[Revised Due Date]],""))</f>
        <v/>
      </c>
      <c r="I801" s="139" t="s">
        <v>4</v>
      </c>
      <c r="J801" s="139" t="s">
        <v>4</v>
      </c>
      <c r="K801" s="140" t="s">
        <v>4</v>
      </c>
      <c r="L801" s="129"/>
      <c r="M801" s="114" t="str">
        <f>IF(Main[[#This Row],[Tech Start Date]]&lt;1/1/1990,"",IF(Main[[#This Row],[Class]]="C",WORKDAY(Main[[#This Row],[Tech Start Date]],9),IF(Main[[#This Row],[Class]]="B", WORKDAY(Main[[#This Row],[Tech Start Date]],6),IF(Main[[#This Row],[Class]]="A",WORKDAY(Main[[#This Row],[Tech Start Date]],2),""))))</f>
        <v/>
      </c>
      <c r="N801" s="114" t="str">
        <f>IF(Main[[#This Row],[Tech Start Date]]&lt;1/1/1990,"",IF(Main[[#This Row],[Class]]="C",WORKDAY(Main[[#This Row],[Tech Start Date]],19),IF(Main[[#This Row],[Class]]="B", WORKDAY(Main[[#This Row],[Tech Start Date]],12),IF(Main[[#This Row],[Class]]="A",WORKDAY(Main[[#This Row],[Tech Start Date]],4),""))))</f>
        <v/>
      </c>
      <c r="O801" s="114" t="str">
        <f>IF(Main[[#This Row],[Tech Start Date]]&lt;1/1/1990,"",IF(Main[[#This Row],[Class]]="C",WORKDAY(Main[[#This Row],[Tech Start Date]],23),IF(Main[[#This Row],[Class]]="B", WORKDAY(Main[[#This Row],[Tech Start Date]],15),IF(Main[[#This Row],[Class]]="A",WORKDAY(Main[[#This Row],[Tech Start Date]],5),""))))</f>
        <v/>
      </c>
      <c r="P801" s="114" t="str">
        <f>IF(Main[[#This Row],[Tech Start Date]]&lt;1/1/1990,"",IF(Main[[#This Row],[Class]]="C",WORKDAY(Main[[#This Row],[Tech Start Date]],28),IF(Main[[#This Row],[Class]]="B", WORKDAY(Main[[#This Row],[Tech Start Date]],19),IF(Main[[#This Row],[Class]]="A",WORKDAY(Main[[#This Row],[Tech Start Date]],9),""))))</f>
        <v/>
      </c>
      <c r="Q801" s="129"/>
      <c r="R801" s="129"/>
      <c r="S801" s="139" t="s">
        <v>11</v>
      </c>
      <c r="T801" s="115" t="s">
        <v>4</v>
      </c>
      <c r="U801" s="139" t="s">
        <v>14</v>
      </c>
      <c r="V801" s="139" t="s">
        <v>1915</v>
      </c>
      <c r="W801" s="139" t="s">
        <v>1919</v>
      </c>
      <c r="X801" s="139" t="s">
        <v>941</v>
      </c>
      <c r="Y801" s="112" t="s">
        <v>2995</v>
      </c>
      <c r="Z801" s="112" t="s">
        <v>4</v>
      </c>
      <c r="AA801" s="139" t="s">
        <v>941</v>
      </c>
    </row>
    <row r="802" spans="1:27" ht="17.25" customHeight="1">
      <c r="A802" s="69" t="str">
        <f>IF(priority(Main[[#This Row],[Comments]])&lt;&gt;0, priority(Main[[#This Row],[Comments]]),"")</f>
        <v/>
      </c>
      <c r="B802" s="63" t="s">
        <v>1562</v>
      </c>
      <c r="C802" s="148" t="s">
        <v>180</v>
      </c>
      <c r="D802" s="113" t="s">
        <v>641</v>
      </c>
      <c r="E802" s="129"/>
      <c r="F802" s="129">
        <v>40389</v>
      </c>
      <c r="G802" s="69" t="str">
        <f>IF(stdProdLT(Main[[#This Row],[Comments]])=0.1,"N/A",IF(stdProdLT(Main[[#This Row],[Comments]])=0,"",stdProdLT(Main[[#This Row],[Comments]])))</f>
        <v/>
      </c>
      <c r="H802" s="138" t="str">
        <f>IF(Main[[#This Row],[In Stock Date]]="N/A", "N/A",IF(AND(Main[[#This Row],[In Stock Date]]&lt;&gt;"",Main[[#This Row],[Revised Due Date]]&lt;&gt;"",Main[[#This Row],[In Stock Date]]&lt;&gt;""),Main[[#This Row],[In Stock Date]]-Main[[#This Row],[Revised Due Date]],""))</f>
        <v/>
      </c>
      <c r="I802" s="139" t="s">
        <v>4</v>
      </c>
      <c r="J802" s="139" t="s">
        <v>4</v>
      </c>
      <c r="K802" s="139" t="s">
        <v>4</v>
      </c>
      <c r="L802" s="129"/>
      <c r="M802" s="114" t="str">
        <f>IF(Main[[#This Row],[Tech Start Date]]&lt;1/1/1990,"",IF(Main[[#This Row],[Class]]="C",WORKDAY(Main[[#This Row],[Tech Start Date]],9),IF(Main[[#This Row],[Class]]="B", WORKDAY(Main[[#This Row],[Tech Start Date]],6),IF(Main[[#This Row],[Class]]="A",WORKDAY(Main[[#This Row],[Tech Start Date]],2),""))))</f>
        <v/>
      </c>
      <c r="N802" s="114" t="str">
        <f>IF(Main[[#This Row],[Tech Start Date]]&lt;1/1/1990,"",IF(Main[[#This Row],[Class]]="C",WORKDAY(Main[[#This Row],[Tech Start Date]],19),IF(Main[[#This Row],[Class]]="B", WORKDAY(Main[[#This Row],[Tech Start Date]],12),IF(Main[[#This Row],[Class]]="A",WORKDAY(Main[[#This Row],[Tech Start Date]],4),""))))</f>
        <v/>
      </c>
      <c r="O802" s="114" t="str">
        <f>IF(Main[[#This Row],[Tech Start Date]]&lt;1/1/1990,"",IF(Main[[#This Row],[Class]]="C",WORKDAY(Main[[#This Row],[Tech Start Date]],23),IF(Main[[#This Row],[Class]]="B", WORKDAY(Main[[#This Row],[Tech Start Date]],15),IF(Main[[#This Row],[Class]]="A",WORKDAY(Main[[#This Row],[Tech Start Date]],5),""))))</f>
        <v/>
      </c>
      <c r="P802" s="114" t="str">
        <f>IF(Main[[#This Row],[Tech Start Date]]&lt;1/1/1990,"",IF(Main[[#This Row],[Class]]="C",WORKDAY(Main[[#This Row],[Tech Start Date]],28),IF(Main[[#This Row],[Class]]="B", WORKDAY(Main[[#This Row],[Tech Start Date]],19),IF(Main[[#This Row],[Class]]="A",WORKDAY(Main[[#This Row],[Tech Start Date]],9),""))))</f>
        <v/>
      </c>
      <c r="Q802" s="129">
        <v>40298</v>
      </c>
      <c r="R802" s="129"/>
      <c r="S802" s="139" t="s">
        <v>11</v>
      </c>
      <c r="T802" s="115" t="s">
        <v>4</v>
      </c>
      <c r="U802" s="139" t="s">
        <v>14</v>
      </c>
      <c r="V802" s="139" t="s">
        <v>1914</v>
      </c>
      <c r="W802" s="139" t="s">
        <v>1920</v>
      </c>
      <c r="X802" s="139" t="s">
        <v>2824</v>
      </c>
      <c r="Y802" s="112" t="s">
        <v>2943</v>
      </c>
      <c r="Z802" s="112" t="s">
        <v>4</v>
      </c>
      <c r="AA802" s="139" t="s">
        <v>2824</v>
      </c>
    </row>
    <row r="803" spans="1:27" ht="17.25" customHeight="1">
      <c r="A803" s="69" t="str">
        <f>IF(priority(Main[[#This Row],[Comments]])&lt;&gt;0, priority(Main[[#This Row],[Comments]]),"")</f>
        <v/>
      </c>
      <c r="B803" s="63" t="s">
        <v>1563</v>
      </c>
      <c r="C803" s="148" t="s">
        <v>4</v>
      </c>
      <c r="D803" s="113" t="s">
        <v>642</v>
      </c>
      <c r="E803" s="129"/>
      <c r="F803" s="129"/>
      <c r="G803" s="69" t="str">
        <f>IF(stdProdLT(Main[[#This Row],[Comments]])=0.1,"N/A",IF(stdProdLT(Main[[#This Row],[Comments]])=0,"",stdProdLT(Main[[#This Row],[Comments]])))</f>
        <v/>
      </c>
      <c r="H803" s="138" t="str">
        <f>IF(Main[[#This Row],[In Stock Date]]="N/A", "N/A",IF(AND(Main[[#This Row],[In Stock Date]]&lt;&gt;"",Main[[#This Row],[Revised Due Date]]&lt;&gt;"",Main[[#This Row],[In Stock Date]]&lt;&gt;""),Main[[#This Row],[In Stock Date]]-Main[[#This Row],[Revised Due Date]],""))</f>
        <v/>
      </c>
      <c r="I803" s="139" t="s">
        <v>4</v>
      </c>
      <c r="J803" s="139" t="s">
        <v>4</v>
      </c>
      <c r="K803" s="140" t="s">
        <v>4</v>
      </c>
      <c r="L803" s="129"/>
      <c r="M803" s="114" t="str">
        <f>IF(Main[[#This Row],[Tech Start Date]]&lt;1/1/1990,"",IF(Main[[#This Row],[Class]]="C",WORKDAY(Main[[#This Row],[Tech Start Date]],9),IF(Main[[#This Row],[Class]]="B", WORKDAY(Main[[#This Row],[Tech Start Date]],6),IF(Main[[#This Row],[Class]]="A",WORKDAY(Main[[#This Row],[Tech Start Date]],2),""))))</f>
        <v/>
      </c>
      <c r="N803" s="114" t="str">
        <f>IF(Main[[#This Row],[Tech Start Date]]&lt;1/1/1990,"",IF(Main[[#This Row],[Class]]="C",WORKDAY(Main[[#This Row],[Tech Start Date]],19),IF(Main[[#This Row],[Class]]="B", WORKDAY(Main[[#This Row],[Tech Start Date]],12),IF(Main[[#This Row],[Class]]="A",WORKDAY(Main[[#This Row],[Tech Start Date]],4),""))))</f>
        <v/>
      </c>
      <c r="O803" s="114" t="str">
        <f>IF(Main[[#This Row],[Tech Start Date]]&lt;1/1/1990,"",IF(Main[[#This Row],[Class]]="C",WORKDAY(Main[[#This Row],[Tech Start Date]],23),IF(Main[[#This Row],[Class]]="B", WORKDAY(Main[[#This Row],[Tech Start Date]],15),IF(Main[[#This Row],[Class]]="A",WORKDAY(Main[[#This Row],[Tech Start Date]],5),""))))</f>
        <v/>
      </c>
      <c r="P803" s="114" t="str">
        <f>IF(Main[[#This Row],[Tech Start Date]]&lt;1/1/1990,"",IF(Main[[#This Row],[Class]]="C",WORKDAY(Main[[#This Row],[Tech Start Date]],28),IF(Main[[#This Row],[Class]]="B", WORKDAY(Main[[#This Row],[Tech Start Date]],19),IF(Main[[#This Row],[Class]]="A",WORKDAY(Main[[#This Row],[Tech Start Date]],9),""))))</f>
        <v/>
      </c>
      <c r="Q803" s="129"/>
      <c r="R803" s="129"/>
      <c r="S803" s="139" t="s">
        <v>11</v>
      </c>
      <c r="T803" s="115" t="s">
        <v>4</v>
      </c>
      <c r="U803" s="139" t="s">
        <v>12</v>
      </c>
      <c r="V803" s="139" t="s">
        <v>1914</v>
      </c>
      <c r="W803" s="139" t="s">
        <v>1918</v>
      </c>
      <c r="X803" s="139" t="s">
        <v>886</v>
      </c>
      <c r="Y803" s="112" t="s">
        <v>3082</v>
      </c>
      <c r="Z803" s="112" t="s">
        <v>4</v>
      </c>
      <c r="AA803" s="139" t="s">
        <v>886</v>
      </c>
    </row>
    <row r="804" spans="1:27" ht="17.25" customHeight="1">
      <c r="A804" s="69" t="str">
        <f>IF(priority(Main[[#This Row],[Comments]])&lt;&gt;0, priority(Main[[#This Row],[Comments]]),"")</f>
        <v/>
      </c>
      <c r="B804" s="63" t="s">
        <v>2348</v>
      </c>
      <c r="C804" s="148" t="s">
        <v>4</v>
      </c>
      <c r="D804" s="113" t="s">
        <v>3552</v>
      </c>
      <c r="E804" s="129">
        <v>40849.308981481481</v>
      </c>
      <c r="F804" s="129"/>
      <c r="G804" s="69" t="str">
        <f>IF(stdProdLT(Main[[#This Row],[Comments]])=0.1,"N/A",IF(stdProdLT(Main[[#This Row],[Comments]])=0,"",stdProdLT(Main[[#This Row],[Comments]])))</f>
        <v/>
      </c>
      <c r="H804" s="138" t="str">
        <f>IF(Main[[#This Row],[In Stock Date]]="N/A", "N/A",IF(AND(Main[[#This Row],[In Stock Date]]&lt;&gt;"",Main[[#This Row],[Revised Due Date]]&lt;&gt;"",Main[[#This Row],[In Stock Date]]&lt;&gt;""),Main[[#This Row],[In Stock Date]]-Main[[#This Row],[Revised Due Date]],""))</f>
        <v/>
      </c>
      <c r="I804" s="139" t="s">
        <v>937</v>
      </c>
      <c r="J804" s="139" t="s">
        <v>21</v>
      </c>
      <c r="K804" s="140" t="s">
        <v>1921</v>
      </c>
      <c r="L804" s="129"/>
      <c r="M804" s="114" t="str">
        <f>IF(Main[[#This Row],[Tech Start Date]]&lt;1/1/1990,"",IF(Main[[#This Row],[Class]]="C",WORKDAY(Main[[#This Row],[Tech Start Date]],9),IF(Main[[#This Row],[Class]]="B", WORKDAY(Main[[#This Row],[Tech Start Date]],6),IF(Main[[#This Row],[Class]]="A",WORKDAY(Main[[#This Row],[Tech Start Date]],2),""))))</f>
        <v/>
      </c>
      <c r="N804" s="114" t="str">
        <f>IF(Main[[#This Row],[Tech Start Date]]&lt;1/1/1990,"",IF(Main[[#This Row],[Class]]="C",WORKDAY(Main[[#This Row],[Tech Start Date]],19),IF(Main[[#This Row],[Class]]="B", WORKDAY(Main[[#This Row],[Tech Start Date]],12),IF(Main[[#This Row],[Class]]="A",WORKDAY(Main[[#This Row],[Tech Start Date]],4),""))))</f>
        <v/>
      </c>
      <c r="O804" s="114" t="str">
        <f>IF(Main[[#This Row],[Tech Start Date]]&lt;1/1/1990,"",IF(Main[[#This Row],[Class]]="C",WORKDAY(Main[[#This Row],[Tech Start Date]],23),IF(Main[[#This Row],[Class]]="B", WORKDAY(Main[[#This Row],[Tech Start Date]],15),IF(Main[[#This Row],[Class]]="A",WORKDAY(Main[[#This Row],[Tech Start Date]],5),""))))</f>
        <v/>
      </c>
      <c r="P804" s="114" t="str">
        <f>IF(Main[[#This Row],[Tech Start Date]]&lt;1/1/1990,"",IF(Main[[#This Row],[Class]]="C",WORKDAY(Main[[#This Row],[Tech Start Date]],28),IF(Main[[#This Row],[Class]]="B", WORKDAY(Main[[#This Row],[Tech Start Date]],19),IF(Main[[#This Row],[Class]]="A",WORKDAY(Main[[#This Row],[Tech Start Date]],9),""))))</f>
        <v/>
      </c>
      <c r="Q804" s="129"/>
      <c r="R804" s="129"/>
      <c r="S804" s="139" t="s">
        <v>6</v>
      </c>
      <c r="T804" s="115" t="s">
        <v>4</v>
      </c>
      <c r="U804" s="139" t="s">
        <v>29</v>
      </c>
      <c r="V804" s="139" t="s">
        <v>1914</v>
      </c>
      <c r="W804" s="139" t="s">
        <v>1918</v>
      </c>
      <c r="X804" s="139" t="s">
        <v>937</v>
      </c>
      <c r="Y804" s="112" t="s">
        <v>2984</v>
      </c>
      <c r="Z804" s="112" t="s">
        <v>937</v>
      </c>
      <c r="AA804" s="139" t="s">
        <v>937</v>
      </c>
    </row>
    <row r="805" spans="1:27" ht="17.25" customHeight="1">
      <c r="A805" s="69" t="str">
        <f>IF(priority(Main[[#This Row],[Comments]])&lt;&gt;0, priority(Main[[#This Row],[Comments]]),"")</f>
        <v/>
      </c>
      <c r="B805" s="63" t="s">
        <v>1564</v>
      </c>
      <c r="C805" s="148" t="s">
        <v>643</v>
      </c>
      <c r="D805" s="113" t="s">
        <v>644</v>
      </c>
      <c r="E805" s="129"/>
      <c r="F805" s="129">
        <v>40632</v>
      </c>
      <c r="G805" s="69" t="str">
        <f>IF(stdProdLT(Main[[#This Row],[Comments]])=0.1,"N/A",IF(stdProdLT(Main[[#This Row],[Comments]])=0,"",stdProdLT(Main[[#This Row],[Comments]])))</f>
        <v/>
      </c>
      <c r="H805" s="138" t="str">
        <f>IF(Main[[#This Row],[In Stock Date]]="N/A", "N/A",IF(AND(Main[[#This Row],[In Stock Date]]&lt;&gt;"",Main[[#This Row],[Revised Due Date]]&lt;&gt;"",Main[[#This Row],[In Stock Date]]&lt;&gt;""),Main[[#This Row],[In Stock Date]]-Main[[#This Row],[Revised Due Date]],""))</f>
        <v/>
      </c>
      <c r="I805" s="139" t="s">
        <v>4</v>
      </c>
      <c r="J805" s="139" t="s">
        <v>4</v>
      </c>
      <c r="K805" s="139" t="s">
        <v>4</v>
      </c>
      <c r="L805" s="129"/>
      <c r="M805" s="114" t="str">
        <f>IF(Main[[#This Row],[Tech Start Date]]&lt;1/1/1990,"",IF(Main[[#This Row],[Class]]="C",WORKDAY(Main[[#This Row],[Tech Start Date]],9),IF(Main[[#This Row],[Class]]="B", WORKDAY(Main[[#This Row],[Tech Start Date]],6),IF(Main[[#This Row],[Class]]="A",WORKDAY(Main[[#This Row],[Tech Start Date]],2),""))))</f>
        <v/>
      </c>
      <c r="N805" s="114" t="str">
        <f>IF(Main[[#This Row],[Tech Start Date]]&lt;1/1/1990,"",IF(Main[[#This Row],[Class]]="C",WORKDAY(Main[[#This Row],[Tech Start Date]],19),IF(Main[[#This Row],[Class]]="B", WORKDAY(Main[[#This Row],[Tech Start Date]],12),IF(Main[[#This Row],[Class]]="A",WORKDAY(Main[[#This Row],[Tech Start Date]],4),""))))</f>
        <v/>
      </c>
      <c r="O805" s="114" t="str">
        <f>IF(Main[[#This Row],[Tech Start Date]]&lt;1/1/1990,"",IF(Main[[#This Row],[Class]]="C",WORKDAY(Main[[#This Row],[Tech Start Date]],23),IF(Main[[#This Row],[Class]]="B", WORKDAY(Main[[#This Row],[Tech Start Date]],15),IF(Main[[#This Row],[Class]]="A",WORKDAY(Main[[#This Row],[Tech Start Date]],5),""))))</f>
        <v/>
      </c>
      <c r="P805" s="114" t="str">
        <f>IF(Main[[#This Row],[Tech Start Date]]&lt;1/1/1990,"",IF(Main[[#This Row],[Class]]="C",WORKDAY(Main[[#This Row],[Tech Start Date]],28),IF(Main[[#This Row],[Class]]="B", WORKDAY(Main[[#This Row],[Tech Start Date]],19),IF(Main[[#This Row],[Class]]="A",WORKDAY(Main[[#This Row],[Tech Start Date]],9),""))))</f>
        <v/>
      </c>
      <c r="Q805" s="129">
        <v>40613</v>
      </c>
      <c r="R805" s="129"/>
      <c r="S805" s="139" t="s">
        <v>11</v>
      </c>
      <c r="T805" s="115" t="s">
        <v>4</v>
      </c>
      <c r="U805" s="139" t="s">
        <v>14</v>
      </c>
      <c r="V805" s="139" t="s">
        <v>1917</v>
      </c>
      <c r="W805" s="139" t="s">
        <v>1922</v>
      </c>
      <c r="X805" s="139" t="s">
        <v>2868</v>
      </c>
      <c r="Y805" s="112" t="s">
        <v>3012</v>
      </c>
      <c r="Z805" s="112" t="s">
        <v>4</v>
      </c>
      <c r="AA805" s="139" t="s">
        <v>2868</v>
      </c>
    </row>
    <row r="806" spans="1:27" ht="17.25" customHeight="1">
      <c r="A806" s="69" t="str">
        <f>IF(priority(Main[[#This Row],[Comments]])&lt;&gt;0, priority(Main[[#This Row],[Comments]]),"")</f>
        <v/>
      </c>
      <c r="B806" s="63" t="s">
        <v>2379</v>
      </c>
      <c r="C806" s="148" t="s">
        <v>4</v>
      </c>
      <c r="D806" s="113" t="s">
        <v>2380</v>
      </c>
      <c r="E806" s="129"/>
      <c r="F806" s="129"/>
      <c r="G806" s="69" t="str">
        <f>IF(stdProdLT(Main[[#This Row],[Comments]])=0.1,"N/A",IF(stdProdLT(Main[[#This Row],[Comments]])=0,"",stdProdLT(Main[[#This Row],[Comments]])))</f>
        <v/>
      </c>
      <c r="H806" s="138" t="str">
        <f>IF(Main[[#This Row],[In Stock Date]]="N/A", "N/A",IF(AND(Main[[#This Row],[In Stock Date]]&lt;&gt;"",Main[[#This Row],[Revised Due Date]]&lt;&gt;"",Main[[#This Row],[In Stock Date]]&lt;&gt;""),Main[[#This Row],[In Stock Date]]-Main[[#This Row],[Revised Due Date]],""))</f>
        <v/>
      </c>
      <c r="I806" s="139" t="s">
        <v>4</v>
      </c>
      <c r="J806" s="139" t="s">
        <v>70</v>
      </c>
      <c r="K806" s="140" t="s">
        <v>4</v>
      </c>
      <c r="L806" s="129"/>
      <c r="M806" s="114" t="str">
        <f>IF(Main[[#This Row],[Tech Start Date]]&lt;1/1/1990,"",IF(Main[[#This Row],[Class]]="C",WORKDAY(Main[[#This Row],[Tech Start Date]],9),IF(Main[[#This Row],[Class]]="B", WORKDAY(Main[[#This Row],[Tech Start Date]],6),IF(Main[[#This Row],[Class]]="A",WORKDAY(Main[[#This Row],[Tech Start Date]],2),""))))</f>
        <v/>
      </c>
      <c r="N806" s="114" t="str">
        <f>IF(Main[[#This Row],[Tech Start Date]]&lt;1/1/1990,"",IF(Main[[#This Row],[Class]]="C",WORKDAY(Main[[#This Row],[Tech Start Date]],19),IF(Main[[#This Row],[Class]]="B", WORKDAY(Main[[#This Row],[Tech Start Date]],12),IF(Main[[#This Row],[Class]]="A",WORKDAY(Main[[#This Row],[Tech Start Date]],4),""))))</f>
        <v/>
      </c>
      <c r="O806" s="114" t="str">
        <f>IF(Main[[#This Row],[Tech Start Date]]&lt;1/1/1990,"",IF(Main[[#This Row],[Class]]="C",WORKDAY(Main[[#This Row],[Tech Start Date]],23),IF(Main[[#This Row],[Class]]="B", WORKDAY(Main[[#This Row],[Tech Start Date]],15),IF(Main[[#This Row],[Class]]="A",WORKDAY(Main[[#This Row],[Tech Start Date]],5),""))))</f>
        <v/>
      </c>
      <c r="P806" s="114" t="str">
        <f>IF(Main[[#This Row],[Tech Start Date]]&lt;1/1/1990,"",IF(Main[[#This Row],[Class]]="C",WORKDAY(Main[[#This Row],[Tech Start Date]],28),IF(Main[[#This Row],[Class]]="B", WORKDAY(Main[[#This Row],[Tech Start Date]],19),IF(Main[[#This Row],[Class]]="A",WORKDAY(Main[[#This Row],[Tech Start Date]],9),""))))</f>
        <v/>
      </c>
      <c r="Q806" s="129">
        <v>40877</v>
      </c>
      <c r="R806" s="129"/>
      <c r="S806" s="139" t="s">
        <v>6</v>
      </c>
      <c r="T806" s="115" t="s">
        <v>4</v>
      </c>
      <c r="U806" s="139" t="s">
        <v>14</v>
      </c>
      <c r="V806" s="139" t="s">
        <v>1917</v>
      </c>
      <c r="W806" s="139" t="s">
        <v>1918</v>
      </c>
      <c r="X806" s="139" t="s">
        <v>30</v>
      </c>
      <c r="Y806" s="112" t="s">
        <v>3090</v>
      </c>
      <c r="Z806" s="112" t="s">
        <v>30</v>
      </c>
      <c r="AA806" s="139" t="s">
        <v>74</v>
      </c>
    </row>
    <row r="807" spans="1:27" ht="17.25" customHeight="1">
      <c r="A807" s="69" t="str">
        <f>IF(priority(Main[[#This Row],[Comments]])&lt;&gt;0, priority(Main[[#This Row],[Comments]]),"")</f>
        <v/>
      </c>
      <c r="B807" s="63" t="s">
        <v>1614</v>
      </c>
      <c r="C807" s="148" t="s">
        <v>4</v>
      </c>
      <c r="D807" s="113" t="s">
        <v>688</v>
      </c>
      <c r="E807" s="129"/>
      <c r="F807" s="129"/>
      <c r="G807" s="69" t="str">
        <f>IF(stdProdLT(Main[[#This Row],[Comments]])=0.1,"N/A",IF(stdProdLT(Main[[#This Row],[Comments]])=0,"",stdProdLT(Main[[#This Row],[Comments]])))</f>
        <v/>
      </c>
      <c r="H807" s="138" t="str">
        <f>IF(Main[[#This Row],[In Stock Date]]="N/A", "N/A",IF(AND(Main[[#This Row],[In Stock Date]]&lt;&gt;"",Main[[#This Row],[Revised Due Date]]&lt;&gt;"",Main[[#This Row],[In Stock Date]]&lt;&gt;""),Main[[#This Row],[In Stock Date]]-Main[[#This Row],[Revised Due Date]],""))</f>
        <v/>
      </c>
      <c r="I807" s="139" t="s">
        <v>4</v>
      </c>
      <c r="J807" s="139" t="s">
        <v>4</v>
      </c>
      <c r="K807" s="140" t="s">
        <v>4</v>
      </c>
      <c r="L807" s="129"/>
      <c r="M807" s="114" t="str">
        <f>IF(Main[[#This Row],[Tech Start Date]]&lt;1/1/1990,"",IF(Main[[#This Row],[Class]]="C",WORKDAY(Main[[#This Row],[Tech Start Date]],9),IF(Main[[#This Row],[Class]]="B", WORKDAY(Main[[#This Row],[Tech Start Date]],6),IF(Main[[#This Row],[Class]]="A",WORKDAY(Main[[#This Row],[Tech Start Date]],2),""))))</f>
        <v/>
      </c>
      <c r="N807" s="114" t="str">
        <f>IF(Main[[#This Row],[Tech Start Date]]&lt;1/1/1990,"",IF(Main[[#This Row],[Class]]="C",WORKDAY(Main[[#This Row],[Tech Start Date]],19),IF(Main[[#This Row],[Class]]="B", WORKDAY(Main[[#This Row],[Tech Start Date]],12),IF(Main[[#This Row],[Class]]="A",WORKDAY(Main[[#This Row],[Tech Start Date]],4),""))))</f>
        <v/>
      </c>
      <c r="O807" s="114" t="str">
        <f>IF(Main[[#This Row],[Tech Start Date]]&lt;1/1/1990,"",IF(Main[[#This Row],[Class]]="C",WORKDAY(Main[[#This Row],[Tech Start Date]],23),IF(Main[[#This Row],[Class]]="B", WORKDAY(Main[[#This Row],[Tech Start Date]],15),IF(Main[[#This Row],[Class]]="A",WORKDAY(Main[[#This Row],[Tech Start Date]],5),""))))</f>
        <v/>
      </c>
      <c r="P807" s="114" t="str">
        <f>IF(Main[[#This Row],[Tech Start Date]]&lt;1/1/1990,"",IF(Main[[#This Row],[Class]]="C",WORKDAY(Main[[#This Row],[Tech Start Date]],28),IF(Main[[#This Row],[Class]]="B", WORKDAY(Main[[#This Row],[Tech Start Date]],19),IF(Main[[#This Row],[Class]]="A",WORKDAY(Main[[#This Row],[Tech Start Date]],9),""))))</f>
        <v/>
      </c>
      <c r="Q807" s="129"/>
      <c r="R807" s="129"/>
      <c r="S807" s="139" t="s">
        <v>6</v>
      </c>
      <c r="T807" s="115" t="s">
        <v>4</v>
      </c>
      <c r="U807" s="139" t="s">
        <v>14</v>
      </c>
      <c r="V807" s="139" t="s">
        <v>1914</v>
      </c>
      <c r="W807" s="139" t="s">
        <v>4</v>
      </c>
      <c r="X807" s="139" t="s">
        <v>708</v>
      </c>
      <c r="Y807" s="112" t="s">
        <v>3070</v>
      </c>
      <c r="Z807" s="112" t="s">
        <v>4</v>
      </c>
      <c r="AA807" s="139" t="s">
        <v>708</v>
      </c>
    </row>
    <row r="808" spans="1:27" ht="17.25" customHeight="1">
      <c r="A808" s="69" t="str">
        <f>IF(priority(Main[[#This Row],[Comments]])&lt;&gt;0, priority(Main[[#This Row],[Comments]]),"")</f>
        <v/>
      </c>
      <c r="B808" s="63" t="s">
        <v>1615</v>
      </c>
      <c r="C808" s="148" t="s">
        <v>689</v>
      </c>
      <c r="D808" s="113" t="s">
        <v>690</v>
      </c>
      <c r="E808" s="129"/>
      <c r="F808" s="129">
        <v>40664</v>
      </c>
      <c r="G808" s="69" t="str">
        <f>IF(stdProdLT(Main[[#This Row],[Comments]])=0.1,"N/A",IF(stdProdLT(Main[[#This Row],[Comments]])=0,"",stdProdLT(Main[[#This Row],[Comments]])))</f>
        <v/>
      </c>
      <c r="H808" s="138" t="str">
        <f>IF(Main[[#This Row],[In Stock Date]]="N/A", "N/A",IF(AND(Main[[#This Row],[In Stock Date]]&lt;&gt;"",Main[[#This Row],[Revised Due Date]]&lt;&gt;"",Main[[#This Row],[In Stock Date]]&lt;&gt;""),Main[[#This Row],[In Stock Date]]-Main[[#This Row],[Revised Due Date]],""))</f>
        <v/>
      </c>
      <c r="I808" s="139" t="s">
        <v>4</v>
      </c>
      <c r="J808" s="139" t="s">
        <v>4</v>
      </c>
      <c r="K808" s="139" t="s">
        <v>4</v>
      </c>
      <c r="L808" s="129"/>
      <c r="M808" s="114" t="str">
        <f>IF(Main[[#This Row],[Tech Start Date]]&lt;1/1/1990,"",IF(Main[[#This Row],[Class]]="C",WORKDAY(Main[[#This Row],[Tech Start Date]],9),IF(Main[[#This Row],[Class]]="B", WORKDAY(Main[[#This Row],[Tech Start Date]],6),IF(Main[[#This Row],[Class]]="A",WORKDAY(Main[[#This Row],[Tech Start Date]],2),""))))</f>
        <v/>
      </c>
      <c r="N808" s="114" t="str">
        <f>IF(Main[[#This Row],[Tech Start Date]]&lt;1/1/1990,"",IF(Main[[#This Row],[Class]]="C",WORKDAY(Main[[#This Row],[Tech Start Date]],19),IF(Main[[#This Row],[Class]]="B", WORKDAY(Main[[#This Row],[Tech Start Date]],12),IF(Main[[#This Row],[Class]]="A",WORKDAY(Main[[#This Row],[Tech Start Date]],4),""))))</f>
        <v/>
      </c>
      <c r="O808" s="114" t="str">
        <f>IF(Main[[#This Row],[Tech Start Date]]&lt;1/1/1990,"",IF(Main[[#This Row],[Class]]="C",WORKDAY(Main[[#This Row],[Tech Start Date]],23),IF(Main[[#This Row],[Class]]="B", WORKDAY(Main[[#This Row],[Tech Start Date]],15),IF(Main[[#This Row],[Class]]="A",WORKDAY(Main[[#This Row],[Tech Start Date]],5),""))))</f>
        <v/>
      </c>
      <c r="P808" s="114" t="str">
        <f>IF(Main[[#This Row],[Tech Start Date]]&lt;1/1/1990,"",IF(Main[[#This Row],[Class]]="C",WORKDAY(Main[[#This Row],[Tech Start Date]],28),IF(Main[[#This Row],[Class]]="B", WORKDAY(Main[[#This Row],[Tech Start Date]],19),IF(Main[[#This Row],[Class]]="A",WORKDAY(Main[[#This Row],[Tech Start Date]],9),""))))</f>
        <v/>
      </c>
      <c r="Q808" s="129">
        <v>40557</v>
      </c>
      <c r="R808" s="129"/>
      <c r="S808" s="139" t="s">
        <v>11</v>
      </c>
      <c r="T808" s="115" t="s">
        <v>4</v>
      </c>
      <c r="U808" s="139" t="s">
        <v>14</v>
      </c>
      <c r="V808" s="139" t="s">
        <v>1914</v>
      </c>
      <c r="W808" s="139" t="s">
        <v>1922</v>
      </c>
      <c r="X808" s="139" t="s">
        <v>2828</v>
      </c>
      <c r="Y808" s="112" t="s">
        <v>3091</v>
      </c>
      <c r="Z808" s="112" t="s">
        <v>4</v>
      </c>
      <c r="AA808" s="139" t="s">
        <v>2828</v>
      </c>
    </row>
    <row r="809" spans="1:27" ht="17.25" customHeight="1">
      <c r="A809" s="69" t="str">
        <f>IF(priority(Main[[#This Row],[Comments]])&lt;&gt;0, priority(Main[[#This Row],[Comments]]),"")</f>
        <v/>
      </c>
      <c r="B809" s="63" t="s">
        <v>1616</v>
      </c>
      <c r="C809" s="148" t="s">
        <v>4</v>
      </c>
      <c r="D809" s="113" t="s">
        <v>691</v>
      </c>
      <c r="E809" s="129"/>
      <c r="F809" s="129"/>
      <c r="G809" s="69" t="str">
        <f>IF(stdProdLT(Main[[#This Row],[Comments]])=0.1,"N/A",IF(stdProdLT(Main[[#This Row],[Comments]])=0,"",stdProdLT(Main[[#This Row],[Comments]])))</f>
        <v/>
      </c>
      <c r="H809" s="138" t="str">
        <f>IF(Main[[#This Row],[In Stock Date]]="N/A", "N/A",IF(AND(Main[[#This Row],[In Stock Date]]&lt;&gt;"",Main[[#This Row],[Revised Due Date]]&lt;&gt;"",Main[[#This Row],[In Stock Date]]&lt;&gt;""),Main[[#This Row],[In Stock Date]]-Main[[#This Row],[Revised Due Date]],""))</f>
        <v/>
      </c>
      <c r="I809" s="139" t="s">
        <v>4</v>
      </c>
      <c r="J809" s="139" t="s">
        <v>4</v>
      </c>
      <c r="K809" s="139" t="s">
        <v>4</v>
      </c>
      <c r="L809" s="129"/>
      <c r="M809" s="114" t="str">
        <f>IF(Main[[#This Row],[Tech Start Date]]&lt;1/1/1990,"",IF(Main[[#This Row],[Class]]="C",WORKDAY(Main[[#This Row],[Tech Start Date]],9),IF(Main[[#This Row],[Class]]="B", WORKDAY(Main[[#This Row],[Tech Start Date]],6),IF(Main[[#This Row],[Class]]="A",WORKDAY(Main[[#This Row],[Tech Start Date]],2),""))))</f>
        <v/>
      </c>
      <c r="N809" s="114" t="str">
        <f>IF(Main[[#This Row],[Tech Start Date]]&lt;1/1/1990,"",IF(Main[[#This Row],[Class]]="C",WORKDAY(Main[[#This Row],[Tech Start Date]],19),IF(Main[[#This Row],[Class]]="B", WORKDAY(Main[[#This Row],[Tech Start Date]],12),IF(Main[[#This Row],[Class]]="A",WORKDAY(Main[[#This Row],[Tech Start Date]],4),""))))</f>
        <v/>
      </c>
      <c r="O809" s="114" t="str">
        <f>IF(Main[[#This Row],[Tech Start Date]]&lt;1/1/1990,"",IF(Main[[#This Row],[Class]]="C",WORKDAY(Main[[#This Row],[Tech Start Date]],23),IF(Main[[#This Row],[Class]]="B", WORKDAY(Main[[#This Row],[Tech Start Date]],15),IF(Main[[#This Row],[Class]]="A",WORKDAY(Main[[#This Row],[Tech Start Date]],5),""))))</f>
        <v/>
      </c>
      <c r="P809" s="114" t="str">
        <f>IF(Main[[#This Row],[Tech Start Date]]&lt;1/1/1990,"",IF(Main[[#This Row],[Class]]="C",WORKDAY(Main[[#This Row],[Tech Start Date]],28),IF(Main[[#This Row],[Class]]="B", WORKDAY(Main[[#This Row],[Tech Start Date]],19),IF(Main[[#This Row],[Class]]="A",WORKDAY(Main[[#This Row],[Tech Start Date]],9),""))))</f>
        <v/>
      </c>
      <c r="Q809" s="129"/>
      <c r="R809" s="129"/>
      <c r="S809" s="139" t="s">
        <v>11</v>
      </c>
      <c r="T809" s="115" t="s">
        <v>4</v>
      </c>
      <c r="U809" s="139" t="s">
        <v>14</v>
      </c>
      <c r="V809" s="139" t="s">
        <v>1914</v>
      </c>
      <c r="W809" s="139" t="s">
        <v>4</v>
      </c>
      <c r="X809" s="139" t="s">
        <v>708</v>
      </c>
      <c r="Y809" s="112" t="s">
        <v>3022</v>
      </c>
      <c r="Z809" s="112" t="s">
        <v>4</v>
      </c>
      <c r="AA809" s="139" t="s">
        <v>3401</v>
      </c>
    </row>
    <row r="810" spans="1:27" ht="17.25" customHeight="1">
      <c r="A810" s="69" t="str">
        <f>IF(priority(Main[[#This Row],[Comments]])&lt;&gt;0, priority(Main[[#This Row],[Comments]]),"")</f>
        <v/>
      </c>
      <c r="B810" s="63" t="s">
        <v>1805</v>
      </c>
      <c r="C810" s="148" t="s">
        <v>4</v>
      </c>
      <c r="D810" s="113" t="s">
        <v>836</v>
      </c>
      <c r="E810" s="129">
        <v>40430.597812499997</v>
      </c>
      <c r="F810" s="129">
        <v>40574</v>
      </c>
      <c r="G810" s="69" t="str">
        <f>IF(stdProdLT(Main[[#This Row],[Comments]])=0.1,"N/A",IF(stdProdLT(Main[[#This Row],[Comments]])=0,"",stdProdLT(Main[[#This Row],[Comments]])))</f>
        <v/>
      </c>
      <c r="H810" s="138">
        <f>IF(Main[[#This Row],[In Stock Date]]="N/A", "N/A",IF(AND(Main[[#This Row],[In Stock Date]]&lt;&gt;"",Main[[#This Row],[Revised Due Date]]&lt;&gt;"",Main[[#This Row],[In Stock Date]]&lt;&gt;""),Main[[#This Row],[In Stock Date]]-Main[[#This Row],[Revised Due Date]],""))</f>
        <v>384</v>
      </c>
      <c r="I810" s="139" t="s">
        <v>81</v>
      </c>
      <c r="J810" s="139" t="s">
        <v>52</v>
      </c>
      <c r="K810" s="139" t="s">
        <v>1926</v>
      </c>
      <c r="L810" s="129"/>
      <c r="M810" s="114" t="str">
        <f>IF(Main[[#This Row],[Tech Start Date]]&lt;1/1/1990,"",IF(Main[[#This Row],[Class]]="C",WORKDAY(Main[[#This Row],[Tech Start Date]],9),IF(Main[[#This Row],[Class]]="B", WORKDAY(Main[[#This Row],[Tech Start Date]],6),IF(Main[[#This Row],[Class]]="A",WORKDAY(Main[[#This Row],[Tech Start Date]],2),""))))</f>
        <v/>
      </c>
      <c r="N810" s="114" t="str">
        <f>IF(Main[[#This Row],[Tech Start Date]]&lt;1/1/1990,"",IF(Main[[#This Row],[Class]]="C",WORKDAY(Main[[#This Row],[Tech Start Date]],19),IF(Main[[#This Row],[Class]]="B", WORKDAY(Main[[#This Row],[Tech Start Date]],12),IF(Main[[#This Row],[Class]]="A",WORKDAY(Main[[#This Row],[Tech Start Date]],4),""))))</f>
        <v/>
      </c>
      <c r="O810" s="114" t="str">
        <f>IF(Main[[#This Row],[Tech Start Date]]&lt;1/1/1990,"",IF(Main[[#This Row],[Class]]="C",WORKDAY(Main[[#This Row],[Tech Start Date]],23),IF(Main[[#This Row],[Class]]="B", WORKDAY(Main[[#This Row],[Tech Start Date]],15),IF(Main[[#This Row],[Class]]="A",WORKDAY(Main[[#This Row],[Tech Start Date]],5),""))))</f>
        <v/>
      </c>
      <c r="P810" s="114" t="str">
        <f>IF(Main[[#This Row],[Tech Start Date]]&lt;1/1/1990,"",IF(Main[[#This Row],[Class]]="C",WORKDAY(Main[[#This Row],[Tech Start Date]],28),IF(Main[[#This Row],[Class]]="B", WORKDAY(Main[[#This Row],[Tech Start Date]],19),IF(Main[[#This Row],[Class]]="A",WORKDAY(Main[[#This Row],[Tech Start Date]],9),""))))</f>
        <v/>
      </c>
      <c r="Q810" s="129">
        <v>40190</v>
      </c>
      <c r="R810" s="129">
        <v>40190</v>
      </c>
      <c r="S810" s="139" t="s">
        <v>17</v>
      </c>
      <c r="T810" s="115" t="s">
        <v>4</v>
      </c>
      <c r="U810" s="139" t="s">
        <v>29</v>
      </c>
      <c r="V810" s="139" t="s">
        <v>1917</v>
      </c>
      <c r="W810" s="139" t="s">
        <v>1919</v>
      </c>
      <c r="X810" s="139" t="s">
        <v>50</v>
      </c>
      <c r="Y810" s="112" t="s">
        <v>2985</v>
      </c>
      <c r="Z810" s="112" t="s">
        <v>81</v>
      </c>
      <c r="AA810" s="139" t="s">
        <v>65</v>
      </c>
    </row>
    <row r="811" spans="1:27" ht="17.25" customHeight="1">
      <c r="A811" s="69" t="str">
        <f>IF(priority(Main[[#This Row],[Comments]])&lt;&gt;0, priority(Main[[#This Row],[Comments]]),"")</f>
        <v/>
      </c>
      <c r="B811" s="63" t="s">
        <v>2103</v>
      </c>
      <c r="C811" s="148" t="s">
        <v>2088</v>
      </c>
      <c r="D811" s="113" t="s">
        <v>2089</v>
      </c>
      <c r="E811" s="129"/>
      <c r="F811" s="129">
        <v>40831</v>
      </c>
      <c r="G811" s="69" t="str">
        <f>IF(stdProdLT(Main[[#This Row],[Comments]])=0.1,"N/A",IF(stdProdLT(Main[[#This Row],[Comments]])=0,"",stdProdLT(Main[[#This Row],[Comments]])))</f>
        <v/>
      </c>
      <c r="H811" s="138" t="str">
        <f>IF(Main[[#This Row],[In Stock Date]]="N/A", "N/A",IF(AND(Main[[#This Row],[In Stock Date]]&lt;&gt;"",Main[[#This Row],[Revised Due Date]]&lt;&gt;"",Main[[#This Row],[In Stock Date]]&lt;&gt;""),Main[[#This Row],[In Stock Date]]-Main[[#This Row],[Revised Due Date]],""))</f>
        <v/>
      </c>
      <c r="I811" s="139" t="s">
        <v>4</v>
      </c>
      <c r="J811" s="139" t="s">
        <v>4</v>
      </c>
      <c r="K811" s="139" t="s">
        <v>4</v>
      </c>
      <c r="L811" s="129"/>
      <c r="M811" s="114" t="str">
        <f>IF(Main[[#This Row],[Tech Start Date]]&lt;1/1/1990,"",IF(Main[[#This Row],[Class]]="C",WORKDAY(Main[[#This Row],[Tech Start Date]],9),IF(Main[[#This Row],[Class]]="B", WORKDAY(Main[[#This Row],[Tech Start Date]],6),IF(Main[[#This Row],[Class]]="A",WORKDAY(Main[[#This Row],[Tech Start Date]],2),""))))</f>
        <v/>
      </c>
      <c r="N811" s="114" t="str">
        <f>IF(Main[[#This Row],[Tech Start Date]]&lt;1/1/1990,"",IF(Main[[#This Row],[Class]]="C",WORKDAY(Main[[#This Row],[Tech Start Date]],19),IF(Main[[#This Row],[Class]]="B", WORKDAY(Main[[#This Row],[Tech Start Date]],12),IF(Main[[#This Row],[Class]]="A",WORKDAY(Main[[#This Row],[Tech Start Date]],4),""))))</f>
        <v/>
      </c>
      <c r="O811" s="114" t="str">
        <f>IF(Main[[#This Row],[Tech Start Date]]&lt;1/1/1990,"",IF(Main[[#This Row],[Class]]="C",WORKDAY(Main[[#This Row],[Tech Start Date]],23),IF(Main[[#This Row],[Class]]="B", WORKDAY(Main[[#This Row],[Tech Start Date]],15),IF(Main[[#This Row],[Class]]="A",WORKDAY(Main[[#This Row],[Tech Start Date]],5),""))))</f>
        <v/>
      </c>
      <c r="P811" s="114" t="str">
        <f>IF(Main[[#This Row],[Tech Start Date]]&lt;1/1/1990,"",IF(Main[[#This Row],[Class]]="C",WORKDAY(Main[[#This Row],[Tech Start Date]],28),IF(Main[[#This Row],[Class]]="B", WORKDAY(Main[[#This Row],[Tech Start Date]],19),IF(Main[[#This Row],[Class]]="A",WORKDAY(Main[[#This Row],[Tech Start Date]],9),""))))</f>
        <v/>
      </c>
      <c r="Q811" s="129">
        <v>40786</v>
      </c>
      <c r="R811" s="129"/>
      <c r="S811" s="139" t="s">
        <v>11</v>
      </c>
      <c r="T811" s="115" t="s">
        <v>4</v>
      </c>
      <c r="U811" s="139" t="s">
        <v>12</v>
      </c>
      <c r="V811" s="139" t="s">
        <v>1917</v>
      </c>
      <c r="W811" s="139" t="s">
        <v>1922</v>
      </c>
      <c r="X811" s="139" t="s">
        <v>2831</v>
      </c>
      <c r="Y811" s="112" t="s">
        <v>2954</v>
      </c>
      <c r="Z811" s="112" t="s">
        <v>4</v>
      </c>
      <c r="AA811" s="139" t="s">
        <v>2831</v>
      </c>
    </row>
    <row r="812" spans="1:27" ht="17.25" customHeight="1">
      <c r="A812" s="69" t="str">
        <f>IF(priority(Main[[#This Row],[Comments]])&lt;&gt;0, priority(Main[[#This Row],[Comments]]),"")</f>
        <v/>
      </c>
      <c r="B812" s="63" t="s">
        <v>2081</v>
      </c>
      <c r="C812" s="148" t="s">
        <v>4</v>
      </c>
      <c r="D812" s="113" t="s">
        <v>2082</v>
      </c>
      <c r="E812" s="129"/>
      <c r="F812" s="129"/>
      <c r="G812" s="69" t="str">
        <f>IF(stdProdLT(Main[[#This Row],[Comments]])=0.1,"N/A",IF(stdProdLT(Main[[#This Row],[Comments]])=0,"",stdProdLT(Main[[#This Row],[Comments]])))</f>
        <v/>
      </c>
      <c r="H812" s="138" t="str">
        <f>IF(Main[[#This Row],[In Stock Date]]="N/A", "N/A",IF(AND(Main[[#This Row],[In Stock Date]]&lt;&gt;"",Main[[#This Row],[Revised Due Date]]&lt;&gt;"",Main[[#This Row],[In Stock Date]]&lt;&gt;""),Main[[#This Row],[In Stock Date]]-Main[[#This Row],[Revised Due Date]],""))</f>
        <v/>
      </c>
      <c r="I812" s="139" t="s">
        <v>530</v>
      </c>
      <c r="J812" s="139" t="s">
        <v>28</v>
      </c>
      <c r="K812" s="139" t="s">
        <v>1923</v>
      </c>
      <c r="L812" s="129"/>
      <c r="M812" s="114" t="str">
        <f>IF(Main[[#This Row],[Tech Start Date]]&lt;1/1/1990,"",IF(Main[[#This Row],[Class]]="C",WORKDAY(Main[[#This Row],[Tech Start Date]],9),IF(Main[[#This Row],[Class]]="B", WORKDAY(Main[[#This Row],[Tech Start Date]],6),IF(Main[[#This Row],[Class]]="A",WORKDAY(Main[[#This Row],[Tech Start Date]],2),""))))</f>
        <v/>
      </c>
      <c r="N812" s="114" t="str">
        <f>IF(Main[[#This Row],[Tech Start Date]]&lt;1/1/1990,"",IF(Main[[#This Row],[Class]]="C",WORKDAY(Main[[#This Row],[Tech Start Date]],19),IF(Main[[#This Row],[Class]]="B", WORKDAY(Main[[#This Row],[Tech Start Date]],12),IF(Main[[#This Row],[Class]]="A",WORKDAY(Main[[#This Row],[Tech Start Date]],4),""))))</f>
        <v/>
      </c>
      <c r="O812" s="114" t="str">
        <f>IF(Main[[#This Row],[Tech Start Date]]&lt;1/1/1990,"",IF(Main[[#This Row],[Class]]="C",WORKDAY(Main[[#This Row],[Tech Start Date]],23),IF(Main[[#This Row],[Class]]="B", WORKDAY(Main[[#This Row],[Tech Start Date]],15),IF(Main[[#This Row],[Class]]="A",WORKDAY(Main[[#This Row],[Tech Start Date]],5),""))))</f>
        <v/>
      </c>
      <c r="P812" s="114" t="str">
        <f>IF(Main[[#This Row],[Tech Start Date]]&lt;1/1/1990,"",IF(Main[[#This Row],[Class]]="C",WORKDAY(Main[[#This Row],[Tech Start Date]],28),IF(Main[[#This Row],[Class]]="B", WORKDAY(Main[[#This Row],[Tech Start Date]],19),IF(Main[[#This Row],[Class]]="A",WORKDAY(Main[[#This Row],[Tech Start Date]],9),""))))</f>
        <v/>
      </c>
      <c r="Q812" s="129"/>
      <c r="R812" s="129"/>
      <c r="S812" s="139" t="s">
        <v>6</v>
      </c>
      <c r="T812" s="115" t="s">
        <v>4</v>
      </c>
      <c r="U812" s="139" t="s">
        <v>14</v>
      </c>
      <c r="V812" s="139" t="s">
        <v>1917</v>
      </c>
      <c r="W812" s="139" t="s">
        <v>1918</v>
      </c>
      <c r="X812" s="139" t="s">
        <v>2866</v>
      </c>
      <c r="Y812" s="112" t="s">
        <v>3000</v>
      </c>
      <c r="Z812" s="112" t="s">
        <v>44</v>
      </c>
      <c r="AA812" s="139" t="s">
        <v>2866</v>
      </c>
    </row>
    <row r="813" spans="1:27" ht="17.25" customHeight="1">
      <c r="A813" s="69" t="str">
        <f>IF(priority(Main[[#This Row],[Comments]])&lt;&gt;0, priority(Main[[#This Row],[Comments]]),"")</f>
        <v/>
      </c>
      <c r="B813" s="63" t="s">
        <v>1397</v>
      </c>
      <c r="C813" s="148" t="s">
        <v>4</v>
      </c>
      <c r="D813" s="113" t="s">
        <v>481</v>
      </c>
      <c r="E813" s="129">
        <v>40485.329618055555</v>
      </c>
      <c r="F813" s="129"/>
      <c r="G813" s="69" t="str">
        <f>IF(stdProdLT(Main[[#This Row],[Comments]])=0.1,"N/A",IF(stdProdLT(Main[[#This Row],[Comments]])=0,"",stdProdLT(Main[[#This Row],[Comments]])))</f>
        <v/>
      </c>
      <c r="H813" s="138" t="str">
        <f>IF(Main[[#This Row],[In Stock Date]]="N/A", "N/A",IF(AND(Main[[#This Row],[In Stock Date]]&lt;&gt;"",Main[[#This Row],[Revised Due Date]]&lt;&gt;"",Main[[#This Row],[In Stock Date]]&lt;&gt;""),Main[[#This Row],[In Stock Date]]-Main[[#This Row],[Revised Due Date]],""))</f>
        <v/>
      </c>
      <c r="I813" s="139" t="s">
        <v>4</v>
      </c>
      <c r="J813" s="139" t="s">
        <v>28</v>
      </c>
      <c r="K813" s="139" t="s">
        <v>1926</v>
      </c>
      <c r="L813" s="129"/>
      <c r="M813" s="114" t="str">
        <f>IF(Main[[#This Row],[Tech Start Date]]&lt;1/1/1990,"",IF(Main[[#This Row],[Class]]="C",WORKDAY(Main[[#This Row],[Tech Start Date]],9),IF(Main[[#This Row],[Class]]="B", WORKDAY(Main[[#This Row],[Tech Start Date]],6),IF(Main[[#This Row],[Class]]="A",WORKDAY(Main[[#This Row],[Tech Start Date]],2),""))))</f>
        <v/>
      </c>
      <c r="N813" s="114" t="str">
        <f>IF(Main[[#This Row],[Tech Start Date]]&lt;1/1/1990,"",IF(Main[[#This Row],[Class]]="C",WORKDAY(Main[[#This Row],[Tech Start Date]],19),IF(Main[[#This Row],[Class]]="B", WORKDAY(Main[[#This Row],[Tech Start Date]],12),IF(Main[[#This Row],[Class]]="A",WORKDAY(Main[[#This Row],[Tech Start Date]],4),""))))</f>
        <v/>
      </c>
      <c r="O813" s="114" t="str">
        <f>IF(Main[[#This Row],[Tech Start Date]]&lt;1/1/1990,"",IF(Main[[#This Row],[Class]]="C",WORKDAY(Main[[#This Row],[Tech Start Date]],23),IF(Main[[#This Row],[Class]]="B", WORKDAY(Main[[#This Row],[Tech Start Date]],15),IF(Main[[#This Row],[Class]]="A",WORKDAY(Main[[#This Row],[Tech Start Date]],5),""))))</f>
        <v/>
      </c>
      <c r="P813" s="114" t="str">
        <f>IF(Main[[#This Row],[Tech Start Date]]&lt;1/1/1990,"",IF(Main[[#This Row],[Class]]="C",WORKDAY(Main[[#This Row],[Tech Start Date]],28),IF(Main[[#This Row],[Class]]="B", WORKDAY(Main[[#This Row],[Tech Start Date]],19),IF(Main[[#This Row],[Class]]="A",WORKDAY(Main[[#This Row],[Tech Start Date]],9),""))))</f>
        <v/>
      </c>
      <c r="Q813" s="129"/>
      <c r="R813" s="129"/>
      <c r="S813" s="139" t="s">
        <v>17</v>
      </c>
      <c r="T813" s="115" t="s">
        <v>4</v>
      </c>
      <c r="U813" s="139" t="s">
        <v>29</v>
      </c>
      <c r="V813" s="139" t="s">
        <v>1914</v>
      </c>
      <c r="W813" s="139" t="s">
        <v>1928</v>
      </c>
      <c r="X813" s="139" t="s">
        <v>2052</v>
      </c>
      <c r="Y813" s="112" t="s">
        <v>3002</v>
      </c>
      <c r="Z813" s="112" t="s">
        <v>4</v>
      </c>
      <c r="AA813" s="139" t="s">
        <v>2052</v>
      </c>
    </row>
    <row r="814" spans="1:27" ht="17.25" customHeight="1">
      <c r="A814" s="69" t="str">
        <f>IF(priority(Main[[#This Row],[Comments]])&lt;&gt;0, priority(Main[[#This Row],[Comments]]),"")</f>
        <v/>
      </c>
      <c r="B814" s="63" t="s">
        <v>1817</v>
      </c>
      <c r="C814" s="148" t="s">
        <v>42</v>
      </c>
      <c r="D814" s="113" t="s">
        <v>869</v>
      </c>
      <c r="E814" s="129">
        <v>39932.455243055556</v>
      </c>
      <c r="F814" s="129"/>
      <c r="G814" s="69" t="str">
        <f>IF(stdProdLT(Main[[#This Row],[Comments]])=0.1,"N/A",IF(stdProdLT(Main[[#This Row],[Comments]])=0,"",stdProdLT(Main[[#This Row],[Comments]])))</f>
        <v/>
      </c>
      <c r="H814" s="138" t="str">
        <f>IF(Main[[#This Row],[In Stock Date]]="N/A", "N/A",IF(AND(Main[[#This Row],[In Stock Date]]&lt;&gt;"",Main[[#This Row],[Revised Due Date]]&lt;&gt;"",Main[[#This Row],[In Stock Date]]&lt;&gt;""),Main[[#This Row],[In Stock Date]]-Main[[#This Row],[Revised Due Date]],""))</f>
        <v/>
      </c>
      <c r="I814" s="139" t="s">
        <v>4</v>
      </c>
      <c r="J814" s="139" t="s">
        <v>4</v>
      </c>
      <c r="K814" s="139" t="s">
        <v>4</v>
      </c>
      <c r="L814" s="129"/>
      <c r="M814" s="114" t="str">
        <f>IF(Main[[#This Row],[Tech Start Date]]&lt;1/1/1990,"",IF(Main[[#This Row],[Class]]="C",WORKDAY(Main[[#This Row],[Tech Start Date]],9),IF(Main[[#This Row],[Class]]="B", WORKDAY(Main[[#This Row],[Tech Start Date]],6),IF(Main[[#This Row],[Class]]="A",WORKDAY(Main[[#This Row],[Tech Start Date]],2),""))))</f>
        <v/>
      </c>
      <c r="N814" s="114" t="str">
        <f>IF(Main[[#This Row],[Tech Start Date]]&lt;1/1/1990,"",IF(Main[[#This Row],[Class]]="C",WORKDAY(Main[[#This Row],[Tech Start Date]],19),IF(Main[[#This Row],[Class]]="B", WORKDAY(Main[[#This Row],[Tech Start Date]],12),IF(Main[[#This Row],[Class]]="A",WORKDAY(Main[[#This Row],[Tech Start Date]],4),""))))</f>
        <v/>
      </c>
      <c r="O814" s="114" t="str">
        <f>IF(Main[[#This Row],[Tech Start Date]]&lt;1/1/1990,"",IF(Main[[#This Row],[Class]]="C",WORKDAY(Main[[#This Row],[Tech Start Date]],23),IF(Main[[#This Row],[Class]]="B", WORKDAY(Main[[#This Row],[Tech Start Date]],15),IF(Main[[#This Row],[Class]]="A",WORKDAY(Main[[#This Row],[Tech Start Date]],5),""))))</f>
        <v/>
      </c>
      <c r="P814" s="114" t="str">
        <f>IF(Main[[#This Row],[Tech Start Date]]&lt;1/1/1990,"",IF(Main[[#This Row],[Class]]="C",WORKDAY(Main[[#This Row],[Tech Start Date]],28),IF(Main[[#This Row],[Class]]="B", WORKDAY(Main[[#This Row],[Tech Start Date]],19),IF(Main[[#This Row],[Class]]="A",WORKDAY(Main[[#This Row],[Tech Start Date]],9),""))))</f>
        <v/>
      </c>
      <c r="Q814" s="129">
        <v>40165</v>
      </c>
      <c r="R814" s="129">
        <v>40298</v>
      </c>
      <c r="S814" s="139" t="s">
        <v>17</v>
      </c>
      <c r="T814" s="115" t="s">
        <v>4</v>
      </c>
      <c r="U814" s="139" t="s">
        <v>29</v>
      </c>
      <c r="V814" s="139" t="s">
        <v>1915</v>
      </c>
      <c r="W814" s="139" t="s">
        <v>1918</v>
      </c>
      <c r="X814" s="139" t="s">
        <v>399</v>
      </c>
      <c r="Y814" s="112" t="s">
        <v>4</v>
      </c>
      <c r="Z814" s="112" t="s">
        <v>4</v>
      </c>
      <c r="AA814" s="139" t="s">
        <v>3430</v>
      </c>
    </row>
    <row r="815" spans="1:27" ht="17.25" customHeight="1">
      <c r="A815" s="69" t="str">
        <f>IF(priority(Main[[#This Row],[Comments]])&lt;&gt;0, priority(Main[[#This Row],[Comments]]),"")</f>
        <v/>
      </c>
      <c r="B815" s="63" t="s">
        <v>1618</v>
      </c>
      <c r="C815" s="148" t="s">
        <v>4</v>
      </c>
      <c r="D815" s="113" t="s">
        <v>695</v>
      </c>
      <c r="E815" s="129"/>
      <c r="F815" s="129"/>
      <c r="G815" s="69" t="str">
        <f>IF(stdProdLT(Main[[#This Row],[Comments]])=0.1,"N/A",IF(stdProdLT(Main[[#This Row],[Comments]])=0,"",stdProdLT(Main[[#This Row],[Comments]])))</f>
        <v/>
      </c>
      <c r="H815" s="138" t="str">
        <f>IF(Main[[#This Row],[In Stock Date]]="N/A", "N/A",IF(AND(Main[[#This Row],[In Stock Date]]&lt;&gt;"",Main[[#This Row],[Revised Due Date]]&lt;&gt;"",Main[[#This Row],[In Stock Date]]&lt;&gt;""),Main[[#This Row],[In Stock Date]]-Main[[#This Row],[Revised Due Date]],""))</f>
        <v/>
      </c>
      <c r="I815" s="139" t="s">
        <v>4</v>
      </c>
      <c r="J815" s="139" t="s">
        <v>4</v>
      </c>
      <c r="K815" s="139" t="s">
        <v>4</v>
      </c>
      <c r="L815" s="129"/>
      <c r="M815" s="114" t="str">
        <f>IF(Main[[#This Row],[Tech Start Date]]&lt;1/1/1990,"",IF(Main[[#This Row],[Class]]="C",WORKDAY(Main[[#This Row],[Tech Start Date]],9),IF(Main[[#This Row],[Class]]="B", WORKDAY(Main[[#This Row],[Tech Start Date]],6),IF(Main[[#This Row],[Class]]="A",WORKDAY(Main[[#This Row],[Tech Start Date]],2),""))))</f>
        <v/>
      </c>
      <c r="N815" s="114" t="str">
        <f>IF(Main[[#This Row],[Tech Start Date]]&lt;1/1/1990,"",IF(Main[[#This Row],[Class]]="C",WORKDAY(Main[[#This Row],[Tech Start Date]],19),IF(Main[[#This Row],[Class]]="B", WORKDAY(Main[[#This Row],[Tech Start Date]],12),IF(Main[[#This Row],[Class]]="A",WORKDAY(Main[[#This Row],[Tech Start Date]],4),""))))</f>
        <v/>
      </c>
      <c r="O815" s="114" t="str">
        <f>IF(Main[[#This Row],[Tech Start Date]]&lt;1/1/1990,"",IF(Main[[#This Row],[Class]]="C",WORKDAY(Main[[#This Row],[Tech Start Date]],23),IF(Main[[#This Row],[Class]]="B", WORKDAY(Main[[#This Row],[Tech Start Date]],15),IF(Main[[#This Row],[Class]]="A",WORKDAY(Main[[#This Row],[Tech Start Date]],5),""))))</f>
        <v/>
      </c>
      <c r="P815" s="114" t="str">
        <f>IF(Main[[#This Row],[Tech Start Date]]&lt;1/1/1990,"",IF(Main[[#This Row],[Class]]="C",WORKDAY(Main[[#This Row],[Tech Start Date]],28),IF(Main[[#This Row],[Class]]="B", WORKDAY(Main[[#This Row],[Tech Start Date]],19),IF(Main[[#This Row],[Class]]="A",WORKDAY(Main[[#This Row],[Tech Start Date]],9),""))))</f>
        <v/>
      </c>
      <c r="Q815" s="129"/>
      <c r="R815" s="129"/>
      <c r="S815" s="139" t="s">
        <v>23</v>
      </c>
      <c r="T815" s="115" t="s">
        <v>4</v>
      </c>
      <c r="U815" s="139" t="s">
        <v>14</v>
      </c>
      <c r="V815" s="139" t="s">
        <v>1917</v>
      </c>
      <c r="W815" s="139" t="s">
        <v>1918</v>
      </c>
      <c r="X815" s="139" t="s">
        <v>399</v>
      </c>
      <c r="Y815" s="112" t="s">
        <v>4</v>
      </c>
      <c r="Z815" s="112" t="s">
        <v>4</v>
      </c>
      <c r="AA815" s="139" t="s">
        <v>3431</v>
      </c>
    </row>
    <row r="816" spans="1:27" ht="17.25" customHeight="1">
      <c r="A816" s="69" t="str">
        <f>IF(priority(Main[[#This Row],[Comments]])&lt;&gt;0, priority(Main[[#This Row],[Comments]]),"")</f>
        <v/>
      </c>
      <c r="B816" s="63" t="s">
        <v>1619</v>
      </c>
      <c r="C816" s="148" t="s">
        <v>122</v>
      </c>
      <c r="D816" s="113" t="s">
        <v>696</v>
      </c>
      <c r="E816" s="129"/>
      <c r="F816" s="129"/>
      <c r="G816" s="69" t="str">
        <f>IF(stdProdLT(Main[[#This Row],[Comments]])=0.1,"N/A",IF(stdProdLT(Main[[#This Row],[Comments]])=0,"",stdProdLT(Main[[#This Row],[Comments]])))</f>
        <v/>
      </c>
      <c r="H816" s="138" t="str">
        <f>IF(Main[[#This Row],[In Stock Date]]="N/A", "N/A",IF(AND(Main[[#This Row],[In Stock Date]]&lt;&gt;"",Main[[#This Row],[Revised Due Date]]&lt;&gt;"",Main[[#This Row],[In Stock Date]]&lt;&gt;""),Main[[#This Row],[In Stock Date]]-Main[[#This Row],[Revised Due Date]],""))</f>
        <v/>
      </c>
      <c r="I816" s="139" t="s">
        <v>4</v>
      </c>
      <c r="J816" s="139" t="s">
        <v>4</v>
      </c>
      <c r="K816" s="140" t="s">
        <v>4</v>
      </c>
      <c r="L816" s="129"/>
      <c r="M816" s="114" t="str">
        <f>IF(Main[[#This Row],[Tech Start Date]]&lt;1/1/1990,"",IF(Main[[#This Row],[Class]]="C",WORKDAY(Main[[#This Row],[Tech Start Date]],9),IF(Main[[#This Row],[Class]]="B", WORKDAY(Main[[#This Row],[Tech Start Date]],6),IF(Main[[#This Row],[Class]]="A",WORKDAY(Main[[#This Row],[Tech Start Date]],2),""))))</f>
        <v/>
      </c>
      <c r="N816" s="114" t="str">
        <f>IF(Main[[#This Row],[Tech Start Date]]&lt;1/1/1990,"",IF(Main[[#This Row],[Class]]="C",WORKDAY(Main[[#This Row],[Tech Start Date]],19),IF(Main[[#This Row],[Class]]="B", WORKDAY(Main[[#This Row],[Tech Start Date]],12),IF(Main[[#This Row],[Class]]="A",WORKDAY(Main[[#This Row],[Tech Start Date]],4),""))))</f>
        <v/>
      </c>
      <c r="O816" s="114" t="str">
        <f>IF(Main[[#This Row],[Tech Start Date]]&lt;1/1/1990,"",IF(Main[[#This Row],[Class]]="C",WORKDAY(Main[[#This Row],[Tech Start Date]],23),IF(Main[[#This Row],[Class]]="B", WORKDAY(Main[[#This Row],[Tech Start Date]],15),IF(Main[[#This Row],[Class]]="A",WORKDAY(Main[[#This Row],[Tech Start Date]],5),""))))</f>
        <v/>
      </c>
      <c r="P816" s="114" t="str">
        <f>IF(Main[[#This Row],[Tech Start Date]]&lt;1/1/1990,"",IF(Main[[#This Row],[Class]]="C",WORKDAY(Main[[#This Row],[Tech Start Date]],28),IF(Main[[#This Row],[Class]]="B", WORKDAY(Main[[#This Row],[Tech Start Date]],19),IF(Main[[#This Row],[Class]]="A",WORKDAY(Main[[#This Row],[Tech Start Date]],9),""))))</f>
        <v/>
      </c>
      <c r="Q816" s="129"/>
      <c r="R816" s="129"/>
      <c r="S816" s="139" t="s">
        <v>11</v>
      </c>
      <c r="T816" s="115" t="s">
        <v>4</v>
      </c>
      <c r="U816" s="139" t="s">
        <v>14</v>
      </c>
      <c r="V816" s="139" t="s">
        <v>1914</v>
      </c>
      <c r="W816" s="139" t="s">
        <v>1925</v>
      </c>
      <c r="X816" s="139" t="s">
        <v>2820</v>
      </c>
      <c r="Y816" s="112" t="s">
        <v>3092</v>
      </c>
      <c r="Z816" s="112" t="s">
        <v>4</v>
      </c>
      <c r="AA816" s="139" t="s">
        <v>3432</v>
      </c>
    </row>
    <row r="817" spans="1:27" ht="17.25" customHeight="1">
      <c r="A817" s="69" t="str">
        <f>IF(priority(Main[[#This Row],[Comments]])&lt;&gt;0, priority(Main[[#This Row],[Comments]]),"")</f>
        <v/>
      </c>
      <c r="B817" s="63" t="s">
        <v>1621</v>
      </c>
      <c r="C817" s="148" t="s">
        <v>4</v>
      </c>
      <c r="D817" s="113" t="s">
        <v>697</v>
      </c>
      <c r="E817" s="129"/>
      <c r="F817" s="129">
        <v>40598</v>
      </c>
      <c r="G817" s="69" t="str">
        <f>IF(stdProdLT(Main[[#This Row],[Comments]])=0.1,"N/A",IF(stdProdLT(Main[[#This Row],[Comments]])=0,"",stdProdLT(Main[[#This Row],[Comments]])))</f>
        <v/>
      </c>
      <c r="H817" s="138" t="str">
        <f>IF(Main[[#This Row],[In Stock Date]]="N/A", "N/A",IF(AND(Main[[#This Row],[In Stock Date]]&lt;&gt;"",Main[[#This Row],[Revised Due Date]]&lt;&gt;"",Main[[#This Row],[In Stock Date]]&lt;&gt;""),Main[[#This Row],[In Stock Date]]-Main[[#This Row],[Revised Due Date]],""))</f>
        <v/>
      </c>
      <c r="I817" s="139" t="s">
        <v>399</v>
      </c>
      <c r="J817" s="139" t="s">
        <v>75</v>
      </c>
      <c r="K817" s="139" t="s">
        <v>4</v>
      </c>
      <c r="L817" s="129"/>
      <c r="M817" s="114" t="str">
        <f>IF(Main[[#This Row],[Tech Start Date]]&lt;1/1/1990,"",IF(Main[[#This Row],[Class]]="C",WORKDAY(Main[[#This Row],[Tech Start Date]],9),IF(Main[[#This Row],[Class]]="B", WORKDAY(Main[[#This Row],[Tech Start Date]],6),IF(Main[[#This Row],[Class]]="A",WORKDAY(Main[[#This Row],[Tech Start Date]],2),""))))</f>
        <v/>
      </c>
      <c r="N817" s="114" t="str">
        <f>IF(Main[[#This Row],[Tech Start Date]]&lt;1/1/1990,"",IF(Main[[#This Row],[Class]]="C",WORKDAY(Main[[#This Row],[Tech Start Date]],19),IF(Main[[#This Row],[Class]]="B", WORKDAY(Main[[#This Row],[Tech Start Date]],12),IF(Main[[#This Row],[Class]]="A",WORKDAY(Main[[#This Row],[Tech Start Date]],4),""))))</f>
        <v/>
      </c>
      <c r="O817" s="114" t="str">
        <f>IF(Main[[#This Row],[Tech Start Date]]&lt;1/1/1990,"",IF(Main[[#This Row],[Class]]="C",WORKDAY(Main[[#This Row],[Tech Start Date]],23),IF(Main[[#This Row],[Class]]="B", WORKDAY(Main[[#This Row],[Tech Start Date]],15),IF(Main[[#This Row],[Class]]="A",WORKDAY(Main[[#This Row],[Tech Start Date]],5),""))))</f>
        <v/>
      </c>
      <c r="P817" s="114" t="str">
        <f>IF(Main[[#This Row],[Tech Start Date]]&lt;1/1/1990,"",IF(Main[[#This Row],[Class]]="C",WORKDAY(Main[[#This Row],[Tech Start Date]],28),IF(Main[[#This Row],[Class]]="B", WORKDAY(Main[[#This Row],[Tech Start Date]],19),IF(Main[[#This Row],[Class]]="A",WORKDAY(Main[[#This Row],[Tech Start Date]],9),""))))</f>
        <v/>
      </c>
      <c r="Q817" s="129">
        <v>40598</v>
      </c>
      <c r="R817" s="129"/>
      <c r="S817" s="139" t="s">
        <v>6</v>
      </c>
      <c r="T817" s="115" t="s">
        <v>4</v>
      </c>
      <c r="U817" s="139" t="s">
        <v>14</v>
      </c>
      <c r="V817" s="139" t="s">
        <v>1924</v>
      </c>
      <c r="W817" s="139" t="s">
        <v>1920</v>
      </c>
      <c r="X817" s="139" t="s">
        <v>2848</v>
      </c>
      <c r="Y817" s="112" t="s">
        <v>2979</v>
      </c>
      <c r="Z817" s="112" t="s">
        <v>306</v>
      </c>
      <c r="AA817" s="139" t="s">
        <v>2848</v>
      </c>
    </row>
    <row r="818" spans="1:27" ht="17.25" customHeight="1">
      <c r="A818" s="69" t="str">
        <f>IF(priority(Main[[#This Row],[Comments]])&lt;&gt;0, priority(Main[[#This Row],[Comments]]),"")</f>
        <v/>
      </c>
      <c r="B818" s="63" t="s">
        <v>2165</v>
      </c>
      <c r="C818" s="148" t="s">
        <v>2160</v>
      </c>
      <c r="D818" s="113" t="s">
        <v>2732</v>
      </c>
      <c r="E818" s="129">
        <v>40781.401631944442</v>
      </c>
      <c r="F818" s="129"/>
      <c r="G818" s="69" t="str">
        <f>IF(stdProdLT(Main[[#This Row],[Comments]])=0.1,"N/A",IF(stdProdLT(Main[[#This Row],[Comments]])=0,"",stdProdLT(Main[[#This Row],[Comments]])))</f>
        <v/>
      </c>
      <c r="H818" s="138" t="str">
        <f>IF(Main[[#This Row],[In Stock Date]]="N/A", "N/A",IF(AND(Main[[#This Row],[In Stock Date]]&lt;&gt;"",Main[[#This Row],[Revised Due Date]]&lt;&gt;"",Main[[#This Row],[In Stock Date]]&lt;&gt;""),Main[[#This Row],[In Stock Date]]-Main[[#This Row],[Revised Due Date]],""))</f>
        <v/>
      </c>
      <c r="I818" s="139" t="s">
        <v>2051</v>
      </c>
      <c r="J818" s="139" t="s">
        <v>70</v>
      </c>
      <c r="K818" s="139" t="s">
        <v>1923</v>
      </c>
      <c r="L818" s="129"/>
      <c r="M818" s="114" t="str">
        <f>IF(Main[[#This Row],[Tech Start Date]]&lt;1/1/1990,"",IF(Main[[#This Row],[Class]]="C",WORKDAY(Main[[#This Row],[Tech Start Date]],9),IF(Main[[#This Row],[Class]]="B", WORKDAY(Main[[#This Row],[Tech Start Date]],6),IF(Main[[#This Row],[Class]]="A",WORKDAY(Main[[#This Row],[Tech Start Date]],2),""))))</f>
        <v/>
      </c>
      <c r="N818" s="114" t="str">
        <f>IF(Main[[#This Row],[Tech Start Date]]&lt;1/1/1990,"",IF(Main[[#This Row],[Class]]="C",WORKDAY(Main[[#This Row],[Tech Start Date]],19),IF(Main[[#This Row],[Class]]="B", WORKDAY(Main[[#This Row],[Tech Start Date]],12),IF(Main[[#This Row],[Class]]="A",WORKDAY(Main[[#This Row],[Tech Start Date]],4),""))))</f>
        <v/>
      </c>
      <c r="O818" s="114" t="str">
        <f>IF(Main[[#This Row],[Tech Start Date]]&lt;1/1/1990,"",IF(Main[[#This Row],[Class]]="C",WORKDAY(Main[[#This Row],[Tech Start Date]],23),IF(Main[[#This Row],[Class]]="B", WORKDAY(Main[[#This Row],[Tech Start Date]],15),IF(Main[[#This Row],[Class]]="A",WORKDAY(Main[[#This Row],[Tech Start Date]],5),""))))</f>
        <v/>
      </c>
      <c r="P818" s="114" t="str">
        <f>IF(Main[[#This Row],[Tech Start Date]]&lt;1/1/1990,"",IF(Main[[#This Row],[Class]]="C",WORKDAY(Main[[#This Row],[Tech Start Date]],28),IF(Main[[#This Row],[Class]]="B", WORKDAY(Main[[#This Row],[Tech Start Date]],19),IF(Main[[#This Row],[Class]]="A",WORKDAY(Main[[#This Row],[Tech Start Date]],9),""))))</f>
        <v/>
      </c>
      <c r="Q818" s="129">
        <v>40836</v>
      </c>
      <c r="R818" s="129"/>
      <c r="S818" s="139" t="s">
        <v>6</v>
      </c>
      <c r="T818" s="115" t="s">
        <v>4</v>
      </c>
      <c r="U818" s="139" t="s">
        <v>29</v>
      </c>
      <c r="V818" s="139" t="s">
        <v>1917</v>
      </c>
      <c r="W818" s="139" t="s">
        <v>1918</v>
      </c>
      <c r="X818" s="139" t="s">
        <v>2836</v>
      </c>
      <c r="Y818" s="112" t="s">
        <v>2965</v>
      </c>
      <c r="Z818" s="112" t="s">
        <v>30</v>
      </c>
      <c r="AA818" s="139" t="s">
        <v>2836</v>
      </c>
    </row>
    <row r="819" spans="1:27" ht="17.25" customHeight="1">
      <c r="A819" s="69" t="str">
        <f>IF(priority(Main[[#This Row],[Comments]])&lt;&gt;0, priority(Main[[#This Row],[Comments]]),"")</f>
        <v/>
      </c>
      <c r="B819" s="63" t="s">
        <v>2074</v>
      </c>
      <c r="C819" s="148" t="s">
        <v>4</v>
      </c>
      <c r="D819" s="113" t="s">
        <v>2386</v>
      </c>
      <c r="E819" s="129">
        <v>40760.554780092592</v>
      </c>
      <c r="F819" s="129"/>
      <c r="G819" s="69" t="str">
        <f>IF(stdProdLT(Main[[#This Row],[Comments]])=0.1,"N/A",IF(stdProdLT(Main[[#This Row],[Comments]])=0,"",stdProdLT(Main[[#This Row],[Comments]])))</f>
        <v/>
      </c>
      <c r="H819" s="138" t="str">
        <f>IF(Main[[#This Row],[In Stock Date]]="N/A", "N/A",IF(AND(Main[[#This Row],[In Stock Date]]&lt;&gt;"",Main[[#This Row],[Revised Due Date]]&lt;&gt;"",Main[[#This Row],[In Stock Date]]&lt;&gt;""),Main[[#This Row],[In Stock Date]]-Main[[#This Row],[Revised Due Date]],""))</f>
        <v/>
      </c>
      <c r="I819" s="139" t="s">
        <v>4</v>
      </c>
      <c r="J819" s="139" t="s">
        <v>4</v>
      </c>
      <c r="K819" s="139" t="s">
        <v>4</v>
      </c>
      <c r="L819" s="129"/>
      <c r="M819" s="114" t="str">
        <f>IF(Main[[#This Row],[Tech Start Date]]&lt;1/1/1990,"",IF(Main[[#This Row],[Class]]="C",WORKDAY(Main[[#This Row],[Tech Start Date]],9),IF(Main[[#This Row],[Class]]="B", WORKDAY(Main[[#This Row],[Tech Start Date]],6),IF(Main[[#This Row],[Class]]="A",WORKDAY(Main[[#This Row],[Tech Start Date]],2),""))))</f>
        <v/>
      </c>
      <c r="N819" s="114" t="str">
        <f>IF(Main[[#This Row],[Tech Start Date]]&lt;1/1/1990,"",IF(Main[[#This Row],[Class]]="C",WORKDAY(Main[[#This Row],[Tech Start Date]],19),IF(Main[[#This Row],[Class]]="B", WORKDAY(Main[[#This Row],[Tech Start Date]],12),IF(Main[[#This Row],[Class]]="A",WORKDAY(Main[[#This Row],[Tech Start Date]],4),""))))</f>
        <v/>
      </c>
      <c r="O819" s="114" t="str">
        <f>IF(Main[[#This Row],[Tech Start Date]]&lt;1/1/1990,"",IF(Main[[#This Row],[Class]]="C",WORKDAY(Main[[#This Row],[Tech Start Date]],23),IF(Main[[#This Row],[Class]]="B", WORKDAY(Main[[#This Row],[Tech Start Date]],15),IF(Main[[#This Row],[Class]]="A",WORKDAY(Main[[#This Row],[Tech Start Date]],5),""))))</f>
        <v/>
      </c>
      <c r="P819" s="114" t="str">
        <f>IF(Main[[#This Row],[Tech Start Date]]&lt;1/1/1990,"",IF(Main[[#This Row],[Class]]="C",WORKDAY(Main[[#This Row],[Tech Start Date]],28),IF(Main[[#This Row],[Class]]="B", WORKDAY(Main[[#This Row],[Tech Start Date]],19),IF(Main[[#This Row],[Class]]="A",WORKDAY(Main[[#This Row],[Tech Start Date]],9),""))))</f>
        <v/>
      </c>
      <c r="Q819" s="129"/>
      <c r="R819" s="129"/>
      <c r="S819" s="139" t="s">
        <v>6</v>
      </c>
      <c r="T819" s="115" t="s">
        <v>4</v>
      </c>
      <c r="U819" s="139" t="s">
        <v>7</v>
      </c>
      <c r="V819" s="139" t="s">
        <v>1914</v>
      </c>
      <c r="W819" s="139" t="s">
        <v>1918</v>
      </c>
      <c r="X819" s="139" t="s">
        <v>306</v>
      </c>
      <c r="Y819" s="112" t="s">
        <v>4</v>
      </c>
      <c r="Z819" s="112" t="s">
        <v>4</v>
      </c>
      <c r="AA819" s="139" t="s">
        <v>4</v>
      </c>
    </row>
    <row r="820" spans="1:27" ht="17.25" customHeight="1">
      <c r="A820" s="69" t="str">
        <f>IF(priority(Main[[#This Row],[Comments]])&lt;&gt;0, priority(Main[[#This Row],[Comments]]),"")</f>
        <v/>
      </c>
      <c r="B820" s="63" t="s">
        <v>1622</v>
      </c>
      <c r="C820" s="148" t="s">
        <v>4</v>
      </c>
      <c r="D820" s="113" t="s">
        <v>698</v>
      </c>
      <c r="E820" s="129"/>
      <c r="F820" s="129"/>
      <c r="G820" s="69" t="str">
        <f>IF(stdProdLT(Main[[#This Row],[Comments]])=0.1,"N/A",IF(stdProdLT(Main[[#This Row],[Comments]])=0,"",stdProdLT(Main[[#This Row],[Comments]])))</f>
        <v/>
      </c>
      <c r="H820" s="138" t="str">
        <f>IF(Main[[#This Row],[In Stock Date]]="N/A", "N/A",IF(AND(Main[[#This Row],[In Stock Date]]&lt;&gt;"",Main[[#This Row],[Revised Due Date]]&lt;&gt;"",Main[[#This Row],[In Stock Date]]&lt;&gt;""),Main[[#This Row],[In Stock Date]]-Main[[#This Row],[Revised Due Date]],""))</f>
        <v/>
      </c>
      <c r="I820" s="139" t="s">
        <v>4</v>
      </c>
      <c r="J820" s="139" t="s">
        <v>4</v>
      </c>
      <c r="K820" s="140" t="s">
        <v>4</v>
      </c>
      <c r="L820" s="129"/>
      <c r="M820" s="114" t="str">
        <f>IF(Main[[#This Row],[Tech Start Date]]&lt;1/1/1990,"",IF(Main[[#This Row],[Class]]="C",WORKDAY(Main[[#This Row],[Tech Start Date]],9),IF(Main[[#This Row],[Class]]="B", WORKDAY(Main[[#This Row],[Tech Start Date]],6),IF(Main[[#This Row],[Class]]="A",WORKDAY(Main[[#This Row],[Tech Start Date]],2),""))))</f>
        <v/>
      </c>
      <c r="N820" s="114" t="str">
        <f>IF(Main[[#This Row],[Tech Start Date]]&lt;1/1/1990,"",IF(Main[[#This Row],[Class]]="C",WORKDAY(Main[[#This Row],[Tech Start Date]],19),IF(Main[[#This Row],[Class]]="B", WORKDAY(Main[[#This Row],[Tech Start Date]],12),IF(Main[[#This Row],[Class]]="A",WORKDAY(Main[[#This Row],[Tech Start Date]],4),""))))</f>
        <v/>
      </c>
      <c r="O820" s="114" t="str">
        <f>IF(Main[[#This Row],[Tech Start Date]]&lt;1/1/1990,"",IF(Main[[#This Row],[Class]]="C",WORKDAY(Main[[#This Row],[Tech Start Date]],23),IF(Main[[#This Row],[Class]]="B", WORKDAY(Main[[#This Row],[Tech Start Date]],15),IF(Main[[#This Row],[Class]]="A",WORKDAY(Main[[#This Row],[Tech Start Date]],5),""))))</f>
        <v/>
      </c>
      <c r="P820" s="114" t="str">
        <f>IF(Main[[#This Row],[Tech Start Date]]&lt;1/1/1990,"",IF(Main[[#This Row],[Class]]="C",WORKDAY(Main[[#This Row],[Tech Start Date]],28),IF(Main[[#This Row],[Class]]="B", WORKDAY(Main[[#This Row],[Tech Start Date]],19),IF(Main[[#This Row],[Class]]="A",WORKDAY(Main[[#This Row],[Tech Start Date]],9),""))))</f>
        <v/>
      </c>
      <c r="Q820" s="129"/>
      <c r="R820" s="129"/>
      <c r="S820" s="139" t="s">
        <v>49</v>
      </c>
      <c r="T820" s="115" t="s">
        <v>4</v>
      </c>
      <c r="U820" s="139" t="s">
        <v>14</v>
      </c>
      <c r="V820" s="139" t="s">
        <v>1914</v>
      </c>
      <c r="W820" s="139" t="s">
        <v>1918</v>
      </c>
      <c r="X820" s="139" t="s">
        <v>306</v>
      </c>
      <c r="Y820" s="112" t="s">
        <v>4</v>
      </c>
      <c r="Z820" s="112" t="s">
        <v>4</v>
      </c>
      <c r="AA820" s="139" t="s">
        <v>4</v>
      </c>
    </row>
    <row r="821" spans="1:27" ht="17.25" customHeight="1">
      <c r="A821" s="69" t="str">
        <f>IF(priority(Main[[#This Row],[Comments]])&lt;&gt;0, priority(Main[[#This Row],[Comments]]),"")</f>
        <v/>
      </c>
      <c r="B821" s="63" t="s">
        <v>1623</v>
      </c>
      <c r="C821" s="148" t="s">
        <v>4</v>
      </c>
      <c r="D821" s="113" t="s">
        <v>699</v>
      </c>
      <c r="E821" s="129"/>
      <c r="F821" s="129"/>
      <c r="G821" s="69" t="str">
        <f>IF(stdProdLT(Main[[#This Row],[Comments]])=0.1,"N/A",IF(stdProdLT(Main[[#This Row],[Comments]])=0,"",stdProdLT(Main[[#This Row],[Comments]])))</f>
        <v/>
      </c>
      <c r="H821" s="138" t="str">
        <f>IF(Main[[#This Row],[In Stock Date]]="N/A", "N/A",IF(AND(Main[[#This Row],[In Stock Date]]&lt;&gt;"",Main[[#This Row],[Revised Due Date]]&lt;&gt;"",Main[[#This Row],[In Stock Date]]&lt;&gt;""),Main[[#This Row],[In Stock Date]]-Main[[#This Row],[Revised Due Date]],""))</f>
        <v/>
      </c>
      <c r="I821" s="139" t="s">
        <v>4</v>
      </c>
      <c r="J821" s="139" t="s">
        <v>4</v>
      </c>
      <c r="K821" s="139" t="s">
        <v>4</v>
      </c>
      <c r="L821" s="129"/>
      <c r="M821" s="114" t="str">
        <f>IF(Main[[#This Row],[Tech Start Date]]&lt;1/1/1990,"",IF(Main[[#This Row],[Class]]="C",WORKDAY(Main[[#This Row],[Tech Start Date]],9),IF(Main[[#This Row],[Class]]="B", WORKDAY(Main[[#This Row],[Tech Start Date]],6),IF(Main[[#This Row],[Class]]="A",WORKDAY(Main[[#This Row],[Tech Start Date]],2),""))))</f>
        <v/>
      </c>
      <c r="N821" s="114" t="str">
        <f>IF(Main[[#This Row],[Tech Start Date]]&lt;1/1/1990,"",IF(Main[[#This Row],[Class]]="C",WORKDAY(Main[[#This Row],[Tech Start Date]],19),IF(Main[[#This Row],[Class]]="B", WORKDAY(Main[[#This Row],[Tech Start Date]],12),IF(Main[[#This Row],[Class]]="A",WORKDAY(Main[[#This Row],[Tech Start Date]],4),""))))</f>
        <v/>
      </c>
      <c r="O821" s="114" t="str">
        <f>IF(Main[[#This Row],[Tech Start Date]]&lt;1/1/1990,"",IF(Main[[#This Row],[Class]]="C",WORKDAY(Main[[#This Row],[Tech Start Date]],23),IF(Main[[#This Row],[Class]]="B", WORKDAY(Main[[#This Row],[Tech Start Date]],15),IF(Main[[#This Row],[Class]]="A",WORKDAY(Main[[#This Row],[Tech Start Date]],5),""))))</f>
        <v/>
      </c>
      <c r="P821" s="114" t="str">
        <f>IF(Main[[#This Row],[Tech Start Date]]&lt;1/1/1990,"",IF(Main[[#This Row],[Class]]="C",WORKDAY(Main[[#This Row],[Tech Start Date]],28),IF(Main[[#This Row],[Class]]="B", WORKDAY(Main[[#This Row],[Tech Start Date]],19),IF(Main[[#This Row],[Class]]="A",WORKDAY(Main[[#This Row],[Tech Start Date]],9),""))))</f>
        <v/>
      </c>
      <c r="Q821" s="129"/>
      <c r="R821" s="129"/>
      <c r="S821" s="139" t="s">
        <v>11</v>
      </c>
      <c r="T821" s="115" t="s">
        <v>4</v>
      </c>
      <c r="U821" s="139" t="s">
        <v>14</v>
      </c>
      <c r="V821" s="139" t="s">
        <v>1917</v>
      </c>
      <c r="W821" s="139" t="s">
        <v>1922</v>
      </c>
      <c r="X821" s="139" t="s">
        <v>306</v>
      </c>
      <c r="Y821" s="112" t="s">
        <v>4</v>
      </c>
      <c r="Z821" s="112" t="s">
        <v>4</v>
      </c>
      <c r="AA821" s="139" t="s">
        <v>4</v>
      </c>
    </row>
    <row r="822" spans="1:27" ht="17.25" customHeight="1">
      <c r="A822" s="69" t="str">
        <f>IF(priority(Main[[#This Row],[Comments]])&lt;&gt;0, priority(Main[[#This Row],[Comments]]),"")</f>
        <v/>
      </c>
      <c r="B822" s="63" t="s">
        <v>1624</v>
      </c>
      <c r="C822" s="148" t="s">
        <v>211</v>
      </c>
      <c r="D822" s="113" t="s">
        <v>212</v>
      </c>
      <c r="E822" s="129"/>
      <c r="F822" s="129">
        <v>40452</v>
      </c>
      <c r="G822" s="69" t="str">
        <f>IF(stdProdLT(Main[[#This Row],[Comments]])=0.1,"N/A",IF(stdProdLT(Main[[#This Row],[Comments]])=0,"",stdProdLT(Main[[#This Row],[Comments]])))</f>
        <v/>
      </c>
      <c r="H822" s="138" t="str">
        <f>IF(Main[[#This Row],[In Stock Date]]="N/A", "N/A",IF(AND(Main[[#This Row],[In Stock Date]]&lt;&gt;"",Main[[#This Row],[Revised Due Date]]&lt;&gt;"",Main[[#This Row],[In Stock Date]]&lt;&gt;""),Main[[#This Row],[In Stock Date]]-Main[[#This Row],[Revised Due Date]],""))</f>
        <v/>
      </c>
      <c r="I822" s="139" t="s">
        <v>4</v>
      </c>
      <c r="J822" s="139" t="s">
        <v>4</v>
      </c>
      <c r="K822" s="139" t="s">
        <v>4</v>
      </c>
      <c r="L822" s="129"/>
      <c r="M822" s="114" t="str">
        <f>IF(Main[[#This Row],[Tech Start Date]]&lt;1/1/1990,"",IF(Main[[#This Row],[Class]]="C",WORKDAY(Main[[#This Row],[Tech Start Date]],9),IF(Main[[#This Row],[Class]]="B", WORKDAY(Main[[#This Row],[Tech Start Date]],6),IF(Main[[#This Row],[Class]]="A",WORKDAY(Main[[#This Row],[Tech Start Date]],2),""))))</f>
        <v/>
      </c>
      <c r="N822" s="114" t="str">
        <f>IF(Main[[#This Row],[Tech Start Date]]&lt;1/1/1990,"",IF(Main[[#This Row],[Class]]="C",WORKDAY(Main[[#This Row],[Tech Start Date]],19),IF(Main[[#This Row],[Class]]="B", WORKDAY(Main[[#This Row],[Tech Start Date]],12),IF(Main[[#This Row],[Class]]="A",WORKDAY(Main[[#This Row],[Tech Start Date]],4),""))))</f>
        <v/>
      </c>
      <c r="O822" s="114" t="str">
        <f>IF(Main[[#This Row],[Tech Start Date]]&lt;1/1/1990,"",IF(Main[[#This Row],[Class]]="C",WORKDAY(Main[[#This Row],[Tech Start Date]],23),IF(Main[[#This Row],[Class]]="B", WORKDAY(Main[[#This Row],[Tech Start Date]],15),IF(Main[[#This Row],[Class]]="A",WORKDAY(Main[[#This Row],[Tech Start Date]],5),""))))</f>
        <v/>
      </c>
      <c r="P822" s="114" t="str">
        <f>IF(Main[[#This Row],[Tech Start Date]]&lt;1/1/1990,"",IF(Main[[#This Row],[Class]]="C",WORKDAY(Main[[#This Row],[Tech Start Date]],28),IF(Main[[#This Row],[Class]]="B", WORKDAY(Main[[#This Row],[Tech Start Date]],19),IF(Main[[#This Row],[Class]]="A",WORKDAY(Main[[#This Row],[Tech Start Date]],9),""))))</f>
        <v/>
      </c>
      <c r="Q822" s="129">
        <v>40357</v>
      </c>
      <c r="R822" s="129"/>
      <c r="S822" s="139" t="s">
        <v>11</v>
      </c>
      <c r="T822" s="115" t="s">
        <v>4</v>
      </c>
      <c r="U822" s="139" t="s">
        <v>12</v>
      </c>
      <c r="V822" s="139" t="s">
        <v>1914</v>
      </c>
      <c r="W822" s="139" t="s">
        <v>1922</v>
      </c>
      <c r="X822" s="139" t="s">
        <v>2833</v>
      </c>
      <c r="Y822" s="112" t="s">
        <v>4</v>
      </c>
      <c r="Z822" s="112" t="s">
        <v>4</v>
      </c>
      <c r="AA822" s="139" t="s">
        <v>2833</v>
      </c>
    </row>
    <row r="823" spans="1:27" ht="17.25" customHeight="1">
      <c r="A823" s="69" t="str">
        <f>IF(priority(Main[[#This Row],[Comments]])&lt;&gt;0, priority(Main[[#This Row],[Comments]]),"")</f>
        <v/>
      </c>
      <c r="B823" s="63" t="s">
        <v>2226</v>
      </c>
      <c r="C823" s="148" t="s">
        <v>4</v>
      </c>
      <c r="D823" s="113" t="s">
        <v>2227</v>
      </c>
      <c r="E823" s="129">
        <v>40802.257071759261</v>
      </c>
      <c r="F823" s="129"/>
      <c r="G823" s="69" t="str">
        <f>IF(stdProdLT(Main[[#This Row],[Comments]])=0.1,"N/A",IF(stdProdLT(Main[[#This Row],[Comments]])=0,"",stdProdLT(Main[[#This Row],[Comments]])))</f>
        <v/>
      </c>
      <c r="H823" s="138" t="str">
        <f>IF(Main[[#This Row],[In Stock Date]]="N/A", "N/A",IF(AND(Main[[#This Row],[In Stock Date]]&lt;&gt;"",Main[[#This Row],[Revised Due Date]]&lt;&gt;"",Main[[#This Row],[In Stock Date]]&lt;&gt;""),Main[[#This Row],[In Stock Date]]-Main[[#This Row],[Revised Due Date]],""))</f>
        <v/>
      </c>
      <c r="I823" s="139" t="s">
        <v>4</v>
      </c>
      <c r="J823" s="139" t="s">
        <v>4</v>
      </c>
      <c r="K823" s="140" t="s">
        <v>4</v>
      </c>
      <c r="L823" s="129"/>
      <c r="M823" s="114" t="str">
        <f>IF(Main[[#This Row],[Tech Start Date]]&lt;1/1/1990,"",IF(Main[[#This Row],[Class]]="C",WORKDAY(Main[[#This Row],[Tech Start Date]],9),IF(Main[[#This Row],[Class]]="B", WORKDAY(Main[[#This Row],[Tech Start Date]],6),IF(Main[[#This Row],[Class]]="A",WORKDAY(Main[[#This Row],[Tech Start Date]],2),""))))</f>
        <v/>
      </c>
      <c r="N823" s="114" t="str">
        <f>IF(Main[[#This Row],[Tech Start Date]]&lt;1/1/1990,"",IF(Main[[#This Row],[Class]]="C",WORKDAY(Main[[#This Row],[Tech Start Date]],19),IF(Main[[#This Row],[Class]]="B", WORKDAY(Main[[#This Row],[Tech Start Date]],12),IF(Main[[#This Row],[Class]]="A",WORKDAY(Main[[#This Row],[Tech Start Date]],4),""))))</f>
        <v/>
      </c>
      <c r="O823" s="114" t="str">
        <f>IF(Main[[#This Row],[Tech Start Date]]&lt;1/1/1990,"",IF(Main[[#This Row],[Class]]="C",WORKDAY(Main[[#This Row],[Tech Start Date]],23),IF(Main[[#This Row],[Class]]="B", WORKDAY(Main[[#This Row],[Tech Start Date]],15),IF(Main[[#This Row],[Class]]="A",WORKDAY(Main[[#This Row],[Tech Start Date]],5),""))))</f>
        <v/>
      </c>
      <c r="P823" s="114" t="str">
        <f>IF(Main[[#This Row],[Tech Start Date]]&lt;1/1/1990,"",IF(Main[[#This Row],[Class]]="C",WORKDAY(Main[[#This Row],[Tech Start Date]],28),IF(Main[[#This Row],[Class]]="B", WORKDAY(Main[[#This Row],[Tech Start Date]],19),IF(Main[[#This Row],[Class]]="A",WORKDAY(Main[[#This Row],[Tech Start Date]],9),""))))</f>
        <v/>
      </c>
      <c r="Q823" s="129">
        <v>40816</v>
      </c>
      <c r="R823" s="129"/>
      <c r="S823" s="139" t="s">
        <v>6</v>
      </c>
      <c r="T823" s="115" t="s">
        <v>4</v>
      </c>
      <c r="U823" s="139" t="s">
        <v>7</v>
      </c>
      <c r="V823" s="139" t="s">
        <v>1914</v>
      </c>
      <c r="W823" s="139" t="s">
        <v>1922</v>
      </c>
      <c r="X823" s="139" t="s">
        <v>2821</v>
      </c>
      <c r="Y823" s="112" t="s">
        <v>2936</v>
      </c>
      <c r="Z823" s="112" t="s">
        <v>4</v>
      </c>
      <c r="AA823" s="139" t="s">
        <v>2821</v>
      </c>
    </row>
    <row r="824" spans="1:27" ht="17.25" customHeight="1">
      <c r="A824" s="69" t="str">
        <f>IF(priority(Main[[#This Row],[Comments]])&lt;&gt;0, priority(Main[[#This Row],[Comments]]),"")</f>
        <v/>
      </c>
      <c r="B824" s="63" t="s">
        <v>1626</v>
      </c>
      <c r="C824" s="148" t="s">
        <v>347</v>
      </c>
      <c r="D824" s="113" t="s">
        <v>701</v>
      </c>
      <c r="E824" s="129"/>
      <c r="F824" s="129">
        <v>40664</v>
      </c>
      <c r="G824" s="69" t="str">
        <f>IF(stdProdLT(Main[[#This Row],[Comments]])=0.1,"N/A",IF(stdProdLT(Main[[#This Row],[Comments]])=0,"",stdProdLT(Main[[#This Row],[Comments]])))</f>
        <v/>
      </c>
      <c r="H824" s="138" t="str">
        <f>IF(Main[[#This Row],[In Stock Date]]="N/A", "N/A",IF(AND(Main[[#This Row],[In Stock Date]]&lt;&gt;"",Main[[#This Row],[Revised Due Date]]&lt;&gt;"",Main[[#This Row],[In Stock Date]]&lt;&gt;""),Main[[#This Row],[In Stock Date]]-Main[[#This Row],[Revised Due Date]],""))</f>
        <v/>
      </c>
      <c r="I824" s="139" t="s">
        <v>399</v>
      </c>
      <c r="J824" s="139" t="s">
        <v>75</v>
      </c>
      <c r="K824" s="139" t="s">
        <v>1921</v>
      </c>
      <c r="L824" s="129"/>
      <c r="M824" s="114" t="str">
        <f>IF(Main[[#This Row],[Tech Start Date]]&lt;1/1/1990,"",IF(Main[[#This Row],[Class]]="C",WORKDAY(Main[[#This Row],[Tech Start Date]],9),IF(Main[[#This Row],[Class]]="B", WORKDAY(Main[[#This Row],[Tech Start Date]],6),IF(Main[[#This Row],[Class]]="A",WORKDAY(Main[[#This Row],[Tech Start Date]],2),""))))</f>
        <v/>
      </c>
      <c r="N824" s="114" t="str">
        <f>IF(Main[[#This Row],[Tech Start Date]]&lt;1/1/1990,"",IF(Main[[#This Row],[Class]]="C",WORKDAY(Main[[#This Row],[Tech Start Date]],19),IF(Main[[#This Row],[Class]]="B", WORKDAY(Main[[#This Row],[Tech Start Date]],12),IF(Main[[#This Row],[Class]]="A",WORKDAY(Main[[#This Row],[Tech Start Date]],4),""))))</f>
        <v/>
      </c>
      <c r="O824" s="114" t="str">
        <f>IF(Main[[#This Row],[Tech Start Date]]&lt;1/1/1990,"",IF(Main[[#This Row],[Class]]="C",WORKDAY(Main[[#This Row],[Tech Start Date]],23),IF(Main[[#This Row],[Class]]="B", WORKDAY(Main[[#This Row],[Tech Start Date]],15),IF(Main[[#This Row],[Class]]="A",WORKDAY(Main[[#This Row],[Tech Start Date]],5),""))))</f>
        <v/>
      </c>
      <c r="P824" s="114" t="str">
        <f>IF(Main[[#This Row],[Tech Start Date]]&lt;1/1/1990,"",IF(Main[[#This Row],[Class]]="C",WORKDAY(Main[[#This Row],[Tech Start Date]],28),IF(Main[[#This Row],[Class]]="B", WORKDAY(Main[[#This Row],[Tech Start Date]],19),IF(Main[[#This Row],[Class]]="A",WORKDAY(Main[[#This Row],[Tech Start Date]],9),""))))</f>
        <v/>
      </c>
      <c r="Q824" s="129"/>
      <c r="R824" s="129"/>
      <c r="S824" s="139" t="s">
        <v>11</v>
      </c>
      <c r="T824" s="115" t="s">
        <v>4</v>
      </c>
      <c r="U824" s="139" t="s">
        <v>14</v>
      </c>
      <c r="V824" s="139" t="s">
        <v>1917</v>
      </c>
      <c r="W824" s="139" t="s">
        <v>1920</v>
      </c>
      <c r="X824" s="139" t="s">
        <v>50</v>
      </c>
      <c r="Y824" s="112" t="s">
        <v>3093</v>
      </c>
      <c r="Z824" s="112" t="s">
        <v>306</v>
      </c>
      <c r="AA824" s="139" t="s">
        <v>2872</v>
      </c>
    </row>
    <row r="825" spans="1:27" ht="17.25" customHeight="1">
      <c r="A825" s="69" t="str">
        <f>IF(priority(Main[[#This Row],[Comments]])&lt;&gt;0, priority(Main[[#This Row],[Comments]]),"")</f>
        <v/>
      </c>
      <c r="B825" s="63" t="s">
        <v>1627</v>
      </c>
      <c r="C825" s="148" t="s">
        <v>4</v>
      </c>
      <c r="D825" s="113" t="s">
        <v>97</v>
      </c>
      <c r="E825" s="129"/>
      <c r="F825" s="129"/>
      <c r="G825" s="69" t="str">
        <f>IF(stdProdLT(Main[[#This Row],[Comments]])=0.1,"N/A",IF(stdProdLT(Main[[#This Row],[Comments]])=0,"",stdProdLT(Main[[#This Row],[Comments]])))</f>
        <v/>
      </c>
      <c r="H825" s="138" t="str">
        <f>IF(Main[[#This Row],[In Stock Date]]="N/A", "N/A",IF(AND(Main[[#This Row],[In Stock Date]]&lt;&gt;"",Main[[#This Row],[Revised Due Date]]&lt;&gt;"",Main[[#This Row],[In Stock Date]]&lt;&gt;""),Main[[#This Row],[In Stock Date]]-Main[[#This Row],[Revised Due Date]],""))</f>
        <v/>
      </c>
      <c r="I825" s="139" t="s">
        <v>4</v>
      </c>
      <c r="J825" s="139" t="s">
        <v>4</v>
      </c>
      <c r="K825" s="139" t="s">
        <v>4</v>
      </c>
      <c r="L825" s="129"/>
      <c r="M825" s="114" t="str">
        <f>IF(Main[[#This Row],[Tech Start Date]]&lt;1/1/1990,"",IF(Main[[#This Row],[Class]]="C",WORKDAY(Main[[#This Row],[Tech Start Date]],9),IF(Main[[#This Row],[Class]]="B", WORKDAY(Main[[#This Row],[Tech Start Date]],6),IF(Main[[#This Row],[Class]]="A",WORKDAY(Main[[#This Row],[Tech Start Date]],2),""))))</f>
        <v/>
      </c>
      <c r="N825" s="114" t="str">
        <f>IF(Main[[#This Row],[Tech Start Date]]&lt;1/1/1990,"",IF(Main[[#This Row],[Class]]="C",WORKDAY(Main[[#This Row],[Tech Start Date]],19),IF(Main[[#This Row],[Class]]="B", WORKDAY(Main[[#This Row],[Tech Start Date]],12),IF(Main[[#This Row],[Class]]="A",WORKDAY(Main[[#This Row],[Tech Start Date]],4),""))))</f>
        <v/>
      </c>
      <c r="O825" s="114" t="str">
        <f>IF(Main[[#This Row],[Tech Start Date]]&lt;1/1/1990,"",IF(Main[[#This Row],[Class]]="C",WORKDAY(Main[[#This Row],[Tech Start Date]],23),IF(Main[[#This Row],[Class]]="B", WORKDAY(Main[[#This Row],[Tech Start Date]],15),IF(Main[[#This Row],[Class]]="A",WORKDAY(Main[[#This Row],[Tech Start Date]],5),""))))</f>
        <v/>
      </c>
      <c r="P825" s="114" t="str">
        <f>IF(Main[[#This Row],[Tech Start Date]]&lt;1/1/1990,"",IF(Main[[#This Row],[Class]]="C",WORKDAY(Main[[#This Row],[Tech Start Date]],28),IF(Main[[#This Row],[Class]]="B", WORKDAY(Main[[#This Row],[Tech Start Date]],19),IF(Main[[#This Row],[Class]]="A",WORKDAY(Main[[#This Row],[Tech Start Date]],9),""))))</f>
        <v/>
      </c>
      <c r="Q825" s="129">
        <v>40858</v>
      </c>
      <c r="R825" s="129"/>
      <c r="S825" s="139" t="s">
        <v>17</v>
      </c>
      <c r="T825" s="115" t="s">
        <v>4</v>
      </c>
      <c r="U825" s="139" t="s">
        <v>14</v>
      </c>
      <c r="V825" s="139" t="s">
        <v>1914</v>
      </c>
      <c r="W825" s="139" t="s">
        <v>1919</v>
      </c>
      <c r="X825" s="139" t="s">
        <v>50</v>
      </c>
      <c r="Y825" s="112" t="s">
        <v>2959</v>
      </c>
      <c r="Z825" s="112" t="s">
        <v>4</v>
      </c>
      <c r="AA825" s="139" t="s">
        <v>2828</v>
      </c>
    </row>
    <row r="826" spans="1:27" ht="17.25" customHeight="1">
      <c r="A826" s="69" t="str">
        <f>IF(priority(Main[[#This Row],[Comments]])&lt;&gt;0, priority(Main[[#This Row],[Comments]]),"")</f>
        <v/>
      </c>
      <c r="B826" s="63" t="s">
        <v>1628</v>
      </c>
      <c r="C826" s="148" t="s">
        <v>4</v>
      </c>
      <c r="D826" s="113" t="s">
        <v>97</v>
      </c>
      <c r="E826" s="129"/>
      <c r="F826" s="129"/>
      <c r="G826" s="69" t="str">
        <f>IF(stdProdLT(Main[[#This Row],[Comments]])=0.1,"N/A",IF(stdProdLT(Main[[#This Row],[Comments]])=0,"",stdProdLT(Main[[#This Row],[Comments]])))</f>
        <v/>
      </c>
      <c r="H826" s="138" t="str">
        <f>IF(Main[[#This Row],[In Stock Date]]="N/A", "N/A",IF(AND(Main[[#This Row],[In Stock Date]]&lt;&gt;"",Main[[#This Row],[Revised Due Date]]&lt;&gt;"",Main[[#This Row],[In Stock Date]]&lt;&gt;""),Main[[#This Row],[In Stock Date]]-Main[[#This Row],[Revised Due Date]],""))</f>
        <v/>
      </c>
      <c r="I826" s="139" t="s">
        <v>4</v>
      </c>
      <c r="J826" s="139" t="s">
        <v>4</v>
      </c>
      <c r="K826" s="139" t="s">
        <v>4</v>
      </c>
      <c r="L826" s="129"/>
      <c r="M826" s="114" t="str">
        <f>IF(Main[[#This Row],[Tech Start Date]]&lt;1/1/1990,"",IF(Main[[#This Row],[Class]]="C",WORKDAY(Main[[#This Row],[Tech Start Date]],9),IF(Main[[#This Row],[Class]]="B", WORKDAY(Main[[#This Row],[Tech Start Date]],6),IF(Main[[#This Row],[Class]]="A",WORKDAY(Main[[#This Row],[Tech Start Date]],2),""))))</f>
        <v/>
      </c>
      <c r="N826" s="114" t="str">
        <f>IF(Main[[#This Row],[Tech Start Date]]&lt;1/1/1990,"",IF(Main[[#This Row],[Class]]="C",WORKDAY(Main[[#This Row],[Tech Start Date]],19),IF(Main[[#This Row],[Class]]="B", WORKDAY(Main[[#This Row],[Tech Start Date]],12),IF(Main[[#This Row],[Class]]="A",WORKDAY(Main[[#This Row],[Tech Start Date]],4),""))))</f>
        <v/>
      </c>
      <c r="O826" s="114" t="str">
        <f>IF(Main[[#This Row],[Tech Start Date]]&lt;1/1/1990,"",IF(Main[[#This Row],[Class]]="C",WORKDAY(Main[[#This Row],[Tech Start Date]],23),IF(Main[[#This Row],[Class]]="B", WORKDAY(Main[[#This Row],[Tech Start Date]],15),IF(Main[[#This Row],[Class]]="A",WORKDAY(Main[[#This Row],[Tech Start Date]],5),""))))</f>
        <v/>
      </c>
      <c r="P826" s="114" t="str">
        <f>IF(Main[[#This Row],[Tech Start Date]]&lt;1/1/1990,"",IF(Main[[#This Row],[Class]]="C",WORKDAY(Main[[#This Row],[Tech Start Date]],28),IF(Main[[#This Row],[Class]]="B", WORKDAY(Main[[#This Row],[Tech Start Date]],19),IF(Main[[#This Row],[Class]]="A",WORKDAY(Main[[#This Row],[Tech Start Date]],9),""))))</f>
        <v/>
      </c>
      <c r="Q826" s="129">
        <v>40858</v>
      </c>
      <c r="R826" s="129"/>
      <c r="S826" s="139" t="s">
        <v>17</v>
      </c>
      <c r="T826" s="115" t="s">
        <v>4</v>
      </c>
      <c r="U826" s="139" t="s">
        <v>12</v>
      </c>
      <c r="V826" s="139" t="s">
        <v>1914</v>
      </c>
      <c r="W826" s="139" t="s">
        <v>1919</v>
      </c>
      <c r="X826" s="139" t="s">
        <v>50</v>
      </c>
      <c r="Y826" s="112" t="s">
        <v>2959</v>
      </c>
      <c r="Z826" s="112" t="s">
        <v>4</v>
      </c>
      <c r="AA826" s="139" t="s">
        <v>2828</v>
      </c>
    </row>
    <row r="827" spans="1:27" ht="17.25" customHeight="1">
      <c r="A827" s="69" t="str">
        <f>IF(priority(Main[[#This Row],[Comments]])&lt;&gt;0, priority(Main[[#This Row],[Comments]]),"")</f>
        <v/>
      </c>
      <c r="B827" s="63" t="s">
        <v>1629</v>
      </c>
      <c r="C827" s="148" t="s">
        <v>4</v>
      </c>
      <c r="D827" s="113" t="s">
        <v>702</v>
      </c>
      <c r="E827" s="129">
        <v>40455.919641203705</v>
      </c>
      <c r="F827" s="129"/>
      <c r="G827" s="69" t="str">
        <f>IF(stdProdLT(Main[[#This Row],[Comments]])=0.1,"N/A",IF(stdProdLT(Main[[#This Row],[Comments]])=0,"",stdProdLT(Main[[#This Row],[Comments]])))</f>
        <v/>
      </c>
      <c r="H827" s="138" t="str">
        <f>IF(Main[[#This Row],[In Stock Date]]="N/A", "N/A",IF(AND(Main[[#This Row],[In Stock Date]]&lt;&gt;"",Main[[#This Row],[Revised Due Date]]&lt;&gt;"",Main[[#This Row],[In Stock Date]]&lt;&gt;""),Main[[#This Row],[In Stock Date]]-Main[[#This Row],[Revised Due Date]],""))</f>
        <v/>
      </c>
      <c r="I827" s="139" t="s">
        <v>4</v>
      </c>
      <c r="J827" s="139" t="s">
        <v>28</v>
      </c>
      <c r="K827" s="139" t="s">
        <v>1926</v>
      </c>
      <c r="L827" s="129"/>
      <c r="M827" s="114" t="str">
        <f>IF(Main[[#This Row],[Tech Start Date]]&lt;1/1/1990,"",IF(Main[[#This Row],[Class]]="C",WORKDAY(Main[[#This Row],[Tech Start Date]],9),IF(Main[[#This Row],[Class]]="B", WORKDAY(Main[[#This Row],[Tech Start Date]],6),IF(Main[[#This Row],[Class]]="A",WORKDAY(Main[[#This Row],[Tech Start Date]],2),""))))</f>
        <v/>
      </c>
      <c r="N827" s="114" t="str">
        <f>IF(Main[[#This Row],[Tech Start Date]]&lt;1/1/1990,"",IF(Main[[#This Row],[Class]]="C",WORKDAY(Main[[#This Row],[Tech Start Date]],19),IF(Main[[#This Row],[Class]]="B", WORKDAY(Main[[#This Row],[Tech Start Date]],12),IF(Main[[#This Row],[Class]]="A",WORKDAY(Main[[#This Row],[Tech Start Date]],4),""))))</f>
        <v/>
      </c>
      <c r="O827" s="114" t="str">
        <f>IF(Main[[#This Row],[Tech Start Date]]&lt;1/1/1990,"",IF(Main[[#This Row],[Class]]="C",WORKDAY(Main[[#This Row],[Tech Start Date]],23),IF(Main[[#This Row],[Class]]="B", WORKDAY(Main[[#This Row],[Tech Start Date]],15),IF(Main[[#This Row],[Class]]="A",WORKDAY(Main[[#This Row],[Tech Start Date]],5),""))))</f>
        <v/>
      </c>
      <c r="P827" s="114" t="str">
        <f>IF(Main[[#This Row],[Tech Start Date]]&lt;1/1/1990,"",IF(Main[[#This Row],[Class]]="C",WORKDAY(Main[[#This Row],[Tech Start Date]],28),IF(Main[[#This Row],[Class]]="B", WORKDAY(Main[[#This Row],[Tech Start Date]],19),IF(Main[[#This Row],[Class]]="A",WORKDAY(Main[[#This Row],[Tech Start Date]],9),""))))</f>
        <v/>
      </c>
      <c r="Q827" s="129">
        <v>40543</v>
      </c>
      <c r="R827" s="129"/>
      <c r="S827" s="139" t="s">
        <v>17</v>
      </c>
      <c r="T827" s="115" t="s">
        <v>4</v>
      </c>
      <c r="U827" s="139" t="s">
        <v>7</v>
      </c>
      <c r="V827" s="139" t="s">
        <v>1914</v>
      </c>
      <c r="W827" s="139" t="s">
        <v>1918</v>
      </c>
      <c r="X827" s="139" t="s">
        <v>129</v>
      </c>
      <c r="Y827" s="112" t="s">
        <v>2933</v>
      </c>
      <c r="Z827" s="112" t="s">
        <v>129</v>
      </c>
      <c r="AA827" s="139" t="s">
        <v>129</v>
      </c>
    </row>
    <row r="828" spans="1:27" ht="17.25" customHeight="1">
      <c r="A828" s="69" t="str">
        <f>IF(priority(Main[[#This Row],[Comments]])&lt;&gt;0, priority(Main[[#This Row],[Comments]]),"")</f>
        <v/>
      </c>
      <c r="B828" s="63" t="s">
        <v>1630</v>
      </c>
      <c r="C828" s="148" t="s">
        <v>4</v>
      </c>
      <c r="D828" s="113" t="s">
        <v>703</v>
      </c>
      <c r="E828" s="129">
        <v>40711.477789351855</v>
      </c>
      <c r="F828" s="129"/>
      <c r="G828" s="69" t="str">
        <f>IF(stdProdLT(Main[[#This Row],[Comments]])=0.1,"N/A",IF(stdProdLT(Main[[#This Row],[Comments]])=0,"",stdProdLT(Main[[#This Row],[Comments]])))</f>
        <v/>
      </c>
      <c r="H828" s="138" t="str">
        <f>IF(Main[[#This Row],[In Stock Date]]="N/A", "N/A",IF(AND(Main[[#This Row],[In Stock Date]]&lt;&gt;"",Main[[#This Row],[Revised Due Date]]&lt;&gt;"",Main[[#This Row],[In Stock Date]]&lt;&gt;""),Main[[#This Row],[In Stock Date]]-Main[[#This Row],[Revised Due Date]],""))</f>
        <v/>
      </c>
      <c r="I828" s="139" t="s">
        <v>4</v>
      </c>
      <c r="J828" s="139" t="s">
        <v>4</v>
      </c>
      <c r="K828" s="139" t="s">
        <v>4</v>
      </c>
      <c r="L828" s="129"/>
      <c r="M828" s="114" t="str">
        <f>IF(Main[[#This Row],[Tech Start Date]]&lt;1/1/1990,"",IF(Main[[#This Row],[Class]]="C",WORKDAY(Main[[#This Row],[Tech Start Date]],9),IF(Main[[#This Row],[Class]]="B", WORKDAY(Main[[#This Row],[Tech Start Date]],6),IF(Main[[#This Row],[Class]]="A",WORKDAY(Main[[#This Row],[Tech Start Date]],2),""))))</f>
        <v/>
      </c>
      <c r="N828" s="114" t="str">
        <f>IF(Main[[#This Row],[Tech Start Date]]&lt;1/1/1990,"",IF(Main[[#This Row],[Class]]="C",WORKDAY(Main[[#This Row],[Tech Start Date]],19),IF(Main[[#This Row],[Class]]="B", WORKDAY(Main[[#This Row],[Tech Start Date]],12),IF(Main[[#This Row],[Class]]="A",WORKDAY(Main[[#This Row],[Tech Start Date]],4),""))))</f>
        <v/>
      </c>
      <c r="O828" s="114" t="str">
        <f>IF(Main[[#This Row],[Tech Start Date]]&lt;1/1/1990,"",IF(Main[[#This Row],[Class]]="C",WORKDAY(Main[[#This Row],[Tech Start Date]],23),IF(Main[[#This Row],[Class]]="B", WORKDAY(Main[[#This Row],[Tech Start Date]],15),IF(Main[[#This Row],[Class]]="A",WORKDAY(Main[[#This Row],[Tech Start Date]],5),""))))</f>
        <v/>
      </c>
      <c r="P828" s="114" t="str">
        <f>IF(Main[[#This Row],[Tech Start Date]]&lt;1/1/1990,"",IF(Main[[#This Row],[Class]]="C",WORKDAY(Main[[#This Row],[Tech Start Date]],28),IF(Main[[#This Row],[Class]]="B", WORKDAY(Main[[#This Row],[Tech Start Date]],19),IF(Main[[#This Row],[Class]]="A",WORKDAY(Main[[#This Row],[Tech Start Date]],9),""))))</f>
        <v/>
      </c>
      <c r="Q828" s="129">
        <v>40753</v>
      </c>
      <c r="R828" s="129"/>
      <c r="S828" s="139" t="s">
        <v>6</v>
      </c>
      <c r="T828" s="115" t="s">
        <v>4</v>
      </c>
      <c r="U828" s="139" t="s">
        <v>7</v>
      </c>
      <c r="V828" s="139" t="s">
        <v>1914</v>
      </c>
      <c r="W828" s="139" t="s">
        <v>1922</v>
      </c>
      <c r="X828" s="139" t="s">
        <v>2821</v>
      </c>
      <c r="Y828" s="112" t="s">
        <v>2936</v>
      </c>
      <c r="Z828" s="112" t="s">
        <v>4</v>
      </c>
      <c r="AA828" s="139" t="s">
        <v>2821</v>
      </c>
    </row>
    <row r="829" spans="1:27" ht="17.25" customHeight="1">
      <c r="A829" s="69" t="str">
        <f>IF(priority(Main[[#This Row],[Comments]])&lt;&gt;0, priority(Main[[#This Row],[Comments]]),"")</f>
        <v/>
      </c>
      <c r="B829" s="63" t="s">
        <v>1632</v>
      </c>
      <c r="C829" s="148" t="s">
        <v>47</v>
      </c>
      <c r="D829" s="113" t="s">
        <v>705</v>
      </c>
      <c r="E829" s="129"/>
      <c r="F829" s="129"/>
      <c r="G829" s="69" t="str">
        <f>IF(stdProdLT(Main[[#This Row],[Comments]])=0.1,"N/A",IF(stdProdLT(Main[[#This Row],[Comments]])=0,"",stdProdLT(Main[[#This Row],[Comments]])))</f>
        <v/>
      </c>
      <c r="H829" s="138" t="str">
        <f>IF(Main[[#This Row],[In Stock Date]]="N/A", "N/A",IF(AND(Main[[#This Row],[In Stock Date]]&lt;&gt;"",Main[[#This Row],[Revised Due Date]]&lt;&gt;"",Main[[#This Row],[In Stock Date]]&lt;&gt;""),Main[[#This Row],[In Stock Date]]-Main[[#This Row],[Revised Due Date]],""))</f>
        <v/>
      </c>
      <c r="I829" s="139" t="s">
        <v>4</v>
      </c>
      <c r="J829" s="139" t="s">
        <v>4</v>
      </c>
      <c r="K829" s="139" t="s">
        <v>4</v>
      </c>
      <c r="L829" s="129"/>
      <c r="M829" s="114" t="str">
        <f>IF(Main[[#This Row],[Tech Start Date]]&lt;1/1/1990,"",IF(Main[[#This Row],[Class]]="C",WORKDAY(Main[[#This Row],[Tech Start Date]],9),IF(Main[[#This Row],[Class]]="B", WORKDAY(Main[[#This Row],[Tech Start Date]],6),IF(Main[[#This Row],[Class]]="A",WORKDAY(Main[[#This Row],[Tech Start Date]],2),""))))</f>
        <v/>
      </c>
      <c r="N829" s="114" t="str">
        <f>IF(Main[[#This Row],[Tech Start Date]]&lt;1/1/1990,"",IF(Main[[#This Row],[Class]]="C",WORKDAY(Main[[#This Row],[Tech Start Date]],19),IF(Main[[#This Row],[Class]]="B", WORKDAY(Main[[#This Row],[Tech Start Date]],12),IF(Main[[#This Row],[Class]]="A",WORKDAY(Main[[#This Row],[Tech Start Date]],4),""))))</f>
        <v/>
      </c>
      <c r="O829" s="114" t="str">
        <f>IF(Main[[#This Row],[Tech Start Date]]&lt;1/1/1990,"",IF(Main[[#This Row],[Class]]="C",WORKDAY(Main[[#This Row],[Tech Start Date]],23),IF(Main[[#This Row],[Class]]="B", WORKDAY(Main[[#This Row],[Tech Start Date]],15),IF(Main[[#This Row],[Class]]="A",WORKDAY(Main[[#This Row],[Tech Start Date]],5),""))))</f>
        <v/>
      </c>
      <c r="P829" s="114" t="str">
        <f>IF(Main[[#This Row],[Tech Start Date]]&lt;1/1/1990,"",IF(Main[[#This Row],[Class]]="C",WORKDAY(Main[[#This Row],[Tech Start Date]],28),IF(Main[[#This Row],[Class]]="B", WORKDAY(Main[[#This Row],[Tech Start Date]],19),IF(Main[[#This Row],[Class]]="A",WORKDAY(Main[[#This Row],[Tech Start Date]],9),""))))</f>
        <v/>
      </c>
      <c r="Q829" s="129"/>
      <c r="R829" s="129"/>
      <c r="S829" s="139" t="s">
        <v>49</v>
      </c>
      <c r="T829" s="115" t="s">
        <v>4</v>
      </c>
      <c r="U829" s="139" t="s">
        <v>14</v>
      </c>
      <c r="V829" s="139" t="s">
        <v>1917</v>
      </c>
      <c r="W829" s="139" t="s">
        <v>1918</v>
      </c>
      <c r="X829" s="139" t="s">
        <v>306</v>
      </c>
      <c r="Y829" s="112" t="s">
        <v>2941</v>
      </c>
      <c r="Z829" s="112" t="s">
        <v>4</v>
      </c>
      <c r="AA829" s="139" t="s">
        <v>3376</v>
      </c>
    </row>
    <row r="830" spans="1:27" ht="17.25" customHeight="1">
      <c r="A830" s="69" t="str">
        <f>IF(priority(Main[[#This Row],[Comments]])&lt;&gt;0, priority(Main[[#This Row],[Comments]]),"")</f>
        <v/>
      </c>
      <c r="B830" s="63" t="s">
        <v>1457</v>
      </c>
      <c r="C830" s="148" t="s">
        <v>4</v>
      </c>
      <c r="D830" s="113" t="s">
        <v>524</v>
      </c>
      <c r="E830" s="129">
        <v>40926.590763888889</v>
      </c>
      <c r="F830" s="129"/>
      <c r="G830" s="69" t="str">
        <f>IF(stdProdLT(Main[[#This Row],[Comments]])=0.1,"N/A",IF(stdProdLT(Main[[#This Row],[Comments]])=0,"",stdProdLT(Main[[#This Row],[Comments]])))</f>
        <v/>
      </c>
      <c r="H830" s="138" t="str">
        <f>IF(Main[[#This Row],[In Stock Date]]="N/A", "N/A",IF(AND(Main[[#This Row],[In Stock Date]]&lt;&gt;"",Main[[#This Row],[Revised Due Date]]&lt;&gt;"",Main[[#This Row],[In Stock Date]]&lt;&gt;""),Main[[#This Row],[In Stock Date]]-Main[[#This Row],[Revised Due Date]],""))</f>
        <v/>
      </c>
      <c r="I830" s="139" t="s">
        <v>530</v>
      </c>
      <c r="J830" s="139" t="s">
        <v>28</v>
      </c>
      <c r="K830" s="139" t="s">
        <v>1923</v>
      </c>
      <c r="L830" s="129"/>
      <c r="M830" s="114" t="str">
        <f>IF(Main[[#This Row],[Tech Start Date]]&lt;1/1/1990,"",IF(Main[[#This Row],[Class]]="C",WORKDAY(Main[[#This Row],[Tech Start Date]],9),IF(Main[[#This Row],[Class]]="B", WORKDAY(Main[[#This Row],[Tech Start Date]],6),IF(Main[[#This Row],[Class]]="A",WORKDAY(Main[[#This Row],[Tech Start Date]],2),""))))</f>
        <v/>
      </c>
      <c r="N830" s="114" t="str">
        <f>IF(Main[[#This Row],[Tech Start Date]]&lt;1/1/1990,"",IF(Main[[#This Row],[Class]]="C",WORKDAY(Main[[#This Row],[Tech Start Date]],19),IF(Main[[#This Row],[Class]]="B", WORKDAY(Main[[#This Row],[Tech Start Date]],12),IF(Main[[#This Row],[Class]]="A",WORKDAY(Main[[#This Row],[Tech Start Date]],4),""))))</f>
        <v/>
      </c>
      <c r="O830" s="114" t="str">
        <f>IF(Main[[#This Row],[Tech Start Date]]&lt;1/1/1990,"",IF(Main[[#This Row],[Class]]="C",WORKDAY(Main[[#This Row],[Tech Start Date]],23),IF(Main[[#This Row],[Class]]="B", WORKDAY(Main[[#This Row],[Tech Start Date]],15),IF(Main[[#This Row],[Class]]="A",WORKDAY(Main[[#This Row],[Tech Start Date]],5),""))))</f>
        <v/>
      </c>
      <c r="P830" s="114" t="str">
        <f>IF(Main[[#This Row],[Tech Start Date]]&lt;1/1/1990,"",IF(Main[[#This Row],[Class]]="C",WORKDAY(Main[[#This Row],[Tech Start Date]],28),IF(Main[[#This Row],[Class]]="B", WORKDAY(Main[[#This Row],[Tech Start Date]],19),IF(Main[[#This Row],[Class]]="A",WORKDAY(Main[[#This Row],[Tech Start Date]],9),""))))</f>
        <v/>
      </c>
      <c r="Q830" s="129"/>
      <c r="R830" s="129"/>
      <c r="S830" s="139" t="s">
        <v>6</v>
      </c>
      <c r="T830" s="115" t="s">
        <v>4</v>
      </c>
      <c r="U830" s="139" t="s">
        <v>29</v>
      </c>
      <c r="V830" s="139" t="s">
        <v>1917</v>
      </c>
      <c r="W830" s="139" t="s">
        <v>1918</v>
      </c>
      <c r="X830" s="139" t="s">
        <v>2819</v>
      </c>
      <c r="Y830" s="112" t="s">
        <v>2932</v>
      </c>
      <c r="Z830" s="112" t="s">
        <v>30</v>
      </c>
      <c r="AA830" s="139" t="s">
        <v>2819</v>
      </c>
    </row>
    <row r="831" spans="1:27" ht="17.25" customHeight="1">
      <c r="A831" s="69" t="str">
        <f>IF(priority(Main[[#This Row],[Comments]])&lt;&gt;0, priority(Main[[#This Row],[Comments]]),"")</f>
        <v/>
      </c>
      <c r="B831" s="63" t="s">
        <v>2047</v>
      </c>
      <c r="C831" s="148" t="s">
        <v>4</v>
      </c>
      <c r="D831" s="113" t="s">
        <v>2048</v>
      </c>
      <c r="E831" s="129">
        <v>40753.114606481482</v>
      </c>
      <c r="F831" s="129"/>
      <c r="G831" s="69" t="str">
        <f>IF(stdProdLT(Main[[#This Row],[Comments]])=0.1,"N/A",IF(stdProdLT(Main[[#This Row],[Comments]])=0,"",stdProdLT(Main[[#This Row],[Comments]])))</f>
        <v/>
      </c>
      <c r="H831" s="138" t="str">
        <f>IF(Main[[#This Row],[In Stock Date]]="N/A", "N/A",IF(AND(Main[[#This Row],[In Stock Date]]&lt;&gt;"",Main[[#This Row],[Revised Due Date]]&lt;&gt;"",Main[[#This Row],[In Stock Date]]&lt;&gt;""),Main[[#This Row],[In Stock Date]]-Main[[#This Row],[Revised Due Date]],""))</f>
        <v/>
      </c>
      <c r="I831" s="139" t="s">
        <v>4</v>
      </c>
      <c r="J831" s="139" t="s">
        <v>4</v>
      </c>
      <c r="K831" s="139" t="s">
        <v>4</v>
      </c>
      <c r="L831" s="129"/>
      <c r="M831" s="114" t="str">
        <f>IF(Main[[#This Row],[Tech Start Date]]&lt;1/1/1990,"",IF(Main[[#This Row],[Class]]="C",WORKDAY(Main[[#This Row],[Tech Start Date]],9),IF(Main[[#This Row],[Class]]="B", WORKDAY(Main[[#This Row],[Tech Start Date]],6),IF(Main[[#This Row],[Class]]="A",WORKDAY(Main[[#This Row],[Tech Start Date]],2),""))))</f>
        <v/>
      </c>
      <c r="N831" s="114" t="str">
        <f>IF(Main[[#This Row],[Tech Start Date]]&lt;1/1/1990,"",IF(Main[[#This Row],[Class]]="C",WORKDAY(Main[[#This Row],[Tech Start Date]],19),IF(Main[[#This Row],[Class]]="B", WORKDAY(Main[[#This Row],[Tech Start Date]],12),IF(Main[[#This Row],[Class]]="A",WORKDAY(Main[[#This Row],[Tech Start Date]],4),""))))</f>
        <v/>
      </c>
      <c r="O831" s="114" t="str">
        <f>IF(Main[[#This Row],[Tech Start Date]]&lt;1/1/1990,"",IF(Main[[#This Row],[Class]]="C",WORKDAY(Main[[#This Row],[Tech Start Date]],23),IF(Main[[#This Row],[Class]]="B", WORKDAY(Main[[#This Row],[Tech Start Date]],15),IF(Main[[#This Row],[Class]]="A",WORKDAY(Main[[#This Row],[Tech Start Date]],5),""))))</f>
        <v/>
      </c>
      <c r="P831" s="114" t="str">
        <f>IF(Main[[#This Row],[Tech Start Date]]&lt;1/1/1990,"",IF(Main[[#This Row],[Class]]="C",WORKDAY(Main[[#This Row],[Tech Start Date]],28),IF(Main[[#This Row],[Class]]="B", WORKDAY(Main[[#This Row],[Tech Start Date]],19),IF(Main[[#This Row],[Class]]="A",WORKDAY(Main[[#This Row],[Tech Start Date]],9),""))))</f>
        <v/>
      </c>
      <c r="Q831" s="129">
        <v>40786</v>
      </c>
      <c r="R831" s="129"/>
      <c r="S831" s="139" t="s">
        <v>6</v>
      </c>
      <c r="T831" s="115" t="s">
        <v>4</v>
      </c>
      <c r="U831" s="139" t="s">
        <v>7</v>
      </c>
      <c r="V831" s="139" t="s">
        <v>1914</v>
      </c>
      <c r="W831" s="139" t="s">
        <v>4</v>
      </c>
      <c r="X831" s="139" t="s">
        <v>2822</v>
      </c>
      <c r="Y831" s="112" t="s">
        <v>2938</v>
      </c>
      <c r="Z831" s="112" t="s">
        <v>4</v>
      </c>
      <c r="AA831" s="139" t="s">
        <v>2822</v>
      </c>
    </row>
    <row r="832" spans="1:27" ht="17.25" customHeight="1">
      <c r="A832" s="69" t="str">
        <f>IF(priority(Main[[#This Row],[Comments]])&lt;&gt;0, priority(Main[[#This Row],[Comments]]),"")</f>
        <v/>
      </c>
      <c r="B832" s="63" t="s">
        <v>1640</v>
      </c>
      <c r="C832" s="148" t="s">
        <v>4</v>
      </c>
      <c r="D832" s="113" t="s">
        <v>39</v>
      </c>
      <c r="E832" s="129"/>
      <c r="F832" s="129"/>
      <c r="G832" s="69" t="str">
        <f>IF(stdProdLT(Main[[#This Row],[Comments]])=0.1,"N/A",IF(stdProdLT(Main[[#This Row],[Comments]])=0,"",stdProdLT(Main[[#This Row],[Comments]])))</f>
        <v/>
      </c>
      <c r="H832" s="138" t="str">
        <f>IF(Main[[#This Row],[In Stock Date]]="N/A", "N/A",IF(AND(Main[[#This Row],[In Stock Date]]&lt;&gt;"",Main[[#This Row],[Revised Due Date]]&lt;&gt;"",Main[[#This Row],[In Stock Date]]&lt;&gt;""),Main[[#This Row],[In Stock Date]]-Main[[#This Row],[Revised Due Date]],""))</f>
        <v/>
      </c>
      <c r="I832" s="139" t="s">
        <v>4</v>
      </c>
      <c r="J832" s="139" t="s">
        <v>4</v>
      </c>
      <c r="K832" s="139" t="s">
        <v>4</v>
      </c>
      <c r="L832" s="129"/>
      <c r="M832" s="114" t="str">
        <f>IF(Main[[#This Row],[Tech Start Date]]&lt;1/1/1990,"",IF(Main[[#This Row],[Class]]="C",WORKDAY(Main[[#This Row],[Tech Start Date]],9),IF(Main[[#This Row],[Class]]="B", WORKDAY(Main[[#This Row],[Tech Start Date]],6),IF(Main[[#This Row],[Class]]="A",WORKDAY(Main[[#This Row],[Tech Start Date]],2),""))))</f>
        <v/>
      </c>
      <c r="N832" s="114" t="str">
        <f>IF(Main[[#This Row],[Tech Start Date]]&lt;1/1/1990,"",IF(Main[[#This Row],[Class]]="C",WORKDAY(Main[[#This Row],[Tech Start Date]],19),IF(Main[[#This Row],[Class]]="B", WORKDAY(Main[[#This Row],[Tech Start Date]],12),IF(Main[[#This Row],[Class]]="A",WORKDAY(Main[[#This Row],[Tech Start Date]],4),""))))</f>
        <v/>
      </c>
      <c r="O832" s="114" t="str">
        <f>IF(Main[[#This Row],[Tech Start Date]]&lt;1/1/1990,"",IF(Main[[#This Row],[Class]]="C",WORKDAY(Main[[#This Row],[Tech Start Date]],23),IF(Main[[#This Row],[Class]]="B", WORKDAY(Main[[#This Row],[Tech Start Date]],15),IF(Main[[#This Row],[Class]]="A",WORKDAY(Main[[#This Row],[Tech Start Date]],5),""))))</f>
        <v/>
      </c>
      <c r="P832" s="114" t="str">
        <f>IF(Main[[#This Row],[Tech Start Date]]&lt;1/1/1990,"",IF(Main[[#This Row],[Class]]="C",WORKDAY(Main[[#This Row],[Tech Start Date]],28),IF(Main[[#This Row],[Class]]="B", WORKDAY(Main[[#This Row],[Tech Start Date]],19),IF(Main[[#This Row],[Class]]="A",WORKDAY(Main[[#This Row],[Tech Start Date]],9),""))))</f>
        <v/>
      </c>
      <c r="Q832" s="129">
        <v>40669</v>
      </c>
      <c r="R832" s="129"/>
      <c r="S832" s="139" t="s">
        <v>6</v>
      </c>
      <c r="T832" s="115" t="s">
        <v>4</v>
      </c>
      <c r="U832" s="139" t="s">
        <v>14</v>
      </c>
      <c r="V832" s="139" t="s">
        <v>1917</v>
      </c>
      <c r="W832" s="139" t="s">
        <v>4</v>
      </c>
      <c r="X832" s="139" t="s">
        <v>2818</v>
      </c>
      <c r="Y832" s="112" t="s">
        <v>2929</v>
      </c>
      <c r="Z832" s="112" t="s">
        <v>4</v>
      </c>
      <c r="AA832" s="139" t="s">
        <v>2818</v>
      </c>
    </row>
    <row r="833" spans="1:27" ht="17.25" customHeight="1">
      <c r="A833" s="69" t="str">
        <f>IF(priority(Main[[#This Row],[Comments]])&lt;&gt;0, priority(Main[[#This Row],[Comments]]),"")</f>
        <v/>
      </c>
      <c r="B833" s="63" t="s">
        <v>1638</v>
      </c>
      <c r="C833" s="148" t="s">
        <v>67</v>
      </c>
      <c r="D833" s="113" t="s">
        <v>709</v>
      </c>
      <c r="E833" s="129"/>
      <c r="F833" s="129">
        <v>40751</v>
      </c>
      <c r="G833" s="69" t="str">
        <f>IF(stdProdLT(Main[[#This Row],[Comments]])=0.1,"N/A",IF(stdProdLT(Main[[#This Row],[Comments]])=0,"",stdProdLT(Main[[#This Row],[Comments]])))</f>
        <v/>
      </c>
      <c r="H833" s="138" t="str">
        <f>IF(Main[[#This Row],[In Stock Date]]="N/A", "N/A",IF(AND(Main[[#This Row],[In Stock Date]]&lt;&gt;"",Main[[#This Row],[Revised Due Date]]&lt;&gt;"",Main[[#This Row],[In Stock Date]]&lt;&gt;""),Main[[#This Row],[In Stock Date]]-Main[[#This Row],[Revised Due Date]],""))</f>
        <v/>
      </c>
      <c r="I833" s="139" t="s">
        <v>4</v>
      </c>
      <c r="J833" s="139" t="s">
        <v>28</v>
      </c>
      <c r="K833" s="139" t="s">
        <v>1926</v>
      </c>
      <c r="L833" s="129"/>
      <c r="M833" s="114" t="str">
        <f>IF(Main[[#This Row],[Tech Start Date]]&lt;1/1/1990,"",IF(Main[[#This Row],[Class]]="C",WORKDAY(Main[[#This Row],[Tech Start Date]],9),IF(Main[[#This Row],[Class]]="B", WORKDAY(Main[[#This Row],[Tech Start Date]],6),IF(Main[[#This Row],[Class]]="A",WORKDAY(Main[[#This Row],[Tech Start Date]],2),""))))</f>
        <v/>
      </c>
      <c r="N833" s="114" t="str">
        <f>IF(Main[[#This Row],[Tech Start Date]]&lt;1/1/1990,"",IF(Main[[#This Row],[Class]]="C",WORKDAY(Main[[#This Row],[Tech Start Date]],19),IF(Main[[#This Row],[Class]]="B", WORKDAY(Main[[#This Row],[Tech Start Date]],12),IF(Main[[#This Row],[Class]]="A",WORKDAY(Main[[#This Row],[Tech Start Date]],4),""))))</f>
        <v/>
      </c>
      <c r="O833" s="114" t="str">
        <f>IF(Main[[#This Row],[Tech Start Date]]&lt;1/1/1990,"",IF(Main[[#This Row],[Class]]="C",WORKDAY(Main[[#This Row],[Tech Start Date]],23),IF(Main[[#This Row],[Class]]="B", WORKDAY(Main[[#This Row],[Tech Start Date]],15),IF(Main[[#This Row],[Class]]="A",WORKDAY(Main[[#This Row],[Tech Start Date]],5),""))))</f>
        <v/>
      </c>
      <c r="P833" s="114" t="str">
        <f>IF(Main[[#This Row],[Tech Start Date]]&lt;1/1/1990,"",IF(Main[[#This Row],[Class]]="C",WORKDAY(Main[[#This Row],[Tech Start Date]],28),IF(Main[[#This Row],[Class]]="B", WORKDAY(Main[[#This Row],[Tech Start Date]],19),IF(Main[[#This Row],[Class]]="A",WORKDAY(Main[[#This Row],[Tech Start Date]],9),""))))</f>
        <v/>
      </c>
      <c r="Q833" s="129">
        <v>40581</v>
      </c>
      <c r="R833" s="129"/>
      <c r="S833" s="139" t="s">
        <v>17</v>
      </c>
      <c r="T833" s="115" t="s">
        <v>4</v>
      </c>
      <c r="U833" s="139" t="s">
        <v>14</v>
      </c>
      <c r="V833" s="139" t="s">
        <v>1917</v>
      </c>
      <c r="W833" s="139" t="s">
        <v>1920</v>
      </c>
      <c r="X833" s="139" t="s">
        <v>2829</v>
      </c>
      <c r="Y833" s="112" t="s">
        <v>2951</v>
      </c>
      <c r="Z833" s="112" t="s">
        <v>968</v>
      </c>
      <c r="AA833" s="139" t="s">
        <v>2829</v>
      </c>
    </row>
    <row r="834" spans="1:27" ht="17.25" customHeight="1">
      <c r="A834" s="69" t="str">
        <f>IF(priority(Main[[#This Row],[Comments]])&lt;&gt;0, priority(Main[[#This Row],[Comments]]),"")</f>
        <v/>
      </c>
      <c r="B834" s="63" t="s">
        <v>1991</v>
      </c>
      <c r="C834" s="148" t="s">
        <v>4</v>
      </c>
      <c r="D834" s="113" t="s">
        <v>1992</v>
      </c>
      <c r="E834" s="129">
        <v>40737.450219907405</v>
      </c>
      <c r="F834" s="129"/>
      <c r="G834" s="69" t="str">
        <f>IF(stdProdLT(Main[[#This Row],[Comments]])=0.1,"N/A",IF(stdProdLT(Main[[#This Row],[Comments]])=0,"",stdProdLT(Main[[#This Row],[Comments]])))</f>
        <v/>
      </c>
      <c r="H834" s="138" t="str">
        <f>IF(Main[[#This Row],[In Stock Date]]="N/A", "N/A",IF(AND(Main[[#This Row],[In Stock Date]]&lt;&gt;"",Main[[#This Row],[Revised Due Date]]&lt;&gt;"",Main[[#This Row],[In Stock Date]]&lt;&gt;""),Main[[#This Row],[In Stock Date]]-Main[[#This Row],[Revised Due Date]],""))</f>
        <v/>
      </c>
      <c r="I834" s="139" t="s">
        <v>4</v>
      </c>
      <c r="J834" s="139" t="s">
        <v>4</v>
      </c>
      <c r="K834" s="139" t="s">
        <v>4</v>
      </c>
      <c r="L834" s="129"/>
      <c r="M834" s="114" t="str">
        <f>IF(Main[[#This Row],[Tech Start Date]]&lt;1/1/1990,"",IF(Main[[#This Row],[Class]]="C",WORKDAY(Main[[#This Row],[Tech Start Date]],9),IF(Main[[#This Row],[Class]]="B", WORKDAY(Main[[#This Row],[Tech Start Date]],6),IF(Main[[#This Row],[Class]]="A",WORKDAY(Main[[#This Row],[Tech Start Date]],2),""))))</f>
        <v/>
      </c>
      <c r="N834" s="114" t="str">
        <f>IF(Main[[#This Row],[Tech Start Date]]&lt;1/1/1990,"",IF(Main[[#This Row],[Class]]="C",WORKDAY(Main[[#This Row],[Tech Start Date]],19),IF(Main[[#This Row],[Class]]="B", WORKDAY(Main[[#This Row],[Tech Start Date]],12),IF(Main[[#This Row],[Class]]="A",WORKDAY(Main[[#This Row],[Tech Start Date]],4),""))))</f>
        <v/>
      </c>
      <c r="O834" s="114" t="str">
        <f>IF(Main[[#This Row],[Tech Start Date]]&lt;1/1/1990,"",IF(Main[[#This Row],[Class]]="C",WORKDAY(Main[[#This Row],[Tech Start Date]],23),IF(Main[[#This Row],[Class]]="B", WORKDAY(Main[[#This Row],[Tech Start Date]],15),IF(Main[[#This Row],[Class]]="A",WORKDAY(Main[[#This Row],[Tech Start Date]],5),""))))</f>
        <v/>
      </c>
      <c r="P834" s="114" t="str">
        <f>IF(Main[[#This Row],[Tech Start Date]]&lt;1/1/1990,"",IF(Main[[#This Row],[Class]]="C",WORKDAY(Main[[#This Row],[Tech Start Date]],28),IF(Main[[#This Row],[Class]]="B", WORKDAY(Main[[#This Row],[Tech Start Date]],19),IF(Main[[#This Row],[Class]]="A",WORKDAY(Main[[#This Row],[Tech Start Date]],9),""))))</f>
        <v/>
      </c>
      <c r="Q834" s="129">
        <v>40759</v>
      </c>
      <c r="R834" s="129"/>
      <c r="S834" s="139" t="s">
        <v>6</v>
      </c>
      <c r="T834" s="115" t="s">
        <v>4</v>
      </c>
      <c r="U834" s="139" t="s">
        <v>7</v>
      </c>
      <c r="V834" s="139" t="s">
        <v>1914</v>
      </c>
      <c r="W834" s="139" t="s">
        <v>1922</v>
      </c>
      <c r="X834" s="139" t="s">
        <v>2821</v>
      </c>
      <c r="Y834" s="112" t="s">
        <v>2936</v>
      </c>
      <c r="Z834" s="112" t="s">
        <v>4</v>
      </c>
      <c r="AA834" s="139" t="s">
        <v>2821</v>
      </c>
    </row>
    <row r="835" spans="1:27" ht="17.25" customHeight="1">
      <c r="A835" s="69" t="str">
        <f>IF(priority(Main[[#This Row],[Comments]])&lt;&gt;0, priority(Main[[#This Row],[Comments]]),"")</f>
        <v/>
      </c>
      <c r="B835" s="63" t="s">
        <v>1437</v>
      </c>
      <c r="C835" s="148" t="s">
        <v>180</v>
      </c>
      <c r="D835" s="113" t="s">
        <v>515</v>
      </c>
      <c r="E835" s="129"/>
      <c r="F835" s="129">
        <v>40374</v>
      </c>
      <c r="G835" s="69" t="str">
        <f>IF(stdProdLT(Main[[#This Row],[Comments]])=0.1,"N/A",IF(stdProdLT(Main[[#This Row],[Comments]])=0,"",stdProdLT(Main[[#This Row],[Comments]])))</f>
        <v/>
      </c>
      <c r="H835" s="138" t="str">
        <f>IF(Main[[#This Row],[In Stock Date]]="N/A", "N/A",IF(AND(Main[[#This Row],[In Stock Date]]&lt;&gt;"",Main[[#This Row],[Revised Due Date]]&lt;&gt;"",Main[[#This Row],[In Stock Date]]&lt;&gt;""),Main[[#This Row],[In Stock Date]]-Main[[#This Row],[Revised Due Date]],""))</f>
        <v/>
      </c>
      <c r="I835" s="139" t="s">
        <v>4</v>
      </c>
      <c r="J835" s="139" t="s">
        <v>4</v>
      </c>
      <c r="K835" s="139" t="s">
        <v>4</v>
      </c>
      <c r="L835" s="129"/>
      <c r="M835" s="114" t="str">
        <f>IF(Main[[#This Row],[Tech Start Date]]&lt;1/1/1990,"",IF(Main[[#This Row],[Class]]="C",WORKDAY(Main[[#This Row],[Tech Start Date]],9),IF(Main[[#This Row],[Class]]="B", WORKDAY(Main[[#This Row],[Tech Start Date]],6),IF(Main[[#This Row],[Class]]="A",WORKDAY(Main[[#This Row],[Tech Start Date]],2),""))))</f>
        <v/>
      </c>
      <c r="N835" s="114" t="str">
        <f>IF(Main[[#This Row],[Tech Start Date]]&lt;1/1/1990,"",IF(Main[[#This Row],[Class]]="C",WORKDAY(Main[[#This Row],[Tech Start Date]],19),IF(Main[[#This Row],[Class]]="B", WORKDAY(Main[[#This Row],[Tech Start Date]],12),IF(Main[[#This Row],[Class]]="A",WORKDAY(Main[[#This Row],[Tech Start Date]],4),""))))</f>
        <v/>
      </c>
      <c r="O835" s="114" t="str">
        <f>IF(Main[[#This Row],[Tech Start Date]]&lt;1/1/1990,"",IF(Main[[#This Row],[Class]]="C",WORKDAY(Main[[#This Row],[Tech Start Date]],23),IF(Main[[#This Row],[Class]]="B", WORKDAY(Main[[#This Row],[Tech Start Date]],15),IF(Main[[#This Row],[Class]]="A",WORKDAY(Main[[#This Row],[Tech Start Date]],5),""))))</f>
        <v/>
      </c>
      <c r="P835" s="114" t="str">
        <f>IF(Main[[#This Row],[Tech Start Date]]&lt;1/1/1990,"",IF(Main[[#This Row],[Class]]="C",WORKDAY(Main[[#This Row],[Tech Start Date]],28),IF(Main[[#This Row],[Class]]="B", WORKDAY(Main[[#This Row],[Tech Start Date]],19),IF(Main[[#This Row],[Class]]="A",WORKDAY(Main[[#This Row],[Tech Start Date]],9),""))))</f>
        <v/>
      </c>
      <c r="Q835" s="129">
        <v>40298</v>
      </c>
      <c r="R835" s="129"/>
      <c r="S835" s="139" t="s">
        <v>11</v>
      </c>
      <c r="T835" s="115" t="s">
        <v>4</v>
      </c>
      <c r="U835" s="139" t="s">
        <v>14</v>
      </c>
      <c r="V835" s="139" t="s">
        <v>1914</v>
      </c>
      <c r="W835" s="139" t="s">
        <v>1920</v>
      </c>
      <c r="X835" s="139" t="s">
        <v>2824</v>
      </c>
      <c r="Y835" s="112" t="s">
        <v>2943</v>
      </c>
      <c r="Z835" s="112" t="s">
        <v>4</v>
      </c>
      <c r="AA835" s="139" t="s">
        <v>2824</v>
      </c>
    </row>
    <row r="836" spans="1:27" ht="17.25" customHeight="1">
      <c r="A836" s="69" t="str">
        <f>IF(priority(Main[[#This Row],[Comments]])&lt;&gt;0, priority(Main[[#This Row],[Comments]]),"")</f>
        <v/>
      </c>
      <c r="B836" s="63" t="s">
        <v>1641</v>
      </c>
      <c r="C836" s="148" t="s">
        <v>4</v>
      </c>
      <c r="D836" s="113" t="s">
        <v>710</v>
      </c>
      <c r="E836" s="129"/>
      <c r="F836" s="129"/>
      <c r="G836" s="69" t="str">
        <f>IF(stdProdLT(Main[[#This Row],[Comments]])=0.1,"N/A",IF(stdProdLT(Main[[#This Row],[Comments]])=0,"",stdProdLT(Main[[#This Row],[Comments]])))</f>
        <v/>
      </c>
      <c r="H836" s="138" t="str">
        <f>IF(Main[[#This Row],[In Stock Date]]="N/A", "N/A",IF(AND(Main[[#This Row],[In Stock Date]]&lt;&gt;"",Main[[#This Row],[Revised Due Date]]&lt;&gt;"",Main[[#This Row],[In Stock Date]]&lt;&gt;""),Main[[#This Row],[In Stock Date]]-Main[[#This Row],[Revised Due Date]],""))</f>
        <v/>
      </c>
      <c r="I836" s="139" t="s">
        <v>4</v>
      </c>
      <c r="J836" s="139" t="s">
        <v>28</v>
      </c>
      <c r="K836" s="139" t="s">
        <v>1923</v>
      </c>
      <c r="L836" s="129"/>
      <c r="M836" s="114" t="str">
        <f>IF(Main[[#This Row],[Tech Start Date]]&lt;1/1/1990,"",IF(Main[[#This Row],[Class]]="C",WORKDAY(Main[[#This Row],[Tech Start Date]],9),IF(Main[[#This Row],[Class]]="B", WORKDAY(Main[[#This Row],[Tech Start Date]],6),IF(Main[[#This Row],[Class]]="A",WORKDAY(Main[[#This Row],[Tech Start Date]],2),""))))</f>
        <v/>
      </c>
      <c r="N836" s="114" t="str">
        <f>IF(Main[[#This Row],[Tech Start Date]]&lt;1/1/1990,"",IF(Main[[#This Row],[Class]]="C",WORKDAY(Main[[#This Row],[Tech Start Date]],19),IF(Main[[#This Row],[Class]]="B", WORKDAY(Main[[#This Row],[Tech Start Date]],12),IF(Main[[#This Row],[Class]]="A",WORKDAY(Main[[#This Row],[Tech Start Date]],4),""))))</f>
        <v/>
      </c>
      <c r="O836" s="114" t="str">
        <f>IF(Main[[#This Row],[Tech Start Date]]&lt;1/1/1990,"",IF(Main[[#This Row],[Class]]="C",WORKDAY(Main[[#This Row],[Tech Start Date]],23),IF(Main[[#This Row],[Class]]="B", WORKDAY(Main[[#This Row],[Tech Start Date]],15),IF(Main[[#This Row],[Class]]="A",WORKDAY(Main[[#This Row],[Tech Start Date]],5),""))))</f>
        <v/>
      </c>
      <c r="P836" s="114" t="str">
        <f>IF(Main[[#This Row],[Tech Start Date]]&lt;1/1/1990,"",IF(Main[[#This Row],[Class]]="C",WORKDAY(Main[[#This Row],[Tech Start Date]],28),IF(Main[[#This Row],[Class]]="B", WORKDAY(Main[[#This Row],[Tech Start Date]],19),IF(Main[[#This Row],[Class]]="A",WORKDAY(Main[[#This Row],[Tech Start Date]],9),""))))</f>
        <v/>
      </c>
      <c r="Q836" s="129">
        <v>40647</v>
      </c>
      <c r="R836" s="129"/>
      <c r="S836" s="139" t="s">
        <v>6</v>
      </c>
      <c r="T836" s="115" t="s">
        <v>4</v>
      </c>
      <c r="U836" s="139" t="s">
        <v>14</v>
      </c>
      <c r="V836" s="139" t="s">
        <v>1914</v>
      </c>
      <c r="W836" s="139" t="s">
        <v>1918</v>
      </c>
      <c r="X836" s="139" t="s">
        <v>2821</v>
      </c>
      <c r="Y836" s="112" t="s">
        <v>2936</v>
      </c>
      <c r="Z836" s="112" t="s">
        <v>129</v>
      </c>
      <c r="AA836" s="139" t="s">
        <v>2821</v>
      </c>
    </row>
    <row r="837" spans="1:27" ht="17.25" customHeight="1">
      <c r="A837" s="69" t="str">
        <f>IF(priority(Main[[#This Row],[Comments]])&lt;&gt;0, priority(Main[[#This Row],[Comments]]),"")</f>
        <v/>
      </c>
      <c r="B837" s="63" t="s">
        <v>3255</v>
      </c>
      <c r="C837" s="148" t="s">
        <v>4</v>
      </c>
      <c r="D837" s="113" t="s">
        <v>3332</v>
      </c>
      <c r="E837" s="129">
        <v>40931.598935185182</v>
      </c>
      <c r="F837" s="129"/>
      <c r="G837" s="69" t="str">
        <f>IF(stdProdLT(Main[[#This Row],[Comments]])=0.1,"N/A",IF(stdProdLT(Main[[#This Row],[Comments]])=0,"",stdProdLT(Main[[#This Row],[Comments]])))</f>
        <v/>
      </c>
      <c r="H837" s="138" t="str">
        <f>IF(Main[[#This Row],[In Stock Date]]="N/A", "N/A",IF(AND(Main[[#This Row],[In Stock Date]]&lt;&gt;"",Main[[#This Row],[Revised Due Date]]&lt;&gt;"",Main[[#This Row],[In Stock Date]]&lt;&gt;""),Main[[#This Row],[In Stock Date]]-Main[[#This Row],[Revised Due Date]],""))</f>
        <v/>
      </c>
      <c r="I837" s="139" t="s">
        <v>4</v>
      </c>
      <c r="J837" s="139" t="s">
        <v>4</v>
      </c>
      <c r="K837" s="139" t="s">
        <v>4</v>
      </c>
      <c r="L837" s="129"/>
      <c r="M837" s="114" t="str">
        <f>IF(Main[[#This Row],[Tech Start Date]]&lt;1/1/1990,"",IF(Main[[#This Row],[Class]]="C",WORKDAY(Main[[#This Row],[Tech Start Date]],9),IF(Main[[#This Row],[Class]]="B", WORKDAY(Main[[#This Row],[Tech Start Date]],6),IF(Main[[#This Row],[Class]]="A",WORKDAY(Main[[#This Row],[Tech Start Date]],2),""))))</f>
        <v/>
      </c>
      <c r="N837" s="114" t="str">
        <f>IF(Main[[#This Row],[Tech Start Date]]&lt;1/1/1990,"",IF(Main[[#This Row],[Class]]="C",WORKDAY(Main[[#This Row],[Tech Start Date]],19),IF(Main[[#This Row],[Class]]="B", WORKDAY(Main[[#This Row],[Tech Start Date]],12),IF(Main[[#This Row],[Class]]="A",WORKDAY(Main[[#This Row],[Tech Start Date]],4),""))))</f>
        <v/>
      </c>
      <c r="O837" s="114" t="str">
        <f>IF(Main[[#This Row],[Tech Start Date]]&lt;1/1/1990,"",IF(Main[[#This Row],[Class]]="C",WORKDAY(Main[[#This Row],[Tech Start Date]],23),IF(Main[[#This Row],[Class]]="B", WORKDAY(Main[[#This Row],[Tech Start Date]],15),IF(Main[[#This Row],[Class]]="A",WORKDAY(Main[[#This Row],[Tech Start Date]],5),""))))</f>
        <v/>
      </c>
      <c r="P837" s="114" t="str">
        <f>IF(Main[[#This Row],[Tech Start Date]]&lt;1/1/1990,"",IF(Main[[#This Row],[Class]]="C",WORKDAY(Main[[#This Row],[Tech Start Date]],28),IF(Main[[#This Row],[Class]]="B", WORKDAY(Main[[#This Row],[Tech Start Date]],19),IF(Main[[#This Row],[Class]]="A",WORKDAY(Main[[#This Row],[Tech Start Date]],9),""))))</f>
        <v/>
      </c>
      <c r="Q837" s="129"/>
      <c r="R837" s="129"/>
      <c r="S837" s="139" t="s">
        <v>17</v>
      </c>
      <c r="T837" s="115" t="s">
        <v>4</v>
      </c>
      <c r="U837" s="139" t="s">
        <v>29</v>
      </c>
      <c r="V837" s="139" t="s">
        <v>1917</v>
      </c>
      <c r="W837" s="139" t="s">
        <v>1919</v>
      </c>
      <c r="X837" s="139" t="s">
        <v>1976</v>
      </c>
      <c r="Y837" s="112" t="s">
        <v>4</v>
      </c>
      <c r="Z837" s="112" t="s">
        <v>4</v>
      </c>
      <c r="AA837" s="139" t="s">
        <v>1976</v>
      </c>
    </row>
    <row r="838" spans="1:27" ht="17.25" customHeight="1">
      <c r="A838" s="69" t="str">
        <f>IF(priority(Main[[#This Row],[Comments]])&lt;&gt;0, priority(Main[[#This Row],[Comments]]),"")</f>
        <v/>
      </c>
      <c r="B838" s="63" t="s">
        <v>1642</v>
      </c>
      <c r="C838" s="148" t="s">
        <v>4</v>
      </c>
      <c r="D838" s="113" t="s">
        <v>711</v>
      </c>
      <c r="E838" s="129"/>
      <c r="F838" s="129"/>
      <c r="G838" s="69" t="str">
        <f>IF(stdProdLT(Main[[#This Row],[Comments]])=0.1,"N/A",IF(stdProdLT(Main[[#This Row],[Comments]])=0,"",stdProdLT(Main[[#This Row],[Comments]])))</f>
        <v/>
      </c>
      <c r="H838" s="138" t="str">
        <f>IF(Main[[#This Row],[In Stock Date]]="N/A", "N/A",IF(AND(Main[[#This Row],[In Stock Date]]&lt;&gt;"",Main[[#This Row],[Revised Due Date]]&lt;&gt;"",Main[[#This Row],[In Stock Date]]&lt;&gt;""),Main[[#This Row],[In Stock Date]]-Main[[#This Row],[Revised Due Date]],""))</f>
        <v/>
      </c>
      <c r="I838" s="139" t="s">
        <v>4</v>
      </c>
      <c r="J838" s="139" t="s">
        <v>4</v>
      </c>
      <c r="K838" s="139" t="s">
        <v>4</v>
      </c>
      <c r="L838" s="129"/>
      <c r="M838" s="114" t="str">
        <f>IF(Main[[#This Row],[Tech Start Date]]&lt;1/1/1990,"",IF(Main[[#This Row],[Class]]="C",WORKDAY(Main[[#This Row],[Tech Start Date]],9),IF(Main[[#This Row],[Class]]="B", WORKDAY(Main[[#This Row],[Tech Start Date]],6),IF(Main[[#This Row],[Class]]="A",WORKDAY(Main[[#This Row],[Tech Start Date]],2),""))))</f>
        <v/>
      </c>
      <c r="N838" s="114" t="str">
        <f>IF(Main[[#This Row],[Tech Start Date]]&lt;1/1/1990,"",IF(Main[[#This Row],[Class]]="C",WORKDAY(Main[[#This Row],[Tech Start Date]],19),IF(Main[[#This Row],[Class]]="B", WORKDAY(Main[[#This Row],[Tech Start Date]],12),IF(Main[[#This Row],[Class]]="A",WORKDAY(Main[[#This Row],[Tech Start Date]],4),""))))</f>
        <v/>
      </c>
      <c r="O838" s="114" t="str">
        <f>IF(Main[[#This Row],[Tech Start Date]]&lt;1/1/1990,"",IF(Main[[#This Row],[Class]]="C",WORKDAY(Main[[#This Row],[Tech Start Date]],23),IF(Main[[#This Row],[Class]]="B", WORKDAY(Main[[#This Row],[Tech Start Date]],15),IF(Main[[#This Row],[Class]]="A",WORKDAY(Main[[#This Row],[Tech Start Date]],5),""))))</f>
        <v/>
      </c>
      <c r="P838" s="114" t="str">
        <f>IF(Main[[#This Row],[Tech Start Date]]&lt;1/1/1990,"",IF(Main[[#This Row],[Class]]="C",WORKDAY(Main[[#This Row],[Tech Start Date]],28),IF(Main[[#This Row],[Class]]="B", WORKDAY(Main[[#This Row],[Tech Start Date]],19),IF(Main[[#This Row],[Class]]="A",WORKDAY(Main[[#This Row],[Tech Start Date]],9),""))))</f>
        <v/>
      </c>
      <c r="Q838" s="129">
        <v>40672</v>
      </c>
      <c r="R838" s="129"/>
      <c r="S838" s="139" t="s">
        <v>6</v>
      </c>
      <c r="T838" s="115" t="s">
        <v>4</v>
      </c>
      <c r="U838" s="139" t="s">
        <v>14</v>
      </c>
      <c r="V838" s="139" t="s">
        <v>1917</v>
      </c>
      <c r="W838" s="139" t="s">
        <v>4</v>
      </c>
      <c r="X838" s="139" t="s">
        <v>2822</v>
      </c>
      <c r="Y838" s="112" t="s">
        <v>2938</v>
      </c>
      <c r="Z838" s="112" t="s">
        <v>4</v>
      </c>
      <c r="AA838" s="139" t="s">
        <v>2822</v>
      </c>
    </row>
    <row r="839" spans="1:27" ht="17.25" customHeight="1">
      <c r="A839" s="69" t="str">
        <f>IF(priority(Main[[#This Row],[Comments]])&lt;&gt;0, priority(Main[[#This Row],[Comments]]),"")</f>
        <v/>
      </c>
      <c r="B839" s="63" t="s">
        <v>1643</v>
      </c>
      <c r="C839" s="148" t="s">
        <v>4</v>
      </c>
      <c r="D839" s="113" t="s">
        <v>712</v>
      </c>
      <c r="E839" s="129"/>
      <c r="F839" s="129"/>
      <c r="G839" s="69" t="str">
        <f>IF(stdProdLT(Main[[#This Row],[Comments]])=0.1,"N/A",IF(stdProdLT(Main[[#This Row],[Comments]])=0,"",stdProdLT(Main[[#This Row],[Comments]])))</f>
        <v/>
      </c>
      <c r="H839" s="138" t="str">
        <f>IF(Main[[#This Row],[In Stock Date]]="N/A", "N/A",IF(AND(Main[[#This Row],[In Stock Date]]&lt;&gt;"",Main[[#This Row],[Revised Due Date]]&lt;&gt;"",Main[[#This Row],[In Stock Date]]&lt;&gt;""),Main[[#This Row],[In Stock Date]]-Main[[#This Row],[Revised Due Date]],""))</f>
        <v/>
      </c>
      <c r="I839" s="139" t="s">
        <v>4</v>
      </c>
      <c r="J839" s="139" t="s">
        <v>4</v>
      </c>
      <c r="K839" s="139" t="s">
        <v>4</v>
      </c>
      <c r="L839" s="129"/>
      <c r="M839" s="114" t="str">
        <f>IF(Main[[#This Row],[Tech Start Date]]&lt;1/1/1990,"",IF(Main[[#This Row],[Class]]="C",WORKDAY(Main[[#This Row],[Tech Start Date]],9),IF(Main[[#This Row],[Class]]="B", WORKDAY(Main[[#This Row],[Tech Start Date]],6),IF(Main[[#This Row],[Class]]="A",WORKDAY(Main[[#This Row],[Tech Start Date]],2),""))))</f>
        <v/>
      </c>
      <c r="N839" s="114" t="str">
        <f>IF(Main[[#This Row],[Tech Start Date]]&lt;1/1/1990,"",IF(Main[[#This Row],[Class]]="C",WORKDAY(Main[[#This Row],[Tech Start Date]],19),IF(Main[[#This Row],[Class]]="B", WORKDAY(Main[[#This Row],[Tech Start Date]],12),IF(Main[[#This Row],[Class]]="A",WORKDAY(Main[[#This Row],[Tech Start Date]],4),""))))</f>
        <v/>
      </c>
      <c r="O839" s="114" t="str">
        <f>IF(Main[[#This Row],[Tech Start Date]]&lt;1/1/1990,"",IF(Main[[#This Row],[Class]]="C",WORKDAY(Main[[#This Row],[Tech Start Date]],23),IF(Main[[#This Row],[Class]]="B", WORKDAY(Main[[#This Row],[Tech Start Date]],15),IF(Main[[#This Row],[Class]]="A",WORKDAY(Main[[#This Row],[Tech Start Date]],5),""))))</f>
        <v/>
      </c>
      <c r="P839" s="114" t="str">
        <f>IF(Main[[#This Row],[Tech Start Date]]&lt;1/1/1990,"",IF(Main[[#This Row],[Class]]="C",WORKDAY(Main[[#This Row],[Tech Start Date]],28),IF(Main[[#This Row],[Class]]="B", WORKDAY(Main[[#This Row],[Tech Start Date]],19),IF(Main[[#This Row],[Class]]="A",WORKDAY(Main[[#This Row],[Tech Start Date]],9),""))))</f>
        <v/>
      </c>
      <c r="Q839" s="129"/>
      <c r="R839" s="129"/>
      <c r="S839" s="139" t="s">
        <v>23</v>
      </c>
      <c r="T839" s="115" t="s">
        <v>4</v>
      </c>
      <c r="U839" s="139" t="s">
        <v>14</v>
      </c>
      <c r="V839" s="139" t="s">
        <v>1917</v>
      </c>
      <c r="W839" s="139" t="s">
        <v>1918</v>
      </c>
      <c r="X839" s="139" t="s">
        <v>399</v>
      </c>
      <c r="Y839" s="112" t="s">
        <v>4</v>
      </c>
      <c r="Z839" s="112" t="s">
        <v>4</v>
      </c>
      <c r="AA839" s="139" t="s">
        <v>3433</v>
      </c>
    </row>
    <row r="840" spans="1:27" ht="17.25" customHeight="1">
      <c r="A840" s="69" t="str">
        <f>IF(priority(Main[[#This Row],[Comments]])&lt;&gt;0, priority(Main[[#This Row],[Comments]]),"")</f>
        <v/>
      </c>
      <c r="B840" s="63" t="s">
        <v>1853</v>
      </c>
      <c r="C840" s="148" t="s">
        <v>4</v>
      </c>
      <c r="D840" s="113" t="s">
        <v>909</v>
      </c>
      <c r="E840" s="129"/>
      <c r="F840" s="129"/>
      <c r="G840" s="69" t="str">
        <f>IF(stdProdLT(Main[[#This Row],[Comments]])=0.1,"N/A",IF(stdProdLT(Main[[#This Row],[Comments]])=0,"",stdProdLT(Main[[#This Row],[Comments]])))</f>
        <v/>
      </c>
      <c r="H840" s="138" t="str">
        <f>IF(Main[[#This Row],[In Stock Date]]="N/A", "N/A",IF(AND(Main[[#This Row],[In Stock Date]]&lt;&gt;"",Main[[#This Row],[Revised Due Date]]&lt;&gt;"",Main[[#This Row],[In Stock Date]]&lt;&gt;""),Main[[#This Row],[In Stock Date]]-Main[[#This Row],[Revised Due Date]],""))</f>
        <v/>
      </c>
      <c r="I840" s="139" t="s">
        <v>852</v>
      </c>
      <c r="J840" s="139" t="s">
        <v>4</v>
      </c>
      <c r="K840" s="140" t="s">
        <v>1926</v>
      </c>
      <c r="L840" s="129"/>
      <c r="M840" s="114" t="str">
        <f>IF(Main[[#This Row],[Tech Start Date]]&lt;1/1/1990,"",IF(Main[[#This Row],[Class]]="C",WORKDAY(Main[[#This Row],[Tech Start Date]],9),IF(Main[[#This Row],[Class]]="B", WORKDAY(Main[[#This Row],[Tech Start Date]],6),IF(Main[[#This Row],[Class]]="A",WORKDAY(Main[[#This Row],[Tech Start Date]],2),""))))</f>
        <v/>
      </c>
      <c r="N840" s="114" t="str">
        <f>IF(Main[[#This Row],[Tech Start Date]]&lt;1/1/1990,"",IF(Main[[#This Row],[Class]]="C",WORKDAY(Main[[#This Row],[Tech Start Date]],19),IF(Main[[#This Row],[Class]]="B", WORKDAY(Main[[#This Row],[Tech Start Date]],12),IF(Main[[#This Row],[Class]]="A",WORKDAY(Main[[#This Row],[Tech Start Date]],4),""))))</f>
        <v/>
      </c>
      <c r="O840" s="114" t="str">
        <f>IF(Main[[#This Row],[Tech Start Date]]&lt;1/1/1990,"",IF(Main[[#This Row],[Class]]="C",WORKDAY(Main[[#This Row],[Tech Start Date]],23),IF(Main[[#This Row],[Class]]="B", WORKDAY(Main[[#This Row],[Tech Start Date]],15),IF(Main[[#This Row],[Class]]="A",WORKDAY(Main[[#This Row],[Tech Start Date]],5),""))))</f>
        <v/>
      </c>
      <c r="P840" s="114" t="str">
        <f>IF(Main[[#This Row],[Tech Start Date]]&lt;1/1/1990,"",IF(Main[[#This Row],[Class]]="C",WORKDAY(Main[[#This Row],[Tech Start Date]],28),IF(Main[[#This Row],[Class]]="B", WORKDAY(Main[[#This Row],[Tech Start Date]],19),IF(Main[[#This Row],[Class]]="A",WORKDAY(Main[[#This Row],[Tech Start Date]],9),""))))</f>
        <v/>
      </c>
      <c r="Q840" s="129"/>
      <c r="R840" s="129">
        <v>40543</v>
      </c>
      <c r="S840" s="139" t="s">
        <v>17</v>
      </c>
      <c r="T840" s="115" t="s">
        <v>4</v>
      </c>
      <c r="U840" s="139" t="s">
        <v>14</v>
      </c>
      <c r="V840" s="139" t="s">
        <v>1917</v>
      </c>
      <c r="W840" s="139" t="s">
        <v>1922</v>
      </c>
      <c r="X840" s="139" t="s">
        <v>306</v>
      </c>
      <c r="Y840" s="112" t="s">
        <v>4</v>
      </c>
      <c r="Z840" s="112" t="s">
        <v>415</v>
      </c>
      <c r="AA840" s="139" t="s">
        <v>3434</v>
      </c>
    </row>
    <row r="841" spans="1:27" ht="17.25" customHeight="1">
      <c r="A841" s="69" t="str">
        <f>IF(priority(Main[[#This Row],[Comments]])&lt;&gt;0, priority(Main[[#This Row],[Comments]]),"")</f>
        <v/>
      </c>
      <c r="B841" s="63" t="s">
        <v>1644</v>
      </c>
      <c r="C841" s="148" t="s">
        <v>113</v>
      </c>
      <c r="D841" s="113" t="s">
        <v>713</v>
      </c>
      <c r="E841" s="129"/>
      <c r="F841" s="129">
        <v>40817</v>
      </c>
      <c r="G841" s="69" t="str">
        <f>IF(stdProdLT(Main[[#This Row],[Comments]])=0.1,"N/A",IF(stdProdLT(Main[[#This Row],[Comments]])=0,"",stdProdLT(Main[[#This Row],[Comments]])))</f>
        <v/>
      </c>
      <c r="H841" s="138" t="str">
        <f>IF(Main[[#This Row],[In Stock Date]]="N/A", "N/A",IF(AND(Main[[#This Row],[In Stock Date]]&lt;&gt;"",Main[[#This Row],[Revised Due Date]]&lt;&gt;"",Main[[#This Row],[In Stock Date]]&lt;&gt;""),Main[[#This Row],[In Stock Date]]-Main[[#This Row],[Revised Due Date]],""))</f>
        <v/>
      </c>
      <c r="I841" s="139" t="s">
        <v>4</v>
      </c>
      <c r="J841" s="139" t="s">
        <v>28</v>
      </c>
      <c r="K841" s="140" t="s">
        <v>1927</v>
      </c>
      <c r="L841" s="129"/>
      <c r="M841" s="114" t="str">
        <f>IF(Main[[#This Row],[Tech Start Date]]&lt;1/1/1990,"",IF(Main[[#This Row],[Class]]="C",WORKDAY(Main[[#This Row],[Tech Start Date]],9),IF(Main[[#This Row],[Class]]="B", WORKDAY(Main[[#This Row],[Tech Start Date]],6),IF(Main[[#This Row],[Class]]="A",WORKDAY(Main[[#This Row],[Tech Start Date]],2),""))))</f>
        <v/>
      </c>
      <c r="N841" s="114" t="str">
        <f>IF(Main[[#This Row],[Tech Start Date]]&lt;1/1/1990,"",IF(Main[[#This Row],[Class]]="C",WORKDAY(Main[[#This Row],[Tech Start Date]],19),IF(Main[[#This Row],[Class]]="B", WORKDAY(Main[[#This Row],[Tech Start Date]],12),IF(Main[[#This Row],[Class]]="A",WORKDAY(Main[[#This Row],[Tech Start Date]],4),""))))</f>
        <v/>
      </c>
      <c r="O841" s="114" t="str">
        <f>IF(Main[[#This Row],[Tech Start Date]]&lt;1/1/1990,"",IF(Main[[#This Row],[Class]]="C",WORKDAY(Main[[#This Row],[Tech Start Date]],23),IF(Main[[#This Row],[Class]]="B", WORKDAY(Main[[#This Row],[Tech Start Date]],15),IF(Main[[#This Row],[Class]]="A",WORKDAY(Main[[#This Row],[Tech Start Date]],5),""))))</f>
        <v/>
      </c>
      <c r="P841" s="114" t="str">
        <f>IF(Main[[#This Row],[Tech Start Date]]&lt;1/1/1990,"",IF(Main[[#This Row],[Class]]="C",WORKDAY(Main[[#This Row],[Tech Start Date]],28),IF(Main[[#This Row],[Class]]="B", WORKDAY(Main[[#This Row],[Tech Start Date]],19),IF(Main[[#This Row],[Class]]="A",WORKDAY(Main[[#This Row],[Tech Start Date]],9),""))))</f>
        <v/>
      </c>
      <c r="Q841" s="129">
        <v>40634</v>
      </c>
      <c r="R841" s="129"/>
      <c r="S841" s="139" t="s">
        <v>11</v>
      </c>
      <c r="T841" s="115" t="s">
        <v>4</v>
      </c>
      <c r="U841" s="139" t="s">
        <v>14</v>
      </c>
      <c r="V841" s="139" t="s">
        <v>1914</v>
      </c>
      <c r="W841" s="139" t="s">
        <v>1920</v>
      </c>
      <c r="X841" s="139" t="s">
        <v>2833</v>
      </c>
      <c r="Y841" s="112" t="s">
        <v>2939</v>
      </c>
      <c r="Z841" s="112" t="s">
        <v>129</v>
      </c>
      <c r="AA841" s="139" t="s">
        <v>2833</v>
      </c>
    </row>
    <row r="842" spans="1:27" ht="17.25" customHeight="1">
      <c r="A842" s="69" t="str">
        <f>IF(priority(Main[[#This Row],[Comments]])&lt;&gt;0, priority(Main[[#This Row],[Comments]]),"")</f>
        <v/>
      </c>
      <c r="B842" s="63" t="s">
        <v>1645</v>
      </c>
      <c r="C842" s="148" t="s">
        <v>4</v>
      </c>
      <c r="D842" s="113" t="s">
        <v>39</v>
      </c>
      <c r="E842" s="129"/>
      <c r="F842" s="129"/>
      <c r="G842" s="69" t="str">
        <f>IF(stdProdLT(Main[[#This Row],[Comments]])=0.1,"N/A",IF(stdProdLT(Main[[#This Row],[Comments]])=0,"",stdProdLT(Main[[#This Row],[Comments]])))</f>
        <v/>
      </c>
      <c r="H842" s="138" t="str">
        <f>IF(Main[[#This Row],[In Stock Date]]="N/A", "N/A",IF(AND(Main[[#This Row],[In Stock Date]]&lt;&gt;"",Main[[#This Row],[Revised Due Date]]&lt;&gt;"",Main[[#This Row],[In Stock Date]]&lt;&gt;""),Main[[#This Row],[In Stock Date]]-Main[[#This Row],[Revised Due Date]],""))</f>
        <v/>
      </c>
      <c r="I842" s="139" t="s">
        <v>4</v>
      </c>
      <c r="J842" s="139" t="s">
        <v>4</v>
      </c>
      <c r="K842" s="139" t="s">
        <v>4</v>
      </c>
      <c r="L842" s="129"/>
      <c r="M842" s="114" t="str">
        <f>IF(Main[[#This Row],[Tech Start Date]]&lt;1/1/1990,"",IF(Main[[#This Row],[Class]]="C",WORKDAY(Main[[#This Row],[Tech Start Date]],9),IF(Main[[#This Row],[Class]]="B", WORKDAY(Main[[#This Row],[Tech Start Date]],6),IF(Main[[#This Row],[Class]]="A",WORKDAY(Main[[#This Row],[Tech Start Date]],2),""))))</f>
        <v/>
      </c>
      <c r="N842" s="114" t="str">
        <f>IF(Main[[#This Row],[Tech Start Date]]&lt;1/1/1990,"",IF(Main[[#This Row],[Class]]="C",WORKDAY(Main[[#This Row],[Tech Start Date]],19),IF(Main[[#This Row],[Class]]="B", WORKDAY(Main[[#This Row],[Tech Start Date]],12),IF(Main[[#This Row],[Class]]="A",WORKDAY(Main[[#This Row],[Tech Start Date]],4),""))))</f>
        <v/>
      </c>
      <c r="O842" s="114" t="str">
        <f>IF(Main[[#This Row],[Tech Start Date]]&lt;1/1/1990,"",IF(Main[[#This Row],[Class]]="C",WORKDAY(Main[[#This Row],[Tech Start Date]],23),IF(Main[[#This Row],[Class]]="B", WORKDAY(Main[[#This Row],[Tech Start Date]],15),IF(Main[[#This Row],[Class]]="A",WORKDAY(Main[[#This Row],[Tech Start Date]],5),""))))</f>
        <v/>
      </c>
      <c r="P842" s="114" t="str">
        <f>IF(Main[[#This Row],[Tech Start Date]]&lt;1/1/1990,"",IF(Main[[#This Row],[Class]]="C",WORKDAY(Main[[#This Row],[Tech Start Date]],28),IF(Main[[#This Row],[Class]]="B", WORKDAY(Main[[#This Row],[Tech Start Date]],19),IF(Main[[#This Row],[Class]]="A",WORKDAY(Main[[#This Row],[Tech Start Date]],9),""))))</f>
        <v/>
      </c>
      <c r="Q842" s="129">
        <v>40669</v>
      </c>
      <c r="R842" s="129"/>
      <c r="S842" s="139" t="s">
        <v>6</v>
      </c>
      <c r="T842" s="115" t="s">
        <v>4</v>
      </c>
      <c r="U842" s="139" t="s">
        <v>14</v>
      </c>
      <c r="V842" s="139" t="s">
        <v>1917</v>
      </c>
      <c r="W842" s="139" t="s">
        <v>4</v>
      </c>
      <c r="X842" s="139" t="s">
        <v>2818</v>
      </c>
      <c r="Y842" s="112" t="s">
        <v>2929</v>
      </c>
      <c r="Z842" s="112" t="s">
        <v>4</v>
      </c>
      <c r="AA842" s="139" t="s">
        <v>2818</v>
      </c>
    </row>
    <row r="843" spans="1:27" ht="17.25" customHeight="1">
      <c r="A843" s="69" t="str">
        <f>IF(priority(Main[[#This Row],[Comments]])&lt;&gt;0, priority(Main[[#This Row],[Comments]]),"")</f>
        <v/>
      </c>
      <c r="B843" s="63" t="s">
        <v>1646</v>
      </c>
      <c r="C843" s="148" t="s">
        <v>4</v>
      </c>
      <c r="D843" s="113" t="s">
        <v>714</v>
      </c>
      <c r="E843" s="129"/>
      <c r="F843" s="129"/>
      <c r="G843" s="69" t="str">
        <f>IF(stdProdLT(Main[[#This Row],[Comments]])=0.1,"N/A",IF(stdProdLT(Main[[#This Row],[Comments]])=0,"",stdProdLT(Main[[#This Row],[Comments]])))</f>
        <v/>
      </c>
      <c r="H843" s="138" t="str">
        <f>IF(Main[[#This Row],[In Stock Date]]="N/A", "N/A",IF(AND(Main[[#This Row],[In Stock Date]]&lt;&gt;"",Main[[#This Row],[Revised Due Date]]&lt;&gt;"",Main[[#This Row],[In Stock Date]]&lt;&gt;""),Main[[#This Row],[In Stock Date]]-Main[[#This Row],[Revised Due Date]],""))</f>
        <v/>
      </c>
      <c r="I843" s="139" t="s">
        <v>4</v>
      </c>
      <c r="J843" s="139" t="s">
        <v>4</v>
      </c>
      <c r="K843" s="139" t="s">
        <v>4</v>
      </c>
      <c r="L843" s="129"/>
      <c r="M843" s="114" t="str">
        <f>IF(Main[[#This Row],[Tech Start Date]]&lt;1/1/1990,"",IF(Main[[#This Row],[Class]]="C",WORKDAY(Main[[#This Row],[Tech Start Date]],9),IF(Main[[#This Row],[Class]]="B", WORKDAY(Main[[#This Row],[Tech Start Date]],6),IF(Main[[#This Row],[Class]]="A",WORKDAY(Main[[#This Row],[Tech Start Date]],2),""))))</f>
        <v/>
      </c>
      <c r="N843" s="114" t="str">
        <f>IF(Main[[#This Row],[Tech Start Date]]&lt;1/1/1990,"",IF(Main[[#This Row],[Class]]="C",WORKDAY(Main[[#This Row],[Tech Start Date]],19),IF(Main[[#This Row],[Class]]="B", WORKDAY(Main[[#This Row],[Tech Start Date]],12),IF(Main[[#This Row],[Class]]="A",WORKDAY(Main[[#This Row],[Tech Start Date]],4),""))))</f>
        <v/>
      </c>
      <c r="O843" s="114" t="str">
        <f>IF(Main[[#This Row],[Tech Start Date]]&lt;1/1/1990,"",IF(Main[[#This Row],[Class]]="C",WORKDAY(Main[[#This Row],[Tech Start Date]],23),IF(Main[[#This Row],[Class]]="B", WORKDAY(Main[[#This Row],[Tech Start Date]],15),IF(Main[[#This Row],[Class]]="A",WORKDAY(Main[[#This Row],[Tech Start Date]],5),""))))</f>
        <v/>
      </c>
      <c r="P843" s="114" t="str">
        <f>IF(Main[[#This Row],[Tech Start Date]]&lt;1/1/1990,"",IF(Main[[#This Row],[Class]]="C",WORKDAY(Main[[#This Row],[Tech Start Date]],28),IF(Main[[#This Row],[Class]]="B", WORKDAY(Main[[#This Row],[Tech Start Date]],19),IF(Main[[#This Row],[Class]]="A",WORKDAY(Main[[#This Row],[Tech Start Date]],9),""))))</f>
        <v/>
      </c>
      <c r="Q843" s="129"/>
      <c r="R843" s="129"/>
      <c r="S843" s="139" t="s">
        <v>11</v>
      </c>
      <c r="T843" s="115" t="s">
        <v>4</v>
      </c>
      <c r="U843" s="139" t="s">
        <v>12</v>
      </c>
      <c r="V843" s="139" t="s">
        <v>1915</v>
      </c>
      <c r="W843" s="139" t="s">
        <v>4</v>
      </c>
      <c r="X843" s="139" t="s">
        <v>2862</v>
      </c>
      <c r="Y843" s="112" t="s">
        <v>4</v>
      </c>
      <c r="Z843" s="112" t="s">
        <v>4</v>
      </c>
      <c r="AA843" s="139" t="s">
        <v>4</v>
      </c>
    </row>
    <row r="844" spans="1:27" ht="17.25" customHeight="1">
      <c r="A844" s="69" t="str">
        <f>IF(priority(Main[[#This Row],[Comments]])&lt;&gt;0, priority(Main[[#This Row],[Comments]]),"")</f>
        <v/>
      </c>
      <c r="B844" s="63" t="s">
        <v>1648</v>
      </c>
      <c r="C844" s="148" t="s">
        <v>4</v>
      </c>
      <c r="D844" s="113" t="s">
        <v>715</v>
      </c>
      <c r="E844" s="129">
        <v>40715.129143518519</v>
      </c>
      <c r="F844" s="129"/>
      <c r="G844" s="69" t="str">
        <f>IF(stdProdLT(Main[[#This Row],[Comments]])=0.1,"N/A",IF(stdProdLT(Main[[#This Row],[Comments]])=0,"",stdProdLT(Main[[#This Row],[Comments]])))</f>
        <v/>
      </c>
      <c r="H844" s="138" t="str">
        <f>IF(Main[[#This Row],[In Stock Date]]="N/A", "N/A",IF(AND(Main[[#This Row],[In Stock Date]]&lt;&gt;"",Main[[#This Row],[Revised Due Date]]&lt;&gt;"",Main[[#This Row],[In Stock Date]]&lt;&gt;""),Main[[#This Row],[In Stock Date]]-Main[[#This Row],[Revised Due Date]],""))</f>
        <v/>
      </c>
      <c r="I844" s="139" t="s">
        <v>4</v>
      </c>
      <c r="J844" s="139" t="s">
        <v>4</v>
      </c>
      <c r="K844" s="139" t="s">
        <v>4</v>
      </c>
      <c r="L844" s="129"/>
      <c r="M844" s="114" t="str">
        <f>IF(Main[[#This Row],[Tech Start Date]]&lt;1/1/1990,"",IF(Main[[#This Row],[Class]]="C",WORKDAY(Main[[#This Row],[Tech Start Date]],9),IF(Main[[#This Row],[Class]]="B", WORKDAY(Main[[#This Row],[Tech Start Date]],6),IF(Main[[#This Row],[Class]]="A",WORKDAY(Main[[#This Row],[Tech Start Date]],2),""))))</f>
        <v/>
      </c>
      <c r="N844" s="114" t="str">
        <f>IF(Main[[#This Row],[Tech Start Date]]&lt;1/1/1990,"",IF(Main[[#This Row],[Class]]="C",WORKDAY(Main[[#This Row],[Tech Start Date]],19),IF(Main[[#This Row],[Class]]="B", WORKDAY(Main[[#This Row],[Tech Start Date]],12),IF(Main[[#This Row],[Class]]="A",WORKDAY(Main[[#This Row],[Tech Start Date]],4),""))))</f>
        <v/>
      </c>
      <c r="O844" s="114" t="str">
        <f>IF(Main[[#This Row],[Tech Start Date]]&lt;1/1/1990,"",IF(Main[[#This Row],[Class]]="C",WORKDAY(Main[[#This Row],[Tech Start Date]],23),IF(Main[[#This Row],[Class]]="B", WORKDAY(Main[[#This Row],[Tech Start Date]],15),IF(Main[[#This Row],[Class]]="A",WORKDAY(Main[[#This Row],[Tech Start Date]],5),""))))</f>
        <v/>
      </c>
      <c r="P844" s="114" t="str">
        <f>IF(Main[[#This Row],[Tech Start Date]]&lt;1/1/1990,"",IF(Main[[#This Row],[Class]]="C",WORKDAY(Main[[#This Row],[Tech Start Date]],28),IF(Main[[#This Row],[Class]]="B", WORKDAY(Main[[#This Row],[Tech Start Date]],19),IF(Main[[#This Row],[Class]]="A",WORKDAY(Main[[#This Row],[Tech Start Date]],9),""))))</f>
        <v/>
      </c>
      <c r="Q844" s="129">
        <v>40717</v>
      </c>
      <c r="R844" s="129"/>
      <c r="S844" s="139" t="s">
        <v>49</v>
      </c>
      <c r="T844" s="115" t="s">
        <v>4</v>
      </c>
      <c r="U844" s="139" t="s">
        <v>7</v>
      </c>
      <c r="V844" s="139" t="s">
        <v>1915</v>
      </c>
      <c r="W844" s="139" t="s">
        <v>1918</v>
      </c>
      <c r="X844" s="139" t="s">
        <v>2857</v>
      </c>
      <c r="Y844" s="112" t="s">
        <v>2998</v>
      </c>
      <c r="Z844" s="112" t="s">
        <v>4</v>
      </c>
      <c r="AA844" s="139" t="s">
        <v>2857</v>
      </c>
    </row>
    <row r="845" spans="1:27" ht="17.25" customHeight="1">
      <c r="A845" s="69" t="str">
        <f>IF(priority(Main[[#This Row],[Comments]])&lt;&gt;0, priority(Main[[#This Row],[Comments]]),"")</f>
        <v/>
      </c>
      <c r="B845" s="63" t="s">
        <v>2104</v>
      </c>
      <c r="C845" s="148" t="s">
        <v>4</v>
      </c>
      <c r="D845" s="113" t="s">
        <v>2105</v>
      </c>
      <c r="E845" s="129">
        <v>40770.430092592593</v>
      </c>
      <c r="F845" s="129"/>
      <c r="G845" s="69" t="str">
        <f>IF(stdProdLT(Main[[#This Row],[Comments]])=0.1,"N/A",IF(stdProdLT(Main[[#This Row],[Comments]])=0,"",stdProdLT(Main[[#This Row],[Comments]])))</f>
        <v/>
      </c>
      <c r="H845" s="138" t="str">
        <f>IF(Main[[#This Row],[In Stock Date]]="N/A", "N/A",IF(AND(Main[[#This Row],[In Stock Date]]&lt;&gt;"",Main[[#This Row],[Revised Due Date]]&lt;&gt;"",Main[[#This Row],[In Stock Date]]&lt;&gt;""),Main[[#This Row],[In Stock Date]]-Main[[#This Row],[Revised Due Date]],""))</f>
        <v/>
      </c>
      <c r="I845" s="139" t="s">
        <v>4</v>
      </c>
      <c r="J845" s="139" t="s">
        <v>4</v>
      </c>
      <c r="K845" s="139" t="s">
        <v>4</v>
      </c>
      <c r="L845" s="129"/>
      <c r="M845" s="114" t="str">
        <f>IF(Main[[#This Row],[Tech Start Date]]&lt;1/1/1990,"",IF(Main[[#This Row],[Class]]="C",WORKDAY(Main[[#This Row],[Tech Start Date]],9),IF(Main[[#This Row],[Class]]="B", WORKDAY(Main[[#This Row],[Tech Start Date]],6),IF(Main[[#This Row],[Class]]="A",WORKDAY(Main[[#This Row],[Tech Start Date]],2),""))))</f>
        <v/>
      </c>
      <c r="N845" s="114" t="str">
        <f>IF(Main[[#This Row],[Tech Start Date]]&lt;1/1/1990,"",IF(Main[[#This Row],[Class]]="C",WORKDAY(Main[[#This Row],[Tech Start Date]],19),IF(Main[[#This Row],[Class]]="B", WORKDAY(Main[[#This Row],[Tech Start Date]],12),IF(Main[[#This Row],[Class]]="A",WORKDAY(Main[[#This Row],[Tech Start Date]],4),""))))</f>
        <v/>
      </c>
      <c r="O845" s="114" t="str">
        <f>IF(Main[[#This Row],[Tech Start Date]]&lt;1/1/1990,"",IF(Main[[#This Row],[Class]]="C",WORKDAY(Main[[#This Row],[Tech Start Date]],23),IF(Main[[#This Row],[Class]]="B", WORKDAY(Main[[#This Row],[Tech Start Date]],15),IF(Main[[#This Row],[Class]]="A",WORKDAY(Main[[#This Row],[Tech Start Date]],5),""))))</f>
        <v/>
      </c>
      <c r="P845" s="114" t="str">
        <f>IF(Main[[#This Row],[Tech Start Date]]&lt;1/1/1990,"",IF(Main[[#This Row],[Class]]="C",WORKDAY(Main[[#This Row],[Tech Start Date]],28),IF(Main[[#This Row],[Class]]="B", WORKDAY(Main[[#This Row],[Tech Start Date]],19),IF(Main[[#This Row],[Class]]="A",WORKDAY(Main[[#This Row],[Tech Start Date]],9),""))))</f>
        <v/>
      </c>
      <c r="Q845" s="129">
        <v>40791</v>
      </c>
      <c r="R845" s="129"/>
      <c r="S845" s="139" t="s">
        <v>6</v>
      </c>
      <c r="T845" s="115" t="s">
        <v>4</v>
      </c>
      <c r="U845" s="139" t="s">
        <v>7</v>
      </c>
      <c r="V845" s="139" t="s">
        <v>1914</v>
      </c>
      <c r="W845" s="139" t="s">
        <v>4</v>
      </c>
      <c r="X845" s="139" t="s">
        <v>2822</v>
      </c>
      <c r="Y845" s="112" t="s">
        <v>2938</v>
      </c>
      <c r="Z845" s="112" t="s">
        <v>4</v>
      </c>
      <c r="AA845" s="139" t="s">
        <v>2822</v>
      </c>
    </row>
    <row r="846" spans="1:27" ht="17.25" customHeight="1">
      <c r="A846" s="69" t="str">
        <f>IF(priority(Main[[#This Row],[Comments]])&lt;&gt;0, priority(Main[[#This Row],[Comments]]),"")</f>
        <v/>
      </c>
      <c r="B846" s="63" t="s">
        <v>1649</v>
      </c>
      <c r="C846" s="148" t="s">
        <v>4</v>
      </c>
      <c r="D846" s="113" t="s">
        <v>716</v>
      </c>
      <c r="E846" s="129">
        <v>40651.462372685186</v>
      </c>
      <c r="F846" s="129"/>
      <c r="G846" s="69" t="str">
        <f>IF(stdProdLT(Main[[#This Row],[Comments]])=0.1,"N/A",IF(stdProdLT(Main[[#This Row],[Comments]])=0,"",stdProdLT(Main[[#This Row],[Comments]])))</f>
        <v/>
      </c>
      <c r="H846" s="138" t="str">
        <f>IF(Main[[#This Row],[In Stock Date]]="N/A", "N/A",IF(AND(Main[[#This Row],[In Stock Date]]&lt;&gt;"",Main[[#This Row],[Revised Due Date]]&lt;&gt;"",Main[[#This Row],[In Stock Date]]&lt;&gt;""),Main[[#This Row],[In Stock Date]]-Main[[#This Row],[Revised Due Date]],""))</f>
        <v/>
      </c>
      <c r="I846" s="139" t="s">
        <v>30</v>
      </c>
      <c r="J846" s="139" t="s">
        <v>28</v>
      </c>
      <c r="K846" s="139" t="s">
        <v>1923</v>
      </c>
      <c r="L846" s="129"/>
      <c r="M846" s="114" t="str">
        <f>IF(Main[[#This Row],[Tech Start Date]]&lt;1/1/1990,"",IF(Main[[#This Row],[Class]]="C",WORKDAY(Main[[#This Row],[Tech Start Date]],9),IF(Main[[#This Row],[Class]]="B", WORKDAY(Main[[#This Row],[Tech Start Date]],6),IF(Main[[#This Row],[Class]]="A",WORKDAY(Main[[#This Row],[Tech Start Date]],2),""))))</f>
        <v/>
      </c>
      <c r="N846" s="114" t="str">
        <f>IF(Main[[#This Row],[Tech Start Date]]&lt;1/1/1990,"",IF(Main[[#This Row],[Class]]="C",WORKDAY(Main[[#This Row],[Tech Start Date]],19),IF(Main[[#This Row],[Class]]="B", WORKDAY(Main[[#This Row],[Tech Start Date]],12),IF(Main[[#This Row],[Class]]="A",WORKDAY(Main[[#This Row],[Tech Start Date]],4),""))))</f>
        <v/>
      </c>
      <c r="O846" s="114" t="str">
        <f>IF(Main[[#This Row],[Tech Start Date]]&lt;1/1/1990,"",IF(Main[[#This Row],[Class]]="C",WORKDAY(Main[[#This Row],[Tech Start Date]],23),IF(Main[[#This Row],[Class]]="B", WORKDAY(Main[[#This Row],[Tech Start Date]],15),IF(Main[[#This Row],[Class]]="A",WORKDAY(Main[[#This Row],[Tech Start Date]],5),""))))</f>
        <v/>
      </c>
      <c r="P846" s="114" t="str">
        <f>IF(Main[[#This Row],[Tech Start Date]]&lt;1/1/1990,"",IF(Main[[#This Row],[Class]]="C",WORKDAY(Main[[#This Row],[Tech Start Date]],28),IF(Main[[#This Row],[Class]]="B", WORKDAY(Main[[#This Row],[Tech Start Date]],19),IF(Main[[#This Row],[Class]]="A",WORKDAY(Main[[#This Row],[Tech Start Date]],9),""))))</f>
        <v/>
      </c>
      <c r="Q846" s="129">
        <v>40694</v>
      </c>
      <c r="R846" s="129"/>
      <c r="S846" s="139" t="s">
        <v>6</v>
      </c>
      <c r="T846" s="115" t="s">
        <v>4</v>
      </c>
      <c r="U846" s="139" t="s">
        <v>29</v>
      </c>
      <c r="V846" s="139" t="s">
        <v>1917</v>
      </c>
      <c r="W846" s="139" t="s">
        <v>1918</v>
      </c>
      <c r="X846" s="139" t="s">
        <v>30</v>
      </c>
      <c r="Y846" s="112" t="s">
        <v>2957</v>
      </c>
      <c r="Z846" s="112" t="s">
        <v>30</v>
      </c>
      <c r="AA846" s="139" t="s">
        <v>30</v>
      </c>
    </row>
    <row r="847" spans="1:27" ht="17.25" customHeight="1">
      <c r="A847" s="69" t="str">
        <f>IF(priority(Main[[#This Row],[Comments]])&lt;&gt;0, priority(Main[[#This Row],[Comments]]),"")</f>
        <v/>
      </c>
      <c r="B847" s="63" t="s">
        <v>1571</v>
      </c>
      <c r="C847" s="148" t="s">
        <v>4</v>
      </c>
      <c r="D847" s="113" t="s">
        <v>3936</v>
      </c>
      <c r="E847" s="129">
        <v>40626.478437500002</v>
      </c>
      <c r="F847" s="129"/>
      <c r="G847" s="69" t="str">
        <f>IF(stdProdLT(Main[[#This Row],[Comments]])=0.1,"N/A",IF(stdProdLT(Main[[#This Row],[Comments]])=0,"",stdProdLT(Main[[#This Row],[Comments]])))</f>
        <v/>
      </c>
      <c r="H847" s="138" t="str">
        <f>IF(Main[[#This Row],[In Stock Date]]="N/A", "N/A",IF(AND(Main[[#This Row],[In Stock Date]]&lt;&gt;"",Main[[#This Row],[Revised Due Date]]&lt;&gt;"",Main[[#This Row],[In Stock Date]]&lt;&gt;""),Main[[#This Row],[In Stock Date]]-Main[[#This Row],[Revised Due Date]],""))</f>
        <v/>
      </c>
      <c r="I847" s="139" t="s">
        <v>102</v>
      </c>
      <c r="J847" s="139" t="s">
        <v>51</v>
      </c>
      <c r="K847" s="139" t="s">
        <v>1923</v>
      </c>
      <c r="L847" s="129"/>
      <c r="M847" s="114" t="str">
        <f>IF(Main[[#This Row],[Tech Start Date]]&lt;1/1/1990,"",IF(Main[[#This Row],[Class]]="C",WORKDAY(Main[[#This Row],[Tech Start Date]],9),IF(Main[[#This Row],[Class]]="B", WORKDAY(Main[[#This Row],[Tech Start Date]],6),IF(Main[[#This Row],[Class]]="A",WORKDAY(Main[[#This Row],[Tech Start Date]],2),""))))</f>
        <v/>
      </c>
      <c r="N847" s="114" t="str">
        <f>IF(Main[[#This Row],[Tech Start Date]]&lt;1/1/1990,"",IF(Main[[#This Row],[Class]]="C",WORKDAY(Main[[#This Row],[Tech Start Date]],19),IF(Main[[#This Row],[Class]]="B", WORKDAY(Main[[#This Row],[Tech Start Date]],12),IF(Main[[#This Row],[Class]]="A",WORKDAY(Main[[#This Row],[Tech Start Date]],4),""))))</f>
        <v/>
      </c>
      <c r="O847" s="114" t="str">
        <f>IF(Main[[#This Row],[Tech Start Date]]&lt;1/1/1990,"",IF(Main[[#This Row],[Class]]="C",WORKDAY(Main[[#This Row],[Tech Start Date]],23),IF(Main[[#This Row],[Class]]="B", WORKDAY(Main[[#This Row],[Tech Start Date]],15),IF(Main[[#This Row],[Class]]="A",WORKDAY(Main[[#This Row],[Tech Start Date]],5),""))))</f>
        <v/>
      </c>
      <c r="P847" s="114" t="str">
        <f>IF(Main[[#This Row],[Tech Start Date]]&lt;1/1/1990,"",IF(Main[[#This Row],[Class]]="C",WORKDAY(Main[[#This Row],[Tech Start Date]],28),IF(Main[[#This Row],[Class]]="B", WORKDAY(Main[[#This Row],[Tech Start Date]],19),IF(Main[[#This Row],[Class]]="A",WORKDAY(Main[[#This Row],[Tech Start Date]],9),""))))</f>
        <v/>
      </c>
      <c r="Q847" s="129">
        <v>40999</v>
      </c>
      <c r="R847" s="129"/>
      <c r="S847" s="139" t="s">
        <v>6</v>
      </c>
      <c r="T847" s="115" t="s">
        <v>4</v>
      </c>
      <c r="U847" s="139" t="s">
        <v>29</v>
      </c>
      <c r="V847" s="139" t="s">
        <v>1917</v>
      </c>
      <c r="W847" s="139" t="s">
        <v>1918</v>
      </c>
      <c r="X847" s="139" t="s">
        <v>74</v>
      </c>
      <c r="Y847" s="112" t="s">
        <v>3031</v>
      </c>
      <c r="Z847" s="112" t="s">
        <v>306</v>
      </c>
      <c r="AA847" s="139" t="s">
        <v>74</v>
      </c>
    </row>
    <row r="848" spans="1:27" ht="17.25" customHeight="1">
      <c r="A848" s="69" t="str">
        <f>IF(priority(Main[[#This Row],[Comments]])&lt;&gt;0, priority(Main[[#This Row],[Comments]]),"")</f>
        <v/>
      </c>
      <c r="B848" s="63" t="s">
        <v>2062</v>
      </c>
      <c r="C848" s="148" t="s">
        <v>4</v>
      </c>
      <c r="D848" s="113" t="s">
        <v>2063</v>
      </c>
      <c r="E848" s="129">
        <v>40759.465995370374</v>
      </c>
      <c r="F848" s="129"/>
      <c r="G848" s="69" t="str">
        <f>IF(stdProdLT(Main[[#This Row],[Comments]])=0.1,"N/A",IF(stdProdLT(Main[[#This Row],[Comments]])=0,"",stdProdLT(Main[[#This Row],[Comments]])))</f>
        <v/>
      </c>
      <c r="H848" s="138" t="str">
        <f>IF(Main[[#This Row],[In Stock Date]]="N/A", "N/A",IF(AND(Main[[#This Row],[In Stock Date]]&lt;&gt;"",Main[[#This Row],[Revised Due Date]]&lt;&gt;"",Main[[#This Row],[In Stock Date]]&lt;&gt;""),Main[[#This Row],[In Stock Date]]-Main[[#This Row],[Revised Due Date]],""))</f>
        <v/>
      </c>
      <c r="I848" s="139" t="s">
        <v>912</v>
      </c>
      <c r="J848" s="139" t="s">
        <v>52</v>
      </c>
      <c r="K848" s="139" t="s">
        <v>4</v>
      </c>
      <c r="L848" s="129"/>
      <c r="M848" s="114" t="str">
        <f>IF(Main[[#This Row],[Tech Start Date]]&lt;1/1/1990,"",IF(Main[[#This Row],[Class]]="C",WORKDAY(Main[[#This Row],[Tech Start Date]],9),IF(Main[[#This Row],[Class]]="B", WORKDAY(Main[[#This Row],[Tech Start Date]],6),IF(Main[[#This Row],[Class]]="A",WORKDAY(Main[[#This Row],[Tech Start Date]],2),""))))</f>
        <v/>
      </c>
      <c r="N848" s="114" t="str">
        <f>IF(Main[[#This Row],[Tech Start Date]]&lt;1/1/1990,"",IF(Main[[#This Row],[Class]]="C",WORKDAY(Main[[#This Row],[Tech Start Date]],19),IF(Main[[#This Row],[Class]]="B", WORKDAY(Main[[#This Row],[Tech Start Date]],12),IF(Main[[#This Row],[Class]]="A",WORKDAY(Main[[#This Row],[Tech Start Date]],4),""))))</f>
        <v/>
      </c>
      <c r="O848" s="114" t="str">
        <f>IF(Main[[#This Row],[Tech Start Date]]&lt;1/1/1990,"",IF(Main[[#This Row],[Class]]="C",WORKDAY(Main[[#This Row],[Tech Start Date]],23),IF(Main[[#This Row],[Class]]="B", WORKDAY(Main[[#This Row],[Tech Start Date]],15),IF(Main[[#This Row],[Class]]="A",WORKDAY(Main[[#This Row],[Tech Start Date]],5),""))))</f>
        <v/>
      </c>
      <c r="P848" s="114" t="str">
        <f>IF(Main[[#This Row],[Tech Start Date]]&lt;1/1/1990,"",IF(Main[[#This Row],[Class]]="C",WORKDAY(Main[[#This Row],[Tech Start Date]],28),IF(Main[[#This Row],[Class]]="B", WORKDAY(Main[[#This Row],[Tech Start Date]],19),IF(Main[[#This Row],[Class]]="A",WORKDAY(Main[[#This Row],[Tech Start Date]],9),""))))</f>
        <v/>
      </c>
      <c r="Q848" s="129"/>
      <c r="R848" s="129"/>
      <c r="S848" s="139" t="s">
        <v>6</v>
      </c>
      <c r="T848" s="115" t="s">
        <v>4</v>
      </c>
      <c r="U848" s="139" t="s">
        <v>29</v>
      </c>
      <c r="V848" s="139" t="s">
        <v>1914</v>
      </c>
      <c r="W848" s="139" t="s">
        <v>1918</v>
      </c>
      <c r="X848" s="139" t="s">
        <v>912</v>
      </c>
      <c r="Y848" s="112" t="s">
        <v>3057</v>
      </c>
      <c r="Z848" s="112" t="s">
        <v>4</v>
      </c>
      <c r="AA848" s="139" t="s">
        <v>912</v>
      </c>
    </row>
    <row r="849" spans="1:27" ht="17.25" customHeight="1">
      <c r="A849" s="69" t="str">
        <f>IF(priority(Main[[#This Row],[Comments]])&lt;&gt;0, priority(Main[[#This Row],[Comments]]),"")</f>
        <v/>
      </c>
      <c r="B849" s="63" t="s">
        <v>1650</v>
      </c>
      <c r="C849" s="148" t="s">
        <v>33</v>
      </c>
      <c r="D849" s="113" t="s">
        <v>717</v>
      </c>
      <c r="E849" s="129"/>
      <c r="F849" s="129">
        <v>40530</v>
      </c>
      <c r="G849" s="69" t="str">
        <f>IF(stdProdLT(Main[[#This Row],[Comments]])=0.1,"N/A",IF(stdProdLT(Main[[#This Row],[Comments]])=0,"",stdProdLT(Main[[#This Row],[Comments]])))</f>
        <v/>
      </c>
      <c r="H849" s="138" t="str">
        <f>IF(Main[[#This Row],[In Stock Date]]="N/A", "N/A",IF(AND(Main[[#This Row],[In Stock Date]]&lt;&gt;"",Main[[#This Row],[Revised Due Date]]&lt;&gt;"",Main[[#This Row],[In Stock Date]]&lt;&gt;""),Main[[#This Row],[In Stock Date]]-Main[[#This Row],[Revised Due Date]],""))</f>
        <v/>
      </c>
      <c r="I849" s="139" t="s">
        <v>74</v>
      </c>
      <c r="J849" s="139" t="s">
        <v>28</v>
      </c>
      <c r="K849" s="140" t="s">
        <v>1926</v>
      </c>
      <c r="L849" s="129"/>
      <c r="M849" s="114" t="str">
        <f>IF(Main[[#This Row],[Tech Start Date]]&lt;1/1/1990,"",IF(Main[[#This Row],[Class]]="C",WORKDAY(Main[[#This Row],[Tech Start Date]],9),IF(Main[[#This Row],[Class]]="B", WORKDAY(Main[[#This Row],[Tech Start Date]],6),IF(Main[[#This Row],[Class]]="A",WORKDAY(Main[[#This Row],[Tech Start Date]],2),""))))</f>
        <v/>
      </c>
      <c r="N849" s="114" t="str">
        <f>IF(Main[[#This Row],[Tech Start Date]]&lt;1/1/1990,"",IF(Main[[#This Row],[Class]]="C",WORKDAY(Main[[#This Row],[Tech Start Date]],19),IF(Main[[#This Row],[Class]]="B", WORKDAY(Main[[#This Row],[Tech Start Date]],12),IF(Main[[#This Row],[Class]]="A",WORKDAY(Main[[#This Row],[Tech Start Date]],4),""))))</f>
        <v/>
      </c>
      <c r="O849" s="114" t="str">
        <f>IF(Main[[#This Row],[Tech Start Date]]&lt;1/1/1990,"",IF(Main[[#This Row],[Class]]="C",WORKDAY(Main[[#This Row],[Tech Start Date]],23),IF(Main[[#This Row],[Class]]="B", WORKDAY(Main[[#This Row],[Tech Start Date]],15),IF(Main[[#This Row],[Class]]="A",WORKDAY(Main[[#This Row],[Tech Start Date]],5),""))))</f>
        <v/>
      </c>
      <c r="P849" s="114" t="str">
        <f>IF(Main[[#This Row],[Tech Start Date]]&lt;1/1/1990,"",IF(Main[[#This Row],[Class]]="C",WORKDAY(Main[[#This Row],[Tech Start Date]],28),IF(Main[[#This Row],[Class]]="B", WORKDAY(Main[[#This Row],[Tech Start Date]],19),IF(Main[[#This Row],[Class]]="A",WORKDAY(Main[[#This Row],[Tech Start Date]],9),""))))</f>
        <v/>
      </c>
      <c r="Q849" s="129">
        <v>40390</v>
      </c>
      <c r="R849" s="129"/>
      <c r="S849" s="139" t="s">
        <v>17</v>
      </c>
      <c r="T849" s="115" t="s">
        <v>4</v>
      </c>
      <c r="U849" s="139" t="s">
        <v>14</v>
      </c>
      <c r="V849" s="139" t="s">
        <v>1917</v>
      </c>
      <c r="W849" s="139" t="s">
        <v>1919</v>
      </c>
      <c r="X849" s="139" t="s">
        <v>2826</v>
      </c>
      <c r="Y849" s="112" t="s">
        <v>4</v>
      </c>
      <c r="Z849" s="112" t="s">
        <v>74</v>
      </c>
      <c r="AA849" s="139" t="s">
        <v>2826</v>
      </c>
    </row>
    <row r="850" spans="1:27" ht="17.25" customHeight="1">
      <c r="A850" s="69" t="str">
        <f>IF(priority(Main[[#This Row],[Comments]])&lt;&gt;0, priority(Main[[#This Row],[Comments]]),"")</f>
        <v/>
      </c>
      <c r="B850" s="63" t="s">
        <v>1651</v>
      </c>
      <c r="C850" s="148" t="s">
        <v>4</v>
      </c>
      <c r="D850" s="113" t="s">
        <v>537</v>
      </c>
      <c r="E850" s="129"/>
      <c r="F850" s="129"/>
      <c r="G850" s="69" t="str">
        <f>IF(stdProdLT(Main[[#This Row],[Comments]])=0.1,"N/A",IF(stdProdLT(Main[[#This Row],[Comments]])=0,"",stdProdLT(Main[[#This Row],[Comments]])))</f>
        <v/>
      </c>
      <c r="H850" s="138" t="str">
        <f>IF(Main[[#This Row],[In Stock Date]]="N/A", "N/A",IF(AND(Main[[#This Row],[In Stock Date]]&lt;&gt;"",Main[[#This Row],[Revised Due Date]]&lt;&gt;"",Main[[#This Row],[In Stock Date]]&lt;&gt;""),Main[[#This Row],[In Stock Date]]-Main[[#This Row],[Revised Due Date]],""))</f>
        <v/>
      </c>
      <c r="I850" s="139" t="s">
        <v>4</v>
      </c>
      <c r="J850" s="139" t="s">
        <v>4</v>
      </c>
      <c r="K850" s="139" t="s">
        <v>4</v>
      </c>
      <c r="L850" s="129"/>
      <c r="M850" s="114" t="str">
        <f>IF(Main[[#This Row],[Tech Start Date]]&lt;1/1/1990,"",IF(Main[[#This Row],[Class]]="C",WORKDAY(Main[[#This Row],[Tech Start Date]],9),IF(Main[[#This Row],[Class]]="B", WORKDAY(Main[[#This Row],[Tech Start Date]],6),IF(Main[[#This Row],[Class]]="A",WORKDAY(Main[[#This Row],[Tech Start Date]],2),""))))</f>
        <v/>
      </c>
      <c r="N850" s="114" t="str">
        <f>IF(Main[[#This Row],[Tech Start Date]]&lt;1/1/1990,"",IF(Main[[#This Row],[Class]]="C",WORKDAY(Main[[#This Row],[Tech Start Date]],19),IF(Main[[#This Row],[Class]]="B", WORKDAY(Main[[#This Row],[Tech Start Date]],12),IF(Main[[#This Row],[Class]]="A",WORKDAY(Main[[#This Row],[Tech Start Date]],4),""))))</f>
        <v/>
      </c>
      <c r="O850" s="114" t="str">
        <f>IF(Main[[#This Row],[Tech Start Date]]&lt;1/1/1990,"",IF(Main[[#This Row],[Class]]="C",WORKDAY(Main[[#This Row],[Tech Start Date]],23),IF(Main[[#This Row],[Class]]="B", WORKDAY(Main[[#This Row],[Tech Start Date]],15),IF(Main[[#This Row],[Class]]="A",WORKDAY(Main[[#This Row],[Tech Start Date]],5),""))))</f>
        <v/>
      </c>
      <c r="P850" s="114" t="str">
        <f>IF(Main[[#This Row],[Tech Start Date]]&lt;1/1/1990,"",IF(Main[[#This Row],[Class]]="C",WORKDAY(Main[[#This Row],[Tech Start Date]],28),IF(Main[[#This Row],[Class]]="B", WORKDAY(Main[[#This Row],[Tech Start Date]],19),IF(Main[[#This Row],[Class]]="A",WORKDAY(Main[[#This Row],[Tech Start Date]],9),""))))</f>
        <v/>
      </c>
      <c r="Q850" s="129">
        <v>40606</v>
      </c>
      <c r="R850" s="129"/>
      <c r="S850" s="139" t="s">
        <v>6</v>
      </c>
      <c r="T850" s="115" t="s">
        <v>4</v>
      </c>
      <c r="U850" s="139" t="s">
        <v>14</v>
      </c>
      <c r="V850" s="139" t="s">
        <v>1917</v>
      </c>
      <c r="W850" s="139" t="s">
        <v>1918</v>
      </c>
      <c r="X850" s="139" t="s">
        <v>2836</v>
      </c>
      <c r="Y850" s="112" t="s">
        <v>2965</v>
      </c>
      <c r="Z850" s="112" t="s">
        <v>4</v>
      </c>
      <c r="AA850" s="139" t="s">
        <v>2836</v>
      </c>
    </row>
    <row r="851" spans="1:27" ht="17.25" customHeight="1">
      <c r="A851" s="69" t="str">
        <f>IF(priority(Main[[#This Row],[Comments]])&lt;&gt;0, priority(Main[[#This Row],[Comments]]),"")</f>
        <v/>
      </c>
      <c r="B851" s="63" t="s">
        <v>1407</v>
      </c>
      <c r="C851" s="148" t="s">
        <v>4</v>
      </c>
      <c r="D851" s="113" t="s">
        <v>1950</v>
      </c>
      <c r="E851" s="129"/>
      <c r="F851" s="129"/>
      <c r="G851" s="69" t="str">
        <f>IF(stdProdLT(Main[[#This Row],[Comments]])=0.1,"N/A",IF(stdProdLT(Main[[#This Row],[Comments]])=0,"",stdProdLT(Main[[#This Row],[Comments]])))</f>
        <v/>
      </c>
      <c r="H851" s="138" t="str">
        <f>IF(Main[[#This Row],[In Stock Date]]="N/A", "N/A",IF(AND(Main[[#This Row],[In Stock Date]]&lt;&gt;"",Main[[#This Row],[Revised Due Date]]&lt;&gt;"",Main[[#This Row],[In Stock Date]]&lt;&gt;""),Main[[#This Row],[In Stock Date]]-Main[[#This Row],[Revised Due Date]],""))</f>
        <v/>
      </c>
      <c r="I851" s="139" t="s">
        <v>4</v>
      </c>
      <c r="J851" s="139" t="s">
        <v>4</v>
      </c>
      <c r="K851" s="139" t="s">
        <v>4</v>
      </c>
      <c r="L851" s="129"/>
      <c r="M851" s="114" t="str">
        <f>IF(Main[[#This Row],[Tech Start Date]]&lt;1/1/1990,"",IF(Main[[#This Row],[Class]]="C",WORKDAY(Main[[#This Row],[Tech Start Date]],9),IF(Main[[#This Row],[Class]]="B", WORKDAY(Main[[#This Row],[Tech Start Date]],6),IF(Main[[#This Row],[Class]]="A",WORKDAY(Main[[#This Row],[Tech Start Date]],2),""))))</f>
        <v/>
      </c>
      <c r="N851" s="114" t="str">
        <f>IF(Main[[#This Row],[Tech Start Date]]&lt;1/1/1990,"",IF(Main[[#This Row],[Class]]="C",WORKDAY(Main[[#This Row],[Tech Start Date]],19),IF(Main[[#This Row],[Class]]="B", WORKDAY(Main[[#This Row],[Tech Start Date]],12),IF(Main[[#This Row],[Class]]="A",WORKDAY(Main[[#This Row],[Tech Start Date]],4),""))))</f>
        <v/>
      </c>
      <c r="O851" s="114" t="str">
        <f>IF(Main[[#This Row],[Tech Start Date]]&lt;1/1/1990,"",IF(Main[[#This Row],[Class]]="C",WORKDAY(Main[[#This Row],[Tech Start Date]],23),IF(Main[[#This Row],[Class]]="B", WORKDAY(Main[[#This Row],[Tech Start Date]],15),IF(Main[[#This Row],[Class]]="A",WORKDAY(Main[[#This Row],[Tech Start Date]],5),""))))</f>
        <v/>
      </c>
      <c r="P851" s="114" t="str">
        <f>IF(Main[[#This Row],[Tech Start Date]]&lt;1/1/1990,"",IF(Main[[#This Row],[Class]]="C",WORKDAY(Main[[#This Row],[Tech Start Date]],28),IF(Main[[#This Row],[Class]]="B", WORKDAY(Main[[#This Row],[Tech Start Date]],19),IF(Main[[#This Row],[Class]]="A",WORKDAY(Main[[#This Row],[Tech Start Date]],9),""))))</f>
        <v/>
      </c>
      <c r="Q851" s="129"/>
      <c r="R851" s="129"/>
      <c r="S851" s="139" t="s">
        <v>6</v>
      </c>
      <c r="T851" s="115" t="s">
        <v>4</v>
      </c>
      <c r="U851" s="139" t="s">
        <v>14</v>
      </c>
      <c r="V851" s="139" t="s">
        <v>1915</v>
      </c>
      <c r="W851" s="139" t="s">
        <v>1916</v>
      </c>
      <c r="X851" s="139" t="s">
        <v>922</v>
      </c>
      <c r="Y851" s="112" t="s">
        <v>3020</v>
      </c>
      <c r="Z851" s="112" t="s">
        <v>4</v>
      </c>
      <c r="AA851" s="139" t="s">
        <v>3403</v>
      </c>
    </row>
    <row r="852" spans="1:27" ht="17.25" customHeight="1">
      <c r="A852" s="69" t="str">
        <f>IF(priority(Main[[#This Row],[Comments]])&lt;&gt;0, priority(Main[[#This Row],[Comments]]),"")</f>
        <v/>
      </c>
      <c r="B852" s="63" t="s">
        <v>1652</v>
      </c>
      <c r="C852" s="148" t="s">
        <v>4</v>
      </c>
      <c r="D852" s="113" t="s">
        <v>718</v>
      </c>
      <c r="E852" s="129"/>
      <c r="F852" s="129">
        <v>40598</v>
      </c>
      <c r="G852" s="69" t="str">
        <f>IF(stdProdLT(Main[[#This Row],[Comments]])=0.1,"N/A",IF(stdProdLT(Main[[#This Row],[Comments]])=0,"",stdProdLT(Main[[#This Row],[Comments]])))</f>
        <v/>
      </c>
      <c r="H852" s="138" t="str">
        <f>IF(Main[[#This Row],[In Stock Date]]="N/A", "N/A",IF(AND(Main[[#This Row],[In Stock Date]]&lt;&gt;"",Main[[#This Row],[Revised Due Date]]&lt;&gt;"",Main[[#This Row],[In Stock Date]]&lt;&gt;""),Main[[#This Row],[In Stock Date]]-Main[[#This Row],[Revised Due Date]],""))</f>
        <v/>
      </c>
      <c r="I852" s="139" t="s">
        <v>306</v>
      </c>
      <c r="J852" s="139" t="s">
        <v>75</v>
      </c>
      <c r="K852" s="140" t="s">
        <v>4</v>
      </c>
      <c r="L852" s="129"/>
      <c r="M852" s="114" t="str">
        <f>IF(Main[[#This Row],[Tech Start Date]]&lt;1/1/1990,"",IF(Main[[#This Row],[Class]]="C",WORKDAY(Main[[#This Row],[Tech Start Date]],9),IF(Main[[#This Row],[Class]]="B", WORKDAY(Main[[#This Row],[Tech Start Date]],6),IF(Main[[#This Row],[Class]]="A",WORKDAY(Main[[#This Row],[Tech Start Date]],2),""))))</f>
        <v/>
      </c>
      <c r="N852" s="114" t="str">
        <f>IF(Main[[#This Row],[Tech Start Date]]&lt;1/1/1990,"",IF(Main[[#This Row],[Class]]="C",WORKDAY(Main[[#This Row],[Tech Start Date]],19),IF(Main[[#This Row],[Class]]="B", WORKDAY(Main[[#This Row],[Tech Start Date]],12),IF(Main[[#This Row],[Class]]="A",WORKDAY(Main[[#This Row],[Tech Start Date]],4),""))))</f>
        <v/>
      </c>
      <c r="O852" s="114" t="str">
        <f>IF(Main[[#This Row],[Tech Start Date]]&lt;1/1/1990,"",IF(Main[[#This Row],[Class]]="C",WORKDAY(Main[[#This Row],[Tech Start Date]],23),IF(Main[[#This Row],[Class]]="B", WORKDAY(Main[[#This Row],[Tech Start Date]],15),IF(Main[[#This Row],[Class]]="A",WORKDAY(Main[[#This Row],[Tech Start Date]],5),""))))</f>
        <v/>
      </c>
      <c r="P852" s="114" t="str">
        <f>IF(Main[[#This Row],[Tech Start Date]]&lt;1/1/1990,"",IF(Main[[#This Row],[Class]]="C",WORKDAY(Main[[#This Row],[Tech Start Date]],28),IF(Main[[#This Row],[Class]]="B", WORKDAY(Main[[#This Row],[Tech Start Date]],19),IF(Main[[#This Row],[Class]]="A",WORKDAY(Main[[#This Row],[Tech Start Date]],9),""))))</f>
        <v/>
      </c>
      <c r="Q852" s="129">
        <v>40598</v>
      </c>
      <c r="R852" s="129"/>
      <c r="S852" s="139" t="s">
        <v>6</v>
      </c>
      <c r="T852" s="115" t="s">
        <v>4</v>
      </c>
      <c r="U852" s="139" t="s">
        <v>14</v>
      </c>
      <c r="V852" s="139" t="s">
        <v>1924</v>
      </c>
      <c r="W852" s="139" t="s">
        <v>1920</v>
      </c>
      <c r="X852" s="139" t="s">
        <v>2848</v>
      </c>
      <c r="Y852" s="112" t="s">
        <v>2979</v>
      </c>
      <c r="Z852" s="112" t="s">
        <v>306</v>
      </c>
      <c r="AA852" s="139" t="s">
        <v>2848</v>
      </c>
    </row>
    <row r="853" spans="1:27" ht="17.25" customHeight="1">
      <c r="A853" s="69" t="str">
        <f>IF(priority(Main[[#This Row],[Comments]])&lt;&gt;0, priority(Main[[#This Row],[Comments]]),"")</f>
        <v/>
      </c>
      <c r="B853" s="63" t="s">
        <v>1653</v>
      </c>
      <c r="C853" s="148" t="s">
        <v>347</v>
      </c>
      <c r="D853" s="113" t="s">
        <v>719</v>
      </c>
      <c r="E853" s="129"/>
      <c r="F853" s="129"/>
      <c r="G853" s="69" t="str">
        <f>IF(stdProdLT(Main[[#This Row],[Comments]])=0.1,"N/A",IF(stdProdLT(Main[[#This Row],[Comments]])=0,"",stdProdLT(Main[[#This Row],[Comments]])))</f>
        <v/>
      </c>
      <c r="H853" s="138" t="str">
        <f>IF(Main[[#This Row],[In Stock Date]]="N/A", "N/A",IF(AND(Main[[#This Row],[In Stock Date]]&lt;&gt;"",Main[[#This Row],[Revised Due Date]]&lt;&gt;"",Main[[#This Row],[In Stock Date]]&lt;&gt;""),Main[[#This Row],[In Stock Date]]-Main[[#This Row],[Revised Due Date]],""))</f>
        <v/>
      </c>
      <c r="I853" s="139" t="s">
        <v>4</v>
      </c>
      <c r="J853" s="139" t="s">
        <v>28</v>
      </c>
      <c r="K853" s="139" t="s">
        <v>1926</v>
      </c>
      <c r="L853" s="129"/>
      <c r="M853" s="114" t="str">
        <f>IF(Main[[#This Row],[Tech Start Date]]&lt;1/1/1990,"",IF(Main[[#This Row],[Class]]="C",WORKDAY(Main[[#This Row],[Tech Start Date]],9),IF(Main[[#This Row],[Class]]="B", WORKDAY(Main[[#This Row],[Tech Start Date]],6),IF(Main[[#This Row],[Class]]="A",WORKDAY(Main[[#This Row],[Tech Start Date]],2),""))))</f>
        <v/>
      </c>
      <c r="N853" s="114" t="str">
        <f>IF(Main[[#This Row],[Tech Start Date]]&lt;1/1/1990,"",IF(Main[[#This Row],[Class]]="C",WORKDAY(Main[[#This Row],[Tech Start Date]],19),IF(Main[[#This Row],[Class]]="B", WORKDAY(Main[[#This Row],[Tech Start Date]],12),IF(Main[[#This Row],[Class]]="A",WORKDAY(Main[[#This Row],[Tech Start Date]],4),""))))</f>
        <v/>
      </c>
      <c r="O853" s="114" t="str">
        <f>IF(Main[[#This Row],[Tech Start Date]]&lt;1/1/1990,"",IF(Main[[#This Row],[Class]]="C",WORKDAY(Main[[#This Row],[Tech Start Date]],23),IF(Main[[#This Row],[Class]]="B", WORKDAY(Main[[#This Row],[Tech Start Date]],15),IF(Main[[#This Row],[Class]]="A",WORKDAY(Main[[#This Row],[Tech Start Date]],5),""))))</f>
        <v/>
      </c>
      <c r="P853" s="114" t="str">
        <f>IF(Main[[#This Row],[Tech Start Date]]&lt;1/1/1990,"",IF(Main[[#This Row],[Class]]="C",WORKDAY(Main[[#This Row],[Tech Start Date]],28),IF(Main[[#This Row],[Class]]="B", WORKDAY(Main[[#This Row],[Tech Start Date]],19),IF(Main[[#This Row],[Class]]="A",WORKDAY(Main[[#This Row],[Tech Start Date]],9),""))))</f>
        <v/>
      </c>
      <c r="Q853" s="129"/>
      <c r="R853" s="129"/>
      <c r="S853" s="139" t="s">
        <v>17</v>
      </c>
      <c r="T853" s="115" t="s">
        <v>4</v>
      </c>
      <c r="U853" s="139" t="s">
        <v>14</v>
      </c>
      <c r="V853" s="139" t="s">
        <v>1917</v>
      </c>
      <c r="W853" s="139" t="s">
        <v>1919</v>
      </c>
      <c r="X853" s="139" t="s">
        <v>50</v>
      </c>
      <c r="Y853" s="112" t="s">
        <v>3093</v>
      </c>
      <c r="Z853" s="112" t="s">
        <v>415</v>
      </c>
      <c r="AA853" s="139" t="s">
        <v>2872</v>
      </c>
    </row>
    <row r="854" spans="1:27" ht="17.25" customHeight="1">
      <c r="A854" s="69" t="str">
        <f>IF(priority(Main[[#This Row],[Comments]])&lt;&gt;0, priority(Main[[#This Row],[Comments]]),"")</f>
        <v/>
      </c>
      <c r="B854" s="63" t="s">
        <v>1655</v>
      </c>
      <c r="C854" s="148" t="s">
        <v>31</v>
      </c>
      <c r="D854" s="113" t="s">
        <v>388</v>
      </c>
      <c r="E854" s="129"/>
      <c r="F854" s="129">
        <v>40288</v>
      </c>
      <c r="G854" s="69" t="str">
        <f>IF(stdProdLT(Main[[#This Row],[Comments]])=0.1,"N/A",IF(stdProdLT(Main[[#This Row],[Comments]])=0,"",stdProdLT(Main[[#This Row],[Comments]])))</f>
        <v/>
      </c>
      <c r="H854" s="138" t="str">
        <f>IF(Main[[#This Row],[In Stock Date]]="N/A", "N/A",IF(AND(Main[[#This Row],[In Stock Date]]&lt;&gt;"",Main[[#This Row],[Revised Due Date]]&lt;&gt;"",Main[[#This Row],[In Stock Date]]&lt;&gt;""),Main[[#This Row],[In Stock Date]]-Main[[#This Row],[Revised Due Date]],""))</f>
        <v/>
      </c>
      <c r="I854" s="139" t="s">
        <v>4</v>
      </c>
      <c r="J854" s="139" t="s">
        <v>4</v>
      </c>
      <c r="K854" s="139" t="s">
        <v>4</v>
      </c>
      <c r="L854" s="129"/>
      <c r="M854" s="114" t="str">
        <f>IF(Main[[#This Row],[Tech Start Date]]&lt;1/1/1990,"",IF(Main[[#This Row],[Class]]="C",WORKDAY(Main[[#This Row],[Tech Start Date]],9),IF(Main[[#This Row],[Class]]="B", WORKDAY(Main[[#This Row],[Tech Start Date]],6),IF(Main[[#This Row],[Class]]="A",WORKDAY(Main[[#This Row],[Tech Start Date]],2),""))))</f>
        <v/>
      </c>
      <c r="N854" s="114" t="str">
        <f>IF(Main[[#This Row],[Tech Start Date]]&lt;1/1/1990,"",IF(Main[[#This Row],[Class]]="C",WORKDAY(Main[[#This Row],[Tech Start Date]],19),IF(Main[[#This Row],[Class]]="B", WORKDAY(Main[[#This Row],[Tech Start Date]],12),IF(Main[[#This Row],[Class]]="A",WORKDAY(Main[[#This Row],[Tech Start Date]],4),""))))</f>
        <v/>
      </c>
      <c r="O854" s="114" t="str">
        <f>IF(Main[[#This Row],[Tech Start Date]]&lt;1/1/1990,"",IF(Main[[#This Row],[Class]]="C",WORKDAY(Main[[#This Row],[Tech Start Date]],23),IF(Main[[#This Row],[Class]]="B", WORKDAY(Main[[#This Row],[Tech Start Date]],15),IF(Main[[#This Row],[Class]]="A",WORKDAY(Main[[#This Row],[Tech Start Date]],5),""))))</f>
        <v/>
      </c>
      <c r="P854" s="114" t="str">
        <f>IF(Main[[#This Row],[Tech Start Date]]&lt;1/1/1990,"",IF(Main[[#This Row],[Class]]="C",WORKDAY(Main[[#This Row],[Tech Start Date]],28),IF(Main[[#This Row],[Class]]="B", WORKDAY(Main[[#This Row],[Tech Start Date]],19),IF(Main[[#This Row],[Class]]="A",WORKDAY(Main[[#This Row],[Tech Start Date]],9),""))))</f>
        <v/>
      </c>
      <c r="Q854" s="129">
        <v>40106</v>
      </c>
      <c r="R854" s="129"/>
      <c r="S854" s="139" t="s">
        <v>11</v>
      </c>
      <c r="T854" s="115" t="s">
        <v>4</v>
      </c>
      <c r="U854" s="139" t="s">
        <v>14</v>
      </c>
      <c r="V854" s="139" t="s">
        <v>1917</v>
      </c>
      <c r="W854" s="139" t="s">
        <v>1925</v>
      </c>
      <c r="X854" s="139" t="s">
        <v>2830</v>
      </c>
      <c r="Y854" s="112" t="s">
        <v>4</v>
      </c>
      <c r="Z854" s="112" t="s">
        <v>4</v>
      </c>
      <c r="AA854" s="139" t="s">
        <v>2830</v>
      </c>
    </row>
    <row r="855" spans="1:27" ht="17.25" customHeight="1">
      <c r="A855" s="69" t="str">
        <f>IF(priority(Main[[#This Row],[Comments]])&lt;&gt;0, priority(Main[[#This Row],[Comments]]),"")</f>
        <v/>
      </c>
      <c r="B855" s="63" t="s">
        <v>1656</v>
      </c>
      <c r="C855" s="148" t="s">
        <v>4</v>
      </c>
      <c r="D855" s="113" t="s">
        <v>721</v>
      </c>
      <c r="E855" s="129"/>
      <c r="F855" s="129">
        <v>40640</v>
      </c>
      <c r="G855" s="69" t="str">
        <f>IF(stdProdLT(Main[[#This Row],[Comments]])=0.1,"N/A",IF(stdProdLT(Main[[#This Row],[Comments]])=0,"",stdProdLT(Main[[#This Row],[Comments]])))</f>
        <v/>
      </c>
      <c r="H855" s="138" t="str">
        <f>IF(Main[[#This Row],[In Stock Date]]="N/A", "N/A",IF(AND(Main[[#This Row],[In Stock Date]]&lt;&gt;"",Main[[#This Row],[Revised Due Date]]&lt;&gt;"",Main[[#This Row],[In Stock Date]]&lt;&gt;""),Main[[#This Row],[In Stock Date]]-Main[[#This Row],[Revised Due Date]],""))</f>
        <v/>
      </c>
      <c r="I855" s="139" t="s">
        <v>4</v>
      </c>
      <c r="J855" s="139" t="s">
        <v>28</v>
      </c>
      <c r="K855" s="140" t="s">
        <v>1927</v>
      </c>
      <c r="L855" s="129"/>
      <c r="M855" s="114" t="str">
        <f>IF(Main[[#This Row],[Tech Start Date]]&lt;1/1/1990,"",IF(Main[[#This Row],[Class]]="C",WORKDAY(Main[[#This Row],[Tech Start Date]],9),IF(Main[[#This Row],[Class]]="B", WORKDAY(Main[[#This Row],[Tech Start Date]],6),IF(Main[[#This Row],[Class]]="A",WORKDAY(Main[[#This Row],[Tech Start Date]],2),""))))</f>
        <v/>
      </c>
      <c r="N855" s="114" t="str">
        <f>IF(Main[[#This Row],[Tech Start Date]]&lt;1/1/1990,"",IF(Main[[#This Row],[Class]]="C",WORKDAY(Main[[#This Row],[Tech Start Date]],19),IF(Main[[#This Row],[Class]]="B", WORKDAY(Main[[#This Row],[Tech Start Date]],12),IF(Main[[#This Row],[Class]]="A",WORKDAY(Main[[#This Row],[Tech Start Date]],4),""))))</f>
        <v/>
      </c>
      <c r="O855" s="114" t="str">
        <f>IF(Main[[#This Row],[Tech Start Date]]&lt;1/1/1990,"",IF(Main[[#This Row],[Class]]="C",WORKDAY(Main[[#This Row],[Tech Start Date]],23),IF(Main[[#This Row],[Class]]="B", WORKDAY(Main[[#This Row],[Tech Start Date]],15),IF(Main[[#This Row],[Class]]="A",WORKDAY(Main[[#This Row],[Tech Start Date]],5),""))))</f>
        <v/>
      </c>
      <c r="P855" s="114" t="str">
        <f>IF(Main[[#This Row],[Tech Start Date]]&lt;1/1/1990,"",IF(Main[[#This Row],[Class]]="C",WORKDAY(Main[[#This Row],[Tech Start Date]],28),IF(Main[[#This Row],[Class]]="B", WORKDAY(Main[[#This Row],[Tech Start Date]],19),IF(Main[[#This Row],[Class]]="A",WORKDAY(Main[[#This Row],[Tech Start Date]],9),""))))</f>
        <v/>
      </c>
      <c r="Q855" s="129">
        <v>40640</v>
      </c>
      <c r="R855" s="129"/>
      <c r="S855" s="139" t="s">
        <v>11</v>
      </c>
      <c r="T855" s="115" t="s">
        <v>4</v>
      </c>
      <c r="U855" s="139" t="s">
        <v>14</v>
      </c>
      <c r="V855" s="139" t="s">
        <v>1914</v>
      </c>
      <c r="W855" s="139" t="s">
        <v>1922</v>
      </c>
      <c r="X855" s="139" t="s">
        <v>2861</v>
      </c>
      <c r="Y855" s="112" t="s">
        <v>3005</v>
      </c>
      <c r="Z855" s="112" t="s">
        <v>129</v>
      </c>
      <c r="AA855" s="139" t="s">
        <v>2861</v>
      </c>
    </row>
    <row r="856" spans="1:27" ht="17.25" customHeight="1">
      <c r="A856" s="69" t="str">
        <f>IF(priority(Main[[#This Row],[Comments]])&lt;&gt;0, priority(Main[[#This Row],[Comments]]),"")</f>
        <v/>
      </c>
      <c r="B856" s="63" t="s">
        <v>1657</v>
      </c>
      <c r="C856" s="148" t="s">
        <v>4</v>
      </c>
      <c r="D856" s="113" t="s">
        <v>722</v>
      </c>
      <c r="E856" s="129"/>
      <c r="F856" s="129"/>
      <c r="G856" s="69" t="str">
        <f>IF(stdProdLT(Main[[#This Row],[Comments]])=0.1,"N/A",IF(stdProdLT(Main[[#This Row],[Comments]])=0,"",stdProdLT(Main[[#This Row],[Comments]])))</f>
        <v/>
      </c>
      <c r="H856" s="138" t="str">
        <f>IF(Main[[#This Row],[In Stock Date]]="N/A", "N/A",IF(AND(Main[[#This Row],[In Stock Date]]&lt;&gt;"",Main[[#This Row],[Revised Due Date]]&lt;&gt;"",Main[[#This Row],[In Stock Date]]&lt;&gt;""),Main[[#This Row],[In Stock Date]]-Main[[#This Row],[Revised Due Date]],""))</f>
        <v/>
      </c>
      <c r="I856" s="139" t="s">
        <v>4</v>
      </c>
      <c r="J856" s="139" t="s">
        <v>4</v>
      </c>
      <c r="K856" s="139" t="s">
        <v>4</v>
      </c>
      <c r="L856" s="129"/>
      <c r="M856" s="114" t="str">
        <f>IF(Main[[#This Row],[Tech Start Date]]&lt;1/1/1990,"",IF(Main[[#This Row],[Class]]="C",WORKDAY(Main[[#This Row],[Tech Start Date]],9),IF(Main[[#This Row],[Class]]="B", WORKDAY(Main[[#This Row],[Tech Start Date]],6),IF(Main[[#This Row],[Class]]="A",WORKDAY(Main[[#This Row],[Tech Start Date]],2),""))))</f>
        <v/>
      </c>
      <c r="N856" s="114" t="str">
        <f>IF(Main[[#This Row],[Tech Start Date]]&lt;1/1/1990,"",IF(Main[[#This Row],[Class]]="C",WORKDAY(Main[[#This Row],[Tech Start Date]],19),IF(Main[[#This Row],[Class]]="B", WORKDAY(Main[[#This Row],[Tech Start Date]],12),IF(Main[[#This Row],[Class]]="A",WORKDAY(Main[[#This Row],[Tech Start Date]],4),""))))</f>
        <v/>
      </c>
      <c r="O856" s="114" t="str">
        <f>IF(Main[[#This Row],[Tech Start Date]]&lt;1/1/1990,"",IF(Main[[#This Row],[Class]]="C",WORKDAY(Main[[#This Row],[Tech Start Date]],23),IF(Main[[#This Row],[Class]]="B", WORKDAY(Main[[#This Row],[Tech Start Date]],15),IF(Main[[#This Row],[Class]]="A",WORKDAY(Main[[#This Row],[Tech Start Date]],5),""))))</f>
        <v/>
      </c>
      <c r="P856" s="114" t="str">
        <f>IF(Main[[#This Row],[Tech Start Date]]&lt;1/1/1990,"",IF(Main[[#This Row],[Class]]="C",WORKDAY(Main[[#This Row],[Tech Start Date]],28),IF(Main[[#This Row],[Class]]="B", WORKDAY(Main[[#This Row],[Tech Start Date]],19),IF(Main[[#This Row],[Class]]="A",WORKDAY(Main[[#This Row],[Tech Start Date]],9),""))))</f>
        <v/>
      </c>
      <c r="Q856" s="129">
        <v>40385</v>
      </c>
      <c r="R856" s="129"/>
      <c r="S856" s="139" t="s">
        <v>6</v>
      </c>
      <c r="T856" s="115" t="s">
        <v>4</v>
      </c>
      <c r="U856" s="139" t="s">
        <v>14</v>
      </c>
      <c r="V856" s="139" t="s">
        <v>1917</v>
      </c>
      <c r="W856" s="139" t="s">
        <v>1916</v>
      </c>
      <c r="X856" s="139" t="s">
        <v>102</v>
      </c>
      <c r="Y856" s="112" t="s">
        <v>3032</v>
      </c>
      <c r="Z856" s="112" t="s">
        <v>4</v>
      </c>
      <c r="AA856" s="139" t="s">
        <v>3396</v>
      </c>
    </row>
    <row r="857" spans="1:27" ht="17.25" customHeight="1">
      <c r="A857" s="69" t="str">
        <f>IF(priority(Main[[#This Row],[Comments]])&lt;&gt;0, priority(Main[[#This Row],[Comments]]),"")</f>
        <v/>
      </c>
      <c r="B857" s="63" t="s">
        <v>2108</v>
      </c>
      <c r="C857" s="148" t="s">
        <v>2109</v>
      </c>
      <c r="D857" s="113" t="s">
        <v>2110</v>
      </c>
      <c r="E857" s="129">
        <v>40766.692789351851</v>
      </c>
      <c r="F857" s="129"/>
      <c r="G857" s="69" t="str">
        <f>IF(stdProdLT(Main[[#This Row],[Comments]])=0.1,"N/A",IF(stdProdLT(Main[[#This Row],[Comments]])=0,"",stdProdLT(Main[[#This Row],[Comments]])))</f>
        <v/>
      </c>
      <c r="H857" s="138" t="str">
        <f>IF(Main[[#This Row],[In Stock Date]]="N/A", "N/A",IF(AND(Main[[#This Row],[In Stock Date]]&lt;&gt;"",Main[[#This Row],[Revised Due Date]]&lt;&gt;"",Main[[#This Row],[In Stock Date]]&lt;&gt;""),Main[[#This Row],[In Stock Date]]-Main[[#This Row],[Revised Due Date]],""))</f>
        <v/>
      </c>
      <c r="I857" s="139" t="s">
        <v>4</v>
      </c>
      <c r="J857" s="139" t="s">
        <v>4</v>
      </c>
      <c r="K857" s="139" t="s">
        <v>4</v>
      </c>
      <c r="L857" s="129"/>
      <c r="M857" s="114" t="str">
        <f>IF(Main[[#This Row],[Tech Start Date]]&lt;1/1/1990,"",IF(Main[[#This Row],[Class]]="C",WORKDAY(Main[[#This Row],[Tech Start Date]],9),IF(Main[[#This Row],[Class]]="B", WORKDAY(Main[[#This Row],[Tech Start Date]],6),IF(Main[[#This Row],[Class]]="A",WORKDAY(Main[[#This Row],[Tech Start Date]],2),""))))</f>
        <v/>
      </c>
      <c r="N857" s="114" t="str">
        <f>IF(Main[[#This Row],[Tech Start Date]]&lt;1/1/1990,"",IF(Main[[#This Row],[Class]]="C",WORKDAY(Main[[#This Row],[Tech Start Date]],19),IF(Main[[#This Row],[Class]]="B", WORKDAY(Main[[#This Row],[Tech Start Date]],12),IF(Main[[#This Row],[Class]]="A",WORKDAY(Main[[#This Row],[Tech Start Date]],4),""))))</f>
        <v/>
      </c>
      <c r="O857" s="114" t="str">
        <f>IF(Main[[#This Row],[Tech Start Date]]&lt;1/1/1990,"",IF(Main[[#This Row],[Class]]="C",WORKDAY(Main[[#This Row],[Tech Start Date]],23),IF(Main[[#This Row],[Class]]="B", WORKDAY(Main[[#This Row],[Tech Start Date]],15),IF(Main[[#This Row],[Class]]="A",WORKDAY(Main[[#This Row],[Tech Start Date]],5),""))))</f>
        <v/>
      </c>
      <c r="P857" s="114" t="str">
        <f>IF(Main[[#This Row],[Tech Start Date]]&lt;1/1/1990,"",IF(Main[[#This Row],[Class]]="C",WORKDAY(Main[[#This Row],[Tech Start Date]],28),IF(Main[[#This Row],[Class]]="B", WORKDAY(Main[[#This Row],[Tech Start Date]],19),IF(Main[[#This Row],[Class]]="A",WORKDAY(Main[[#This Row],[Tech Start Date]],9),""))))</f>
        <v/>
      </c>
      <c r="Q857" s="129">
        <v>40879</v>
      </c>
      <c r="R857" s="129"/>
      <c r="S857" s="139" t="s">
        <v>17</v>
      </c>
      <c r="T857" s="115" t="s">
        <v>4</v>
      </c>
      <c r="U857" s="139" t="s">
        <v>7</v>
      </c>
      <c r="V857" s="139" t="s">
        <v>1929</v>
      </c>
      <c r="W857" s="139" t="s">
        <v>4</v>
      </c>
      <c r="X857" s="139" t="s">
        <v>956</v>
      </c>
      <c r="Y857" s="112" t="s">
        <v>3094</v>
      </c>
      <c r="Z857" s="112" t="s">
        <v>4</v>
      </c>
      <c r="AA857" s="139" t="s">
        <v>956</v>
      </c>
    </row>
    <row r="858" spans="1:27" ht="17.25" customHeight="1">
      <c r="A858" s="69" t="str">
        <f>IF(priority(Main[[#This Row],[Comments]])&lt;&gt;0, priority(Main[[#This Row],[Comments]]),"")</f>
        <v/>
      </c>
      <c r="B858" s="63" t="s">
        <v>2011</v>
      </c>
      <c r="C858" s="148" t="s">
        <v>4</v>
      </c>
      <c r="D858" s="113" t="s">
        <v>2090</v>
      </c>
      <c r="E858" s="129">
        <v>40745.696377314816</v>
      </c>
      <c r="F858" s="129"/>
      <c r="G858" s="69" t="str">
        <f>IF(stdProdLT(Main[[#This Row],[Comments]])=0.1,"N/A",IF(stdProdLT(Main[[#This Row],[Comments]])=0,"",stdProdLT(Main[[#This Row],[Comments]])))</f>
        <v/>
      </c>
      <c r="H858" s="138" t="str">
        <f>IF(Main[[#This Row],[In Stock Date]]="N/A", "N/A",IF(AND(Main[[#This Row],[In Stock Date]]&lt;&gt;"",Main[[#This Row],[Revised Due Date]]&lt;&gt;"",Main[[#This Row],[In Stock Date]]&lt;&gt;""),Main[[#This Row],[In Stock Date]]-Main[[#This Row],[Revised Due Date]],""))</f>
        <v/>
      </c>
      <c r="I858" s="139" t="s">
        <v>431</v>
      </c>
      <c r="J858" s="139" t="s">
        <v>21</v>
      </c>
      <c r="K858" s="139" t="s">
        <v>1923</v>
      </c>
      <c r="L858" s="129"/>
      <c r="M858" s="114" t="str">
        <f>IF(Main[[#This Row],[Tech Start Date]]&lt;1/1/1990,"",IF(Main[[#This Row],[Class]]="C",WORKDAY(Main[[#This Row],[Tech Start Date]],9),IF(Main[[#This Row],[Class]]="B", WORKDAY(Main[[#This Row],[Tech Start Date]],6),IF(Main[[#This Row],[Class]]="A",WORKDAY(Main[[#This Row],[Tech Start Date]],2),""))))</f>
        <v/>
      </c>
      <c r="N858" s="114" t="str">
        <f>IF(Main[[#This Row],[Tech Start Date]]&lt;1/1/1990,"",IF(Main[[#This Row],[Class]]="C",WORKDAY(Main[[#This Row],[Tech Start Date]],19),IF(Main[[#This Row],[Class]]="B", WORKDAY(Main[[#This Row],[Tech Start Date]],12),IF(Main[[#This Row],[Class]]="A",WORKDAY(Main[[#This Row],[Tech Start Date]],4),""))))</f>
        <v/>
      </c>
      <c r="O858" s="114" t="str">
        <f>IF(Main[[#This Row],[Tech Start Date]]&lt;1/1/1990,"",IF(Main[[#This Row],[Class]]="C",WORKDAY(Main[[#This Row],[Tech Start Date]],23),IF(Main[[#This Row],[Class]]="B", WORKDAY(Main[[#This Row],[Tech Start Date]],15),IF(Main[[#This Row],[Class]]="A",WORKDAY(Main[[#This Row],[Tech Start Date]],5),""))))</f>
        <v/>
      </c>
      <c r="P858" s="114" t="str">
        <f>IF(Main[[#This Row],[Tech Start Date]]&lt;1/1/1990,"",IF(Main[[#This Row],[Class]]="C",WORKDAY(Main[[#This Row],[Tech Start Date]],28),IF(Main[[#This Row],[Class]]="B", WORKDAY(Main[[#This Row],[Tech Start Date]],19),IF(Main[[#This Row],[Class]]="A",WORKDAY(Main[[#This Row],[Tech Start Date]],9),""))))</f>
        <v/>
      </c>
      <c r="Q858" s="129">
        <v>40786</v>
      </c>
      <c r="R858" s="129"/>
      <c r="S858" s="139" t="s">
        <v>6</v>
      </c>
      <c r="T858" s="115" t="s">
        <v>4</v>
      </c>
      <c r="U858" s="139" t="s">
        <v>29</v>
      </c>
      <c r="V858" s="139" t="s">
        <v>1917</v>
      </c>
      <c r="W858" s="139" t="s">
        <v>1918</v>
      </c>
      <c r="X858" s="139" t="s">
        <v>30</v>
      </c>
      <c r="Y858" s="112" t="s">
        <v>3095</v>
      </c>
      <c r="Z858" s="112" t="s">
        <v>44</v>
      </c>
      <c r="AA858" s="139" t="s">
        <v>3438</v>
      </c>
    </row>
    <row r="859" spans="1:27" ht="17.25" customHeight="1">
      <c r="A859" s="69" t="str">
        <f>IF(priority(Main[[#This Row],[Comments]])&lt;&gt;0, priority(Main[[#This Row],[Comments]]),"")</f>
        <v/>
      </c>
      <c r="B859" s="63" t="s">
        <v>2188</v>
      </c>
      <c r="C859" s="148" t="s">
        <v>4</v>
      </c>
      <c r="D859" s="113" t="s">
        <v>2189</v>
      </c>
      <c r="E859" s="129"/>
      <c r="F859" s="129"/>
      <c r="G859" s="69" t="str">
        <f>IF(stdProdLT(Main[[#This Row],[Comments]])=0.1,"N/A",IF(stdProdLT(Main[[#This Row],[Comments]])=0,"",stdProdLT(Main[[#This Row],[Comments]])))</f>
        <v/>
      </c>
      <c r="H859" s="138" t="str">
        <f>IF(Main[[#This Row],[In Stock Date]]="N/A", "N/A",IF(AND(Main[[#This Row],[In Stock Date]]&lt;&gt;"",Main[[#This Row],[Revised Due Date]]&lt;&gt;"",Main[[#This Row],[In Stock Date]]&lt;&gt;""),Main[[#This Row],[In Stock Date]]-Main[[#This Row],[Revised Due Date]],""))</f>
        <v/>
      </c>
      <c r="I859" s="139" t="s">
        <v>4</v>
      </c>
      <c r="J859" s="139" t="s">
        <v>4</v>
      </c>
      <c r="K859" s="139" t="s">
        <v>4</v>
      </c>
      <c r="L859" s="129"/>
      <c r="M859" s="114" t="str">
        <f>IF(Main[[#This Row],[Tech Start Date]]&lt;1/1/1990,"",IF(Main[[#This Row],[Class]]="C",WORKDAY(Main[[#This Row],[Tech Start Date]],9),IF(Main[[#This Row],[Class]]="B", WORKDAY(Main[[#This Row],[Tech Start Date]],6),IF(Main[[#This Row],[Class]]="A",WORKDAY(Main[[#This Row],[Tech Start Date]],2),""))))</f>
        <v/>
      </c>
      <c r="N859" s="114" t="str">
        <f>IF(Main[[#This Row],[Tech Start Date]]&lt;1/1/1990,"",IF(Main[[#This Row],[Class]]="C",WORKDAY(Main[[#This Row],[Tech Start Date]],19),IF(Main[[#This Row],[Class]]="B", WORKDAY(Main[[#This Row],[Tech Start Date]],12),IF(Main[[#This Row],[Class]]="A",WORKDAY(Main[[#This Row],[Tech Start Date]],4),""))))</f>
        <v/>
      </c>
      <c r="O859" s="114" t="str">
        <f>IF(Main[[#This Row],[Tech Start Date]]&lt;1/1/1990,"",IF(Main[[#This Row],[Class]]="C",WORKDAY(Main[[#This Row],[Tech Start Date]],23),IF(Main[[#This Row],[Class]]="B", WORKDAY(Main[[#This Row],[Tech Start Date]],15),IF(Main[[#This Row],[Class]]="A",WORKDAY(Main[[#This Row],[Tech Start Date]],5),""))))</f>
        <v/>
      </c>
      <c r="P859" s="114" t="str">
        <f>IF(Main[[#This Row],[Tech Start Date]]&lt;1/1/1990,"",IF(Main[[#This Row],[Class]]="C",WORKDAY(Main[[#This Row],[Tech Start Date]],28),IF(Main[[#This Row],[Class]]="B", WORKDAY(Main[[#This Row],[Tech Start Date]],19),IF(Main[[#This Row],[Class]]="A",WORKDAY(Main[[#This Row],[Tech Start Date]],9),""))))</f>
        <v/>
      </c>
      <c r="Q859" s="129">
        <v>40798</v>
      </c>
      <c r="R859" s="129"/>
      <c r="S859" s="139" t="s">
        <v>49</v>
      </c>
      <c r="T859" s="115" t="s">
        <v>4</v>
      </c>
      <c r="U859" s="139" t="s">
        <v>14</v>
      </c>
      <c r="V859" s="139" t="s">
        <v>1924</v>
      </c>
      <c r="W859" s="139" t="s">
        <v>1922</v>
      </c>
      <c r="X859" s="139" t="s">
        <v>2906</v>
      </c>
      <c r="Y859" s="112" t="s">
        <v>3096</v>
      </c>
      <c r="Z859" s="112" t="s">
        <v>4</v>
      </c>
      <c r="AA859" s="139" t="s">
        <v>2906</v>
      </c>
    </row>
    <row r="860" spans="1:27" ht="17.25" customHeight="1">
      <c r="A860" s="69" t="str">
        <f>IF(priority(Main[[#This Row],[Comments]])&lt;&gt;0, priority(Main[[#This Row],[Comments]]),"")</f>
        <v/>
      </c>
      <c r="B860" s="63" t="s">
        <v>1677</v>
      </c>
      <c r="C860" s="148" t="s">
        <v>72</v>
      </c>
      <c r="D860" s="113" t="s">
        <v>735</v>
      </c>
      <c r="E860" s="129"/>
      <c r="F860" s="129"/>
      <c r="G860" s="69" t="str">
        <f>IF(stdProdLT(Main[[#This Row],[Comments]])=0.1,"N/A",IF(stdProdLT(Main[[#This Row],[Comments]])=0,"",stdProdLT(Main[[#This Row],[Comments]])))</f>
        <v/>
      </c>
      <c r="H860" s="138" t="str">
        <f>IF(Main[[#This Row],[In Stock Date]]="N/A", "N/A",IF(AND(Main[[#This Row],[In Stock Date]]&lt;&gt;"",Main[[#This Row],[Revised Due Date]]&lt;&gt;"",Main[[#This Row],[In Stock Date]]&lt;&gt;""),Main[[#This Row],[In Stock Date]]-Main[[#This Row],[Revised Due Date]],""))</f>
        <v/>
      </c>
      <c r="I860" s="139" t="s">
        <v>4</v>
      </c>
      <c r="J860" s="139" t="s">
        <v>28</v>
      </c>
      <c r="K860" s="139" t="s">
        <v>1923</v>
      </c>
      <c r="L860" s="129"/>
      <c r="M860" s="114" t="str">
        <f>IF(Main[[#This Row],[Tech Start Date]]&lt;1/1/1990,"",IF(Main[[#This Row],[Class]]="C",WORKDAY(Main[[#This Row],[Tech Start Date]],9),IF(Main[[#This Row],[Class]]="B", WORKDAY(Main[[#This Row],[Tech Start Date]],6),IF(Main[[#This Row],[Class]]="A",WORKDAY(Main[[#This Row],[Tech Start Date]],2),""))))</f>
        <v/>
      </c>
      <c r="N860" s="114" t="str">
        <f>IF(Main[[#This Row],[Tech Start Date]]&lt;1/1/1990,"",IF(Main[[#This Row],[Class]]="C",WORKDAY(Main[[#This Row],[Tech Start Date]],19),IF(Main[[#This Row],[Class]]="B", WORKDAY(Main[[#This Row],[Tech Start Date]],12),IF(Main[[#This Row],[Class]]="A",WORKDAY(Main[[#This Row],[Tech Start Date]],4),""))))</f>
        <v/>
      </c>
      <c r="O860" s="114" t="str">
        <f>IF(Main[[#This Row],[Tech Start Date]]&lt;1/1/1990,"",IF(Main[[#This Row],[Class]]="C",WORKDAY(Main[[#This Row],[Tech Start Date]],23),IF(Main[[#This Row],[Class]]="B", WORKDAY(Main[[#This Row],[Tech Start Date]],15),IF(Main[[#This Row],[Class]]="A",WORKDAY(Main[[#This Row],[Tech Start Date]],5),""))))</f>
        <v/>
      </c>
      <c r="P860" s="114" t="str">
        <f>IF(Main[[#This Row],[Tech Start Date]]&lt;1/1/1990,"",IF(Main[[#This Row],[Class]]="C",WORKDAY(Main[[#This Row],[Tech Start Date]],28),IF(Main[[#This Row],[Class]]="B", WORKDAY(Main[[#This Row],[Tech Start Date]],19),IF(Main[[#This Row],[Class]]="A",WORKDAY(Main[[#This Row],[Tech Start Date]],9),""))))</f>
        <v/>
      </c>
      <c r="Q860" s="129"/>
      <c r="R860" s="129"/>
      <c r="S860" s="139" t="s">
        <v>6</v>
      </c>
      <c r="T860" s="115" t="s">
        <v>4</v>
      </c>
      <c r="U860" s="139" t="s">
        <v>14</v>
      </c>
      <c r="V860" s="139" t="s">
        <v>1917</v>
      </c>
      <c r="W860" s="139" t="s">
        <v>1916</v>
      </c>
      <c r="X860" s="139" t="s">
        <v>2847</v>
      </c>
      <c r="Y860" s="112" t="s">
        <v>2978</v>
      </c>
      <c r="Z860" s="112" t="s">
        <v>530</v>
      </c>
      <c r="AA860" s="139" t="s">
        <v>2847</v>
      </c>
    </row>
    <row r="861" spans="1:27" ht="17.25" customHeight="1">
      <c r="A861" s="69" t="str">
        <f>IF(priority(Main[[#This Row],[Comments]])&lt;&gt;0, priority(Main[[#This Row],[Comments]]),"")</f>
        <v/>
      </c>
      <c r="B861" s="63" t="s">
        <v>1678</v>
      </c>
      <c r="C861" s="148" t="s">
        <v>4</v>
      </c>
      <c r="D861" s="113" t="s">
        <v>39</v>
      </c>
      <c r="E861" s="129"/>
      <c r="F861" s="129"/>
      <c r="G861" s="69" t="str">
        <f>IF(stdProdLT(Main[[#This Row],[Comments]])=0.1,"N/A",IF(stdProdLT(Main[[#This Row],[Comments]])=0,"",stdProdLT(Main[[#This Row],[Comments]])))</f>
        <v/>
      </c>
      <c r="H861" s="138" t="str">
        <f>IF(Main[[#This Row],[In Stock Date]]="N/A", "N/A",IF(AND(Main[[#This Row],[In Stock Date]]&lt;&gt;"",Main[[#This Row],[Revised Due Date]]&lt;&gt;"",Main[[#This Row],[In Stock Date]]&lt;&gt;""),Main[[#This Row],[In Stock Date]]-Main[[#This Row],[Revised Due Date]],""))</f>
        <v/>
      </c>
      <c r="I861" s="139" t="s">
        <v>4</v>
      </c>
      <c r="J861" s="139" t="s">
        <v>4</v>
      </c>
      <c r="K861" s="139" t="s">
        <v>4</v>
      </c>
      <c r="L861" s="129"/>
      <c r="M861" s="114" t="str">
        <f>IF(Main[[#This Row],[Tech Start Date]]&lt;1/1/1990,"",IF(Main[[#This Row],[Class]]="C",WORKDAY(Main[[#This Row],[Tech Start Date]],9),IF(Main[[#This Row],[Class]]="B", WORKDAY(Main[[#This Row],[Tech Start Date]],6),IF(Main[[#This Row],[Class]]="A",WORKDAY(Main[[#This Row],[Tech Start Date]],2),""))))</f>
        <v/>
      </c>
      <c r="N861" s="114" t="str">
        <f>IF(Main[[#This Row],[Tech Start Date]]&lt;1/1/1990,"",IF(Main[[#This Row],[Class]]="C",WORKDAY(Main[[#This Row],[Tech Start Date]],19),IF(Main[[#This Row],[Class]]="B", WORKDAY(Main[[#This Row],[Tech Start Date]],12),IF(Main[[#This Row],[Class]]="A",WORKDAY(Main[[#This Row],[Tech Start Date]],4),""))))</f>
        <v/>
      </c>
      <c r="O861" s="114" t="str">
        <f>IF(Main[[#This Row],[Tech Start Date]]&lt;1/1/1990,"",IF(Main[[#This Row],[Class]]="C",WORKDAY(Main[[#This Row],[Tech Start Date]],23),IF(Main[[#This Row],[Class]]="B", WORKDAY(Main[[#This Row],[Tech Start Date]],15),IF(Main[[#This Row],[Class]]="A",WORKDAY(Main[[#This Row],[Tech Start Date]],5),""))))</f>
        <v/>
      </c>
      <c r="P861" s="114" t="str">
        <f>IF(Main[[#This Row],[Tech Start Date]]&lt;1/1/1990,"",IF(Main[[#This Row],[Class]]="C",WORKDAY(Main[[#This Row],[Tech Start Date]],28),IF(Main[[#This Row],[Class]]="B", WORKDAY(Main[[#This Row],[Tech Start Date]],19),IF(Main[[#This Row],[Class]]="A",WORKDAY(Main[[#This Row],[Tech Start Date]],9),""))))</f>
        <v/>
      </c>
      <c r="Q861" s="129">
        <v>40669</v>
      </c>
      <c r="R861" s="129"/>
      <c r="S861" s="139" t="s">
        <v>6</v>
      </c>
      <c r="T861" s="115" t="s">
        <v>4</v>
      </c>
      <c r="U861" s="139" t="s">
        <v>14</v>
      </c>
      <c r="V861" s="139" t="s">
        <v>1917</v>
      </c>
      <c r="W861" s="139" t="s">
        <v>4</v>
      </c>
      <c r="X861" s="139" t="s">
        <v>2818</v>
      </c>
      <c r="Y861" s="112" t="s">
        <v>2929</v>
      </c>
      <c r="Z861" s="112" t="s">
        <v>4</v>
      </c>
      <c r="AA861" s="139" t="s">
        <v>2818</v>
      </c>
    </row>
    <row r="862" spans="1:27" ht="17.25" customHeight="1">
      <c r="A862" s="69" t="str">
        <f>IF(priority(Main[[#This Row],[Comments]])&lt;&gt;0, priority(Main[[#This Row],[Comments]]),"")</f>
        <v/>
      </c>
      <c r="B862" s="63" t="s">
        <v>1659</v>
      </c>
      <c r="C862" s="148" t="s">
        <v>72</v>
      </c>
      <c r="D862" s="113" t="s">
        <v>723</v>
      </c>
      <c r="E862" s="129"/>
      <c r="F862" s="129"/>
      <c r="G862" s="69" t="str">
        <f>IF(stdProdLT(Main[[#This Row],[Comments]])=0.1,"N/A",IF(stdProdLT(Main[[#This Row],[Comments]])=0,"",stdProdLT(Main[[#This Row],[Comments]])))</f>
        <v/>
      </c>
      <c r="H862" s="138" t="str">
        <f>IF(Main[[#This Row],[In Stock Date]]="N/A", "N/A",IF(AND(Main[[#This Row],[In Stock Date]]&lt;&gt;"",Main[[#This Row],[Revised Due Date]]&lt;&gt;"",Main[[#This Row],[In Stock Date]]&lt;&gt;""),Main[[#This Row],[In Stock Date]]-Main[[#This Row],[Revised Due Date]],""))</f>
        <v/>
      </c>
      <c r="I862" s="139" t="s">
        <v>4</v>
      </c>
      <c r="J862" s="139" t="s">
        <v>4</v>
      </c>
      <c r="K862" s="140" t="s">
        <v>4</v>
      </c>
      <c r="L862" s="129"/>
      <c r="M862" s="114" t="str">
        <f>IF(Main[[#This Row],[Tech Start Date]]&lt;1/1/1990,"",IF(Main[[#This Row],[Class]]="C",WORKDAY(Main[[#This Row],[Tech Start Date]],9),IF(Main[[#This Row],[Class]]="B", WORKDAY(Main[[#This Row],[Tech Start Date]],6),IF(Main[[#This Row],[Class]]="A",WORKDAY(Main[[#This Row],[Tech Start Date]],2),""))))</f>
        <v/>
      </c>
      <c r="N862" s="114" t="str">
        <f>IF(Main[[#This Row],[Tech Start Date]]&lt;1/1/1990,"",IF(Main[[#This Row],[Class]]="C",WORKDAY(Main[[#This Row],[Tech Start Date]],19),IF(Main[[#This Row],[Class]]="B", WORKDAY(Main[[#This Row],[Tech Start Date]],12),IF(Main[[#This Row],[Class]]="A",WORKDAY(Main[[#This Row],[Tech Start Date]],4),""))))</f>
        <v/>
      </c>
      <c r="O862" s="114" t="str">
        <f>IF(Main[[#This Row],[Tech Start Date]]&lt;1/1/1990,"",IF(Main[[#This Row],[Class]]="C",WORKDAY(Main[[#This Row],[Tech Start Date]],23),IF(Main[[#This Row],[Class]]="B", WORKDAY(Main[[#This Row],[Tech Start Date]],15),IF(Main[[#This Row],[Class]]="A",WORKDAY(Main[[#This Row],[Tech Start Date]],5),""))))</f>
        <v/>
      </c>
      <c r="P862" s="114" t="str">
        <f>IF(Main[[#This Row],[Tech Start Date]]&lt;1/1/1990,"",IF(Main[[#This Row],[Class]]="C",WORKDAY(Main[[#This Row],[Tech Start Date]],28),IF(Main[[#This Row],[Class]]="B", WORKDAY(Main[[#This Row],[Tech Start Date]],19),IF(Main[[#This Row],[Class]]="A",WORKDAY(Main[[#This Row],[Tech Start Date]],9),""))))</f>
        <v/>
      </c>
      <c r="Q862" s="129"/>
      <c r="R862" s="129"/>
      <c r="S862" s="139" t="s">
        <v>11</v>
      </c>
      <c r="T862" s="115" t="s">
        <v>4</v>
      </c>
      <c r="U862" s="139" t="s">
        <v>14</v>
      </c>
      <c r="V862" s="139" t="s">
        <v>1915</v>
      </c>
      <c r="W862" s="139" t="s">
        <v>1922</v>
      </c>
      <c r="X862" s="139" t="s">
        <v>2827</v>
      </c>
      <c r="Y862" s="112" t="s">
        <v>2948</v>
      </c>
      <c r="Z862" s="112" t="s">
        <v>4</v>
      </c>
      <c r="AA862" s="139" t="s">
        <v>2827</v>
      </c>
    </row>
    <row r="863" spans="1:27" ht="17.25" customHeight="1">
      <c r="A863" s="69" t="str">
        <f>IF(priority(Main[[#This Row],[Comments]])&lt;&gt;0, priority(Main[[#This Row],[Comments]]),"")</f>
        <v/>
      </c>
      <c r="B863" s="63" t="s">
        <v>2163</v>
      </c>
      <c r="C863" s="148" t="s">
        <v>4</v>
      </c>
      <c r="D863" s="113" t="s">
        <v>2387</v>
      </c>
      <c r="E863" s="129">
        <v>40780.672893518517</v>
      </c>
      <c r="F863" s="129"/>
      <c r="G863" s="69" t="str">
        <f>IF(stdProdLT(Main[[#This Row],[Comments]])=0.1,"N/A",IF(stdProdLT(Main[[#This Row],[Comments]])=0,"",stdProdLT(Main[[#This Row],[Comments]])))</f>
        <v/>
      </c>
      <c r="H863" s="138" t="str">
        <f>IF(Main[[#This Row],[In Stock Date]]="N/A", "N/A",IF(AND(Main[[#This Row],[In Stock Date]]&lt;&gt;"",Main[[#This Row],[Revised Due Date]]&lt;&gt;"",Main[[#This Row],[In Stock Date]]&lt;&gt;""),Main[[#This Row],[In Stock Date]]-Main[[#This Row],[Revised Due Date]],""))</f>
        <v/>
      </c>
      <c r="I863" s="139" t="s">
        <v>912</v>
      </c>
      <c r="J863" s="139" t="s">
        <v>52</v>
      </c>
      <c r="K863" s="140" t="s">
        <v>4</v>
      </c>
      <c r="L863" s="129"/>
      <c r="M863" s="114" t="str">
        <f>IF(Main[[#This Row],[Tech Start Date]]&lt;1/1/1990,"",IF(Main[[#This Row],[Class]]="C",WORKDAY(Main[[#This Row],[Tech Start Date]],9),IF(Main[[#This Row],[Class]]="B", WORKDAY(Main[[#This Row],[Tech Start Date]],6),IF(Main[[#This Row],[Class]]="A",WORKDAY(Main[[#This Row],[Tech Start Date]],2),""))))</f>
        <v/>
      </c>
      <c r="N863" s="114" t="str">
        <f>IF(Main[[#This Row],[Tech Start Date]]&lt;1/1/1990,"",IF(Main[[#This Row],[Class]]="C",WORKDAY(Main[[#This Row],[Tech Start Date]],19),IF(Main[[#This Row],[Class]]="B", WORKDAY(Main[[#This Row],[Tech Start Date]],12),IF(Main[[#This Row],[Class]]="A",WORKDAY(Main[[#This Row],[Tech Start Date]],4),""))))</f>
        <v/>
      </c>
      <c r="O863" s="114" t="str">
        <f>IF(Main[[#This Row],[Tech Start Date]]&lt;1/1/1990,"",IF(Main[[#This Row],[Class]]="C",WORKDAY(Main[[#This Row],[Tech Start Date]],23),IF(Main[[#This Row],[Class]]="B", WORKDAY(Main[[#This Row],[Tech Start Date]],15),IF(Main[[#This Row],[Class]]="A",WORKDAY(Main[[#This Row],[Tech Start Date]],5),""))))</f>
        <v/>
      </c>
      <c r="P863" s="114" t="str">
        <f>IF(Main[[#This Row],[Tech Start Date]]&lt;1/1/1990,"",IF(Main[[#This Row],[Class]]="C",WORKDAY(Main[[#This Row],[Tech Start Date]],28),IF(Main[[#This Row],[Class]]="B", WORKDAY(Main[[#This Row],[Tech Start Date]],19),IF(Main[[#This Row],[Class]]="A",WORKDAY(Main[[#This Row],[Tech Start Date]],9),""))))</f>
        <v/>
      </c>
      <c r="Q863" s="129">
        <v>40794</v>
      </c>
      <c r="R863" s="129"/>
      <c r="S863" s="139" t="s">
        <v>6</v>
      </c>
      <c r="T863" s="115" t="s">
        <v>4</v>
      </c>
      <c r="U863" s="139" t="s">
        <v>29</v>
      </c>
      <c r="V863" s="139" t="s">
        <v>1914</v>
      </c>
      <c r="W863" s="139" t="s">
        <v>1922</v>
      </c>
      <c r="X863" s="139" t="s">
        <v>2821</v>
      </c>
      <c r="Y863" s="112" t="s">
        <v>2936</v>
      </c>
      <c r="Z863" s="112" t="s">
        <v>129</v>
      </c>
      <c r="AA863" s="139" t="s">
        <v>2821</v>
      </c>
    </row>
    <row r="864" spans="1:27" ht="17.25" customHeight="1">
      <c r="A864" s="69" t="str">
        <f>IF(priority(Main[[#This Row],[Comments]])&lt;&gt;0, priority(Main[[#This Row],[Comments]]),"")</f>
        <v/>
      </c>
      <c r="B864" s="63" t="s">
        <v>1660</v>
      </c>
      <c r="C864" s="148" t="s">
        <v>4</v>
      </c>
      <c r="D864" s="113" t="s">
        <v>724</v>
      </c>
      <c r="E864" s="129"/>
      <c r="F864" s="129"/>
      <c r="G864" s="69" t="str">
        <f>IF(stdProdLT(Main[[#This Row],[Comments]])=0.1,"N/A",IF(stdProdLT(Main[[#This Row],[Comments]])=0,"",stdProdLT(Main[[#This Row],[Comments]])))</f>
        <v/>
      </c>
      <c r="H864" s="138" t="str">
        <f>IF(Main[[#This Row],[In Stock Date]]="N/A", "N/A",IF(AND(Main[[#This Row],[In Stock Date]]&lt;&gt;"",Main[[#This Row],[Revised Due Date]]&lt;&gt;"",Main[[#This Row],[In Stock Date]]&lt;&gt;""),Main[[#This Row],[In Stock Date]]-Main[[#This Row],[Revised Due Date]],""))</f>
        <v/>
      </c>
      <c r="I864" s="139" t="s">
        <v>4</v>
      </c>
      <c r="J864" s="139" t="s">
        <v>4</v>
      </c>
      <c r="K864" s="139" t="s">
        <v>4</v>
      </c>
      <c r="L864" s="129"/>
      <c r="M864" s="114" t="str">
        <f>IF(Main[[#This Row],[Tech Start Date]]&lt;1/1/1990,"",IF(Main[[#This Row],[Class]]="C",WORKDAY(Main[[#This Row],[Tech Start Date]],9),IF(Main[[#This Row],[Class]]="B", WORKDAY(Main[[#This Row],[Tech Start Date]],6),IF(Main[[#This Row],[Class]]="A",WORKDAY(Main[[#This Row],[Tech Start Date]],2),""))))</f>
        <v/>
      </c>
      <c r="N864" s="114" t="str">
        <f>IF(Main[[#This Row],[Tech Start Date]]&lt;1/1/1990,"",IF(Main[[#This Row],[Class]]="C",WORKDAY(Main[[#This Row],[Tech Start Date]],19),IF(Main[[#This Row],[Class]]="B", WORKDAY(Main[[#This Row],[Tech Start Date]],12),IF(Main[[#This Row],[Class]]="A",WORKDAY(Main[[#This Row],[Tech Start Date]],4),""))))</f>
        <v/>
      </c>
      <c r="O864" s="114" t="str">
        <f>IF(Main[[#This Row],[Tech Start Date]]&lt;1/1/1990,"",IF(Main[[#This Row],[Class]]="C",WORKDAY(Main[[#This Row],[Tech Start Date]],23),IF(Main[[#This Row],[Class]]="B", WORKDAY(Main[[#This Row],[Tech Start Date]],15),IF(Main[[#This Row],[Class]]="A",WORKDAY(Main[[#This Row],[Tech Start Date]],5),""))))</f>
        <v/>
      </c>
      <c r="P864" s="114" t="str">
        <f>IF(Main[[#This Row],[Tech Start Date]]&lt;1/1/1990,"",IF(Main[[#This Row],[Class]]="C",WORKDAY(Main[[#This Row],[Tech Start Date]],28),IF(Main[[#This Row],[Class]]="B", WORKDAY(Main[[#This Row],[Tech Start Date]],19),IF(Main[[#This Row],[Class]]="A",WORKDAY(Main[[#This Row],[Tech Start Date]],9),""))))</f>
        <v/>
      </c>
      <c r="Q864" s="129">
        <v>40403</v>
      </c>
      <c r="R864" s="129"/>
      <c r="S864" s="139" t="s">
        <v>17</v>
      </c>
      <c r="T864" s="115" t="s">
        <v>4</v>
      </c>
      <c r="U864" s="139" t="s">
        <v>14</v>
      </c>
      <c r="V864" s="139" t="s">
        <v>1914</v>
      </c>
      <c r="W864" s="139" t="s">
        <v>1922</v>
      </c>
      <c r="X864" s="139" t="s">
        <v>129</v>
      </c>
      <c r="Y864" s="112" t="s">
        <v>4</v>
      </c>
      <c r="Z864" s="112" t="s">
        <v>4</v>
      </c>
      <c r="AA864" s="139" t="s">
        <v>2828</v>
      </c>
    </row>
    <row r="865" spans="1:27" ht="17.25" customHeight="1">
      <c r="A865" s="69" t="str">
        <f>IF(priority(Main[[#This Row],[Comments]])&lt;&gt;0, priority(Main[[#This Row],[Comments]]),"")</f>
        <v/>
      </c>
      <c r="B865" s="63" t="s">
        <v>1661</v>
      </c>
      <c r="C865" s="148" t="s">
        <v>58</v>
      </c>
      <c r="D865" s="113" t="s">
        <v>202</v>
      </c>
      <c r="E865" s="129"/>
      <c r="F865" s="129">
        <v>40697</v>
      </c>
      <c r="G865" s="69" t="str">
        <f>IF(stdProdLT(Main[[#This Row],[Comments]])=0.1,"N/A",IF(stdProdLT(Main[[#This Row],[Comments]])=0,"",stdProdLT(Main[[#This Row],[Comments]])))</f>
        <v/>
      </c>
      <c r="H865" s="138" t="str">
        <f>IF(Main[[#This Row],[In Stock Date]]="N/A", "N/A",IF(AND(Main[[#This Row],[In Stock Date]]&lt;&gt;"",Main[[#This Row],[Revised Due Date]]&lt;&gt;"",Main[[#This Row],[In Stock Date]]&lt;&gt;""),Main[[#This Row],[In Stock Date]]-Main[[#This Row],[Revised Due Date]],""))</f>
        <v/>
      </c>
      <c r="I865" s="139" t="s">
        <v>4</v>
      </c>
      <c r="J865" s="139" t="s">
        <v>4</v>
      </c>
      <c r="K865" s="139" t="s">
        <v>4</v>
      </c>
      <c r="L865" s="129"/>
      <c r="M865" s="114" t="str">
        <f>IF(Main[[#This Row],[Tech Start Date]]&lt;1/1/1990,"",IF(Main[[#This Row],[Class]]="C",WORKDAY(Main[[#This Row],[Tech Start Date]],9),IF(Main[[#This Row],[Class]]="B", WORKDAY(Main[[#This Row],[Tech Start Date]],6),IF(Main[[#This Row],[Class]]="A",WORKDAY(Main[[#This Row],[Tech Start Date]],2),""))))</f>
        <v/>
      </c>
      <c r="N865" s="114" t="str">
        <f>IF(Main[[#This Row],[Tech Start Date]]&lt;1/1/1990,"",IF(Main[[#This Row],[Class]]="C",WORKDAY(Main[[#This Row],[Tech Start Date]],19),IF(Main[[#This Row],[Class]]="B", WORKDAY(Main[[#This Row],[Tech Start Date]],12),IF(Main[[#This Row],[Class]]="A",WORKDAY(Main[[#This Row],[Tech Start Date]],4),""))))</f>
        <v/>
      </c>
      <c r="O865" s="114" t="str">
        <f>IF(Main[[#This Row],[Tech Start Date]]&lt;1/1/1990,"",IF(Main[[#This Row],[Class]]="C",WORKDAY(Main[[#This Row],[Tech Start Date]],23),IF(Main[[#This Row],[Class]]="B", WORKDAY(Main[[#This Row],[Tech Start Date]],15),IF(Main[[#This Row],[Class]]="A",WORKDAY(Main[[#This Row],[Tech Start Date]],5),""))))</f>
        <v/>
      </c>
      <c r="P865" s="114" t="str">
        <f>IF(Main[[#This Row],[Tech Start Date]]&lt;1/1/1990,"",IF(Main[[#This Row],[Class]]="C",WORKDAY(Main[[#This Row],[Tech Start Date]],28),IF(Main[[#This Row],[Class]]="B", WORKDAY(Main[[#This Row],[Tech Start Date]],19),IF(Main[[#This Row],[Class]]="A",WORKDAY(Main[[#This Row],[Tech Start Date]],9),""))))</f>
        <v/>
      </c>
      <c r="Q865" s="129">
        <v>40539</v>
      </c>
      <c r="R865" s="129"/>
      <c r="S865" s="139" t="s">
        <v>11</v>
      </c>
      <c r="T865" s="115" t="s">
        <v>4</v>
      </c>
      <c r="U865" s="139" t="s">
        <v>14</v>
      </c>
      <c r="V865" s="139" t="s">
        <v>1914</v>
      </c>
      <c r="W865" s="139" t="s">
        <v>1920</v>
      </c>
      <c r="X865" s="139" t="s">
        <v>2829</v>
      </c>
      <c r="Y865" s="112" t="s">
        <v>2951</v>
      </c>
      <c r="Z865" s="112" t="s">
        <v>4</v>
      </c>
      <c r="AA865" s="139" t="s">
        <v>2829</v>
      </c>
    </row>
    <row r="866" spans="1:27" ht="17.25" customHeight="1">
      <c r="A866" s="69" t="str">
        <f>IF(priority(Main[[#This Row],[Comments]])&lt;&gt;0, priority(Main[[#This Row],[Comments]]),"")</f>
        <v/>
      </c>
      <c r="B866" s="63" t="s">
        <v>1664</v>
      </c>
      <c r="C866" s="148" t="s">
        <v>726</v>
      </c>
      <c r="D866" s="113" t="s">
        <v>727</v>
      </c>
      <c r="E866" s="129"/>
      <c r="F866" s="129">
        <v>40633</v>
      </c>
      <c r="G866" s="69" t="str">
        <f>IF(stdProdLT(Main[[#This Row],[Comments]])=0.1,"N/A",IF(stdProdLT(Main[[#This Row],[Comments]])=0,"",stdProdLT(Main[[#This Row],[Comments]])))</f>
        <v/>
      </c>
      <c r="H866" s="138" t="str">
        <f>IF(Main[[#This Row],[In Stock Date]]="N/A", "N/A",IF(AND(Main[[#This Row],[In Stock Date]]&lt;&gt;"",Main[[#This Row],[Revised Due Date]]&lt;&gt;"",Main[[#This Row],[In Stock Date]]&lt;&gt;""),Main[[#This Row],[In Stock Date]]-Main[[#This Row],[Revised Due Date]],""))</f>
        <v/>
      </c>
      <c r="I866" s="139" t="s">
        <v>4</v>
      </c>
      <c r="J866" s="139" t="s">
        <v>4</v>
      </c>
      <c r="K866" s="139" t="s">
        <v>4</v>
      </c>
      <c r="L866" s="129"/>
      <c r="M866" s="114" t="str">
        <f>IF(Main[[#This Row],[Tech Start Date]]&lt;1/1/1990,"",IF(Main[[#This Row],[Class]]="C",WORKDAY(Main[[#This Row],[Tech Start Date]],9),IF(Main[[#This Row],[Class]]="B", WORKDAY(Main[[#This Row],[Tech Start Date]],6),IF(Main[[#This Row],[Class]]="A",WORKDAY(Main[[#This Row],[Tech Start Date]],2),""))))</f>
        <v/>
      </c>
      <c r="N866" s="114" t="str">
        <f>IF(Main[[#This Row],[Tech Start Date]]&lt;1/1/1990,"",IF(Main[[#This Row],[Class]]="C",WORKDAY(Main[[#This Row],[Tech Start Date]],19),IF(Main[[#This Row],[Class]]="B", WORKDAY(Main[[#This Row],[Tech Start Date]],12),IF(Main[[#This Row],[Class]]="A",WORKDAY(Main[[#This Row],[Tech Start Date]],4),""))))</f>
        <v/>
      </c>
      <c r="O866" s="114" t="str">
        <f>IF(Main[[#This Row],[Tech Start Date]]&lt;1/1/1990,"",IF(Main[[#This Row],[Class]]="C",WORKDAY(Main[[#This Row],[Tech Start Date]],23),IF(Main[[#This Row],[Class]]="B", WORKDAY(Main[[#This Row],[Tech Start Date]],15),IF(Main[[#This Row],[Class]]="A",WORKDAY(Main[[#This Row],[Tech Start Date]],5),""))))</f>
        <v/>
      </c>
      <c r="P866" s="114" t="str">
        <f>IF(Main[[#This Row],[Tech Start Date]]&lt;1/1/1990,"",IF(Main[[#This Row],[Class]]="C",WORKDAY(Main[[#This Row],[Tech Start Date]],28),IF(Main[[#This Row],[Class]]="B", WORKDAY(Main[[#This Row],[Tech Start Date]],19),IF(Main[[#This Row],[Class]]="A",WORKDAY(Main[[#This Row],[Tech Start Date]],9),""))))</f>
        <v/>
      </c>
      <c r="Q866" s="129">
        <v>40623</v>
      </c>
      <c r="R866" s="129"/>
      <c r="S866" s="139" t="s">
        <v>11</v>
      </c>
      <c r="T866" s="115" t="s">
        <v>4</v>
      </c>
      <c r="U866" s="139" t="s">
        <v>14</v>
      </c>
      <c r="V866" s="139" t="s">
        <v>1915</v>
      </c>
      <c r="W866" s="139" t="s">
        <v>1922</v>
      </c>
      <c r="X866" s="139" t="s">
        <v>2863</v>
      </c>
      <c r="Y866" s="112" t="s">
        <v>4</v>
      </c>
      <c r="Z866" s="112" t="s">
        <v>4</v>
      </c>
      <c r="AA866" s="139" t="s">
        <v>2863</v>
      </c>
    </row>
    <row r="867" spans="1:27" ht="17.25" customHeight="1">
      <c r="A867" s="69" t="str">
        <f>IF(priority(Main[[#This Row],[Comments]])&lt;&gt;0, priority(Main[[#This Row],[Comments]]),"")</f>
        <v/>
      </c>
      <c r="B867" s="63" t="s">
        <v>1666</v>
      </c>
      <c r="C867" s="148" t="s">
        <v>4</v>
      </c>
      <c r="D867" s="113" t="s">
        <v>97</v>
      </c>
      <c r="E867" s="129"/>
      <c r="F867" s="129"/>
      <c r="G867" s="69" t="str">
        <f>IF(stdProdLT(Main[[#This Row],[Comments]])=0.1,"N/A",IF(stdProdLT(Main[[#This Row],[Comments]])=0,"",stdProdLT(Main[[#This Row],[Comments]])))</f>
        <v/>
      </c>
      <c r="H867" s="138" t="str">
        <f>IF(Main[[#This Row],[In Stock Date]]="N/A", "N/A",IF(AND(Main[[#This Row],[In Stock Date]]&lt;&gt;"",Main[[#This Row],[Revised Due Date]]&lt;&gt;"",Main[[#This Row],[In Stock Date]]&lt;&gt;""),Main[[#This Row],[In Stock Date]]-Main[[#This Row],[Revised Due Date]],""))</f>
        <v/>
      </c>
      <c r="I867" s="139" t="s">
        <v>4</v>
      </c>
      <c r="J867" s="139" t="s">
        <v>4</v>
      </c>
      <c r="K867" s="139" t="s">
        <v>4</v>
      </c>
      <c r="L867" s="129"/>
      <c r="M867" s="114" t="str">
        <f>IF(Main[[#This Row],[Tech Start Date]]&lt;1/1/1990,"",IF(Main[[#This Row],[Class]]="C",WORKDAY(Main[[#This Row],[Tech Start Date]],9),IF(Main[[#This Row],[Class]]="B", WORKDAY(Main[[#This Row],[Tech Start Date]],6),IF(Main[[#This Row],[Class]]="A",WORKDAY(Main[[#This Row],[Tech Start Date]],2),""))))</f>
        <v/>
      </c>
      <c r="N867" s="114" t="str">
        <f>IF(Main[[#This Row],[Tech Start Date]]&lt;1/1/1990,"",IF(Main[[#This Row],[Class]]="C",WORKDAY(Main[[#This Row],[Tech Start Date]],19),IF(Main[[#This Row],[Class]]="B", WORKDAY(Main[[#This Row],[Tech Start Date]],12),IF(Main[[#This Row],[Class]]="A",WORKDAY(Main[[#This Row],[Tech Start Date]],4),""))))</f>
        <v/>
      </c>
      <c r="O867" s="114" t="str">
        <f>IF(Main[[#This Row],[Tech Start Date]]&lt;1/1/1990,"",IF(Main[[#This Row],[Class]]="C",WORKDAY(Main[[#This Row],[Tech Start Date]],23),IF(Main[[#This Row],[Class]]="B", WORKDAY(Main[[#This Row],[Tech Start Date]],15),IF(Main[[#This Row],[Class]]="A",WORKDAY(Main[[#This Row],[Tech Start Date]],5),""))))</f>
        <v/>
      </c>
      <c r="P867" s="114" t="str">
        <f>IF(Main[[#This Row],[Tech Start Date]]&lt;1/1/1990,"",IF(Main[[#This Row],[Class]]="C",WORKDAY(Main[[#This Row],[Tech Start Date]],28),IF(Main[[#This Row],[Class]]="B", WORKDAY(Main[[#This Row],[Tech Start Date]],19),IF(Main[[#This Row],[Class]]="A",WORKDAY(Main[[#This Row],[Tech Start Date]],9),""))))</f>
        <v/>
      </c>
      <c r="Q867" s="129">
        <v>40858</v>
      </c>
      <c r="R867" s="129"/>
      <c r="S867" s="139" t="s">
        <v>17</v>
      </c>
      <c r="T867" s="115" t="s">
        <v>4</v>
      </c>
      <c r="U867" s="139" t="s">
        <v>14</v>
      </c>
      <c r="V867" s="139" t="s">
        <v>1914</v>
      </c>
      <c r="W867" s="139" t="s">
        <v>1919</v>
      </c>
      <c r="X867" s="139" t="s">
        <v>50</v>
      </c>
      <c r="Y867" s="112" t="s">
        <v>2959</v>
      </c>
      <c r="Z867" s="112" t="s">
        <v>4</v>
      </c>
      <c r="AA867" s="139" t="s">
        <v>2828</v>
      </c>
    </row>
    <row r="868" spans="1:27" ht="17.25" customHeight="1">
      <c r="A868" s="69" t="str">
        <f>IF(priority(Main[[#This Row],[Comments]])&lt;&gt;0, priority(Main[[#This Row],[Comments]]),"")</f>
        <v/>
      </c>
      <c r="B868" s="63" t="s">
        <v>1667</v>
      </c>
      <c r="C868" s="148" t="s">
        <v>4</v>
      </c>
      <c r="D868" s="113" t="s">
        <v>97</v>
      </c>
      <c r="E868" s="129"/>
      <c r="F868" s="129"/>
      <c r="G868" s="69" t="str">
        <f>IF(stdProdLT(Main[[#This Row],[Comments]])=0.1,"N/A",IF(stdProdLT(Main[[#This Row],[Comments]])=0,"",stdProdLT(Main[[#This Row],[Comments]])))</f>
        <v/>
      </c>
      <c r="H868" s="138" t="str">
        <f>IF(Main[[#This Row],[In Stock Date]]="N/A", "N/A",IF(AND(Main[[#This Row],[In Stock Date]]&lt;&gt;"",Main[[#This Row],[Revised Due Date]]&lt;&gt;"",Main[[#This Row],[In Stock Date]]&lt;&gt;""),Main[[#This Row],[In Stock Date]]-Main[[#This Row],[Revised Due Date]],""))</f>
        <v/>
      </c>
      <c r="I868" s="139" t="s">
        <v>4</v>
      </c>
      <c r="J868" s="139" t="s">
        <v>4</v>
      </c>
      <c r="K868" s="139" t="s">
        <v>4</v>
      </c>
      <c r="L868" s="129"/>
      <c r="M868" s="114" t="str">
        <f>IF(Main[[#This Row],[Tech Start Date]]&lt;1/1/1990,"",IF(Main[[#This Row],[Class]]="C",WORKDAY(Main[[#This Row],[Tech Start Date]],9),IF(Main[[#This Row],[Class]]="B", WORKDAY(Main[[#This Row],[Tech Start Date]],6),IF(Main[[#This Row],[Class]]="A",WORKDAY(Main[[#This Row],[Tech Start Date]],2),""))))</f>
        <v/>
      </c>
      <c r="N868" s="114" t="str">
        <f>IF(Main[[#This Row],[Tech Start Date]]&lt;1/1/1990,"",IF(Main[[#This Row],[Class]]="C",WORKDAY(Main[[#This Row],[Tech Start Date]],19),IF(Main[[#This Row],[Class]]="B", WORKDAY(Main[[#This Row],[Tech Start Date]],12),IF(Main[[#This Row],[Class]]="A",WORKDAY(Main[[#This Row],[Tech Start Date]],4),""))))</f>
        <v/>
      </c>
      <c r="O868" s="114" t="str">
        <f>IF(Main[[#This Row],[Tech Start Date]]&lt;1/1/1990,"",IF(Main[[#This Row],[Class]]="C",WORKDAY(Main[[#This Row],[Tech Start Date]],23),IF(Main[[#This Row],[Class]]="B", WORKDAY(Main[[#This Row],[Tech Start Date]],15),IF(Main[[#This Row],[Class]]="A",WORKDAY(Main[[#This Row],[Tech Start Date]],5),""))))</f>
        <v/>
      </c>
      <c r="P868" s="114" t="str">
        <f>IF(Main[[#This Row],[Tech Start Date]]&lt;1/1/1990,"",IF(Main[[#This Row],[Class]]="C",WORKDAY(Main[[#This Row],[Tech Start Date]],28),IF(Main[[#This Row],[Class]]="B", WORKDAY(Main[[#This Row],[Tech Start Date]],19),IF(Main[[#This Row],[Class]]="A",WORKDAY(Main[[#This Row],[Tech Start Date]],9),""))))</f>
        <v/>
      </c>
      <c r="Q868" s="129">
        <v>40858</v>
      </c>
      <c r="R868" s="129"/>
      <c r="S868" s="139" t="s">
        <v>17</v>
      </c>
      <c r="T868" s="115" t="s">
        <v>4</v>
      </c>
      <c r="U868" s="139" t="s">
        <v>14</v>
      </c>
      <c r="V868" s="139" t="s">
        <v>1914</v>
      </c>
      <c r="W868" s="139" t="s">
        <v>1919</v>
      </c>
      <c r="X868" s="139" t="s">
        <v>50</v>
      </c>
      <c r="Y868" s="112" t="s">
        <v>2959</v>
      </c>
      <c r="Z868" s="112" t="s">
        <v>4</v>
      </c>
      <c r="AA868" s="139" t="s">
        <v>2828</v>
      </c>
    </row>
    <row r="869" spans="1:27" ht="17.25" customHeight="1">
      <c r="A869" s="69" t="str">
        <f>IF(priority(Main[[#This Row],[Comments]])&lt;&gt;0, priority(Main[[#This Row],[Comments]]),"")</f>
        <v/>
      </c>
      <c r="B869" s="63" t="s">
        <v>1668</v>
      </c>
      <c r="C869" s="148" t="s">
        <v>4</v>
      </c>
      <c r="D869" s="113" t="s">
        <v>97</v>
      </c>
      <c r="E869" s="129"/>
      <c r="F869" s="129"/>
      <c r="G869" s="69" t="str">
        <f>IF(stdProdLT(Main[[#This Row],[Comments]])=0.1,"N/A",IF(stdProdLT(Main[[#This Row],[Comments]])=0,"",stdProdLT(Main[[#This Row],[Comments]])))</f>
        <v/>
      </c>
      <c r="H869" s="138" t="str">
        <f>IF(Main[[#This Row],[In Stock Date]]="N/A", "N/A",IF(AND(Main[[#This Row],[In Stock Date]]&lt;&gt;"",Main[[#This Row],[Revised Due Date]]&lt;&gt;"",Main[[#This Row],[In Stock Date]]&lt;&gt;""),Main[[#This Row],[In Stock Date]]-Main[[#This Row],[Revised Due Date]],""))</f>
        <v/>
      </c>
      <c r="I869" s="139" t="s">
        <v>4</v>
      </c>
      <c r="J869" s="139" t="s">
        <v>4</v>
      </c>
      <c r="K869" s="139" t="s">
        <v>4</v>
      </c>
      <c r="L869" s="129"/>
      <c r="M869" s="114" t="str">
        <f>IF(Main[[#This Row],[Tech Start Date]]&lt;1/1/1990,"",IF(Main[[#This Row],[Class]]="C",WORKDAY(Main[[#This Row],[Tech Start Date]],9),IF(Main[[#This Row],[Class]]="B", WORKDAY(Main[[#This Row],[Tech Start Date]],6),IF(Main[[#This Row],[Class]]="A",WORKDAY(Main[[#This Row],[Tech Start Date]],2),""))))</f>
        <v/>
      </c>
      <c r="N869" s="114" t="str">
        <f>IF(Main[[#This Row],[Tech Start Date]]&lt;1/1/1990,"",IF(Main[[#This Row],[Class]]="C",WORKDAY(Main[[#This Row],[Tech Start Date]],19),IF(Main[[#This Row],[Class]]="B", WORKDAY(Main[[#This Row],[Tech Start Date]],12),IF(Main[[#This Row],[Class]]="A",WORKDAY(Main[[#This Row],[Tech Start Date]],4),""))))</f>
        <v/>
      </c>
      <c r="O869" s="114" t="str">
        <f>IF(Main[[#This Row],[Tech Start Date]]&lt;1/1/1990,"",IF(Main[[#This Row],[Class]]="C",WORKDAY(Main[[#This Row],[Tech Start Date]],23),IF(Main[[#This Row],[Class]]="B", WORKDAY(Main[[#This Row],[Tech Start Date]],15),IF(Main[[#This Row],[Class]]="A",WORKDAY(Main[[#This Row],[Tech Start Date]],5),""))))</f>
        <v/>
      </c>
      <c r="P869" s="114" t="str">
        <f>IF(Main[[#This Row],[Tech Start Date]]&lt;1/1/1990,"",IF(Main[[#This Row],[Class]]="C",WORKDAY(Main[[#This Row],[Tech Start Date]],28),IF(Main[[#This Row],[Class]]="B", WORKDAY(Main[[#This Row],[Tech Start Date]],19),IF(Main[[#This Row],[Class]]="A",WORKDAY(Main[[#This Row],[Tech Start Date]],9),""))))</f>
        <v/>
      </c>
      <c r="Q869" s="129">
        <v>40858</v>
      </c>
      <c r="R869" s="129"/>
      <c r="S869" s="139" t="s">
        <v>17</v>
      </c>
      <c r="T869" s="115" t="s">
        <v>4</v>
      </c>
      <c r="U869" s="139" t="s">
        <v>14</v>
      </c>
      <c r="V869" s="139" t="s">
        <v>1914</v>
      </c>
      <c r="W869" s="139" t="s">
        <v>1919</v>
      </c>
      <c r="X869" s="139" t="s">
        <v>50</v>
      </c>
      <c r="Y869" s="112" t="s">
        <v>2959</v>
      </c>
      <c r="Z869" s="112" t="s">
        <v>4</v>
      </c>
      <c r="AA869" s="139" t="s">
        <v>2828</v>
      </c>
    </row>
    <row r="870" spans="1:27" ht="17.25" customHeight="1">
      <c r="A870" s="69" t="str">
        <f>IF(priority(Main[[#This Row],[Comments]])&lt;&gt;0, priority(Main[[#This Row],[Comments]]),"")</f>
        <v/>
      </c>
      <c r="B870" s="63" t="s">
        <v>1251</v>
      </c>
      <c r="C870" s="148" t="s">
        <v>4</v>
      </c>
      <c r="D870" s="113" t="s">
        <v>316</v>
      </c>
      <c r="E870" s="129"/>
      <c r="F870" s="129"/>
      <c r="G870" s="69" t="str">
        <f>IF(stdProdLT(Main[[#This Row],[Comments]])=0.1,"N/A",IF(stdProdLT(Main[[#This Row],[Comments]])=0,"",stdProdLT(Main[[#This Row],[Comments]])))</f>
        <v/>
      </c>
      <c r="H870" s="138" t="str">
        <f>IF(Main[[#This Row],[In Stock Date]]="N/A", "N/A",IF(AND(Main[[#This Row],[In Stock Date]]&lt;&gt;"",Main[[#This Row],[Revised Due Date]]&lt;&gt;"",Main[[#This Row],[In Stock Date]]&lt;&gt;""),Main[[#This Row],[In Stock Date]]-Main[[#This Row],[Revised Due Date]],""))</f>
        <v/>
      </c>
      <c r="I870" s="139" t="s">
        <v>4</v>
      </c>
      <c r="J870" s="139" t="s">
        <v>4</v>
      </c>
      <c r="K870" s="139" t="s">
        <v>4</v>
      </c>
      <c r="L870" s="129"/>
      <c r="M870" s="114" t="str">
        <f>IF(Main[[#This Row],[Tech Start Date]]&lt;1/1/1990,"",IF(Main[[#This Row],[Class]]="C",WORKDAY(Main[[#This Row],[Tech Start Date]],9),IF(Main[[#This Row],[Class]]="B", WORKDAY(Main[[#This Row],[Tech Start Date]],6),IF(Main[[#This Row],[Class]]="A",WORKDAY(Main[[#This Row],[Tech Start Date]],2),""))))</f>
        <v/>
      </c>
      <c r="N870" s="114" t="str">
        <f>IF(Main[[#This Row],[Tech Start Date]]&lt;1/1/1990,"",IF(Main[[#This Row],[Class]]="C",WORKDAY(Main[[#This Row],[Tech Start Date]],19),IF(Main[[#This Row],[Class]]="B", WORKDAY(Main[[#This Row],[Tech Start Date]],12),IF(Main[[#This Row],[Class]]="A",WORKDAY(Main[[#This Row],[Tech Start Date]],4),""))))</f>
        <v/>
      </c>
      <c r="O870" s="114" t="str">
        <f>IF(Main[[#This Row],[Tech Start Date]]&lt;1/1/1990,"",IF(Main[[#This Row],[Class]]="C",WORKDAY(Main[[#This Row],[Tech Start Date]],23),IF(Main[[#This Row],[Class]]="B", WORKDAY(Main[[#This Row],[Tech Start Date]],15),IF(Main[[#This Row],[Class]]="A",WORKDAY(Main[[#This Row],[Tech Start Date]],5),""))))</f>
        <v/>
      </c>
      <c r="P870" s="114" t="str">
        <f>IF(Main[[#This Row],[Tech Start Date]]&lt;1/1/1990,"",IF(Main[[#This Row],[Class]]="C",WORKDAY(Main[[#This Row],[Tech Start Date]],28),IF(Main[[#This Row],[Class]]="B", WORKDAY(Main[[#This Row],[Tech Start Date]],19),IF(Main[[#This Row],[Class]]="A",WORKDAY(Main[[#This Row],[Tech Start Date]],9),""))))</f>
        <v/>
      </c>
      <c r="Q870" s="129">
        <v>40229</v>
      </c>
      <c r="R870" s="129"/>
      <c r="S870" s="139" t="s">
        <v>6</v>
      </c>
      <c r="T870" s="115" t="s">
        <v>4</v>
      </c>
      <c r="U870" s="139" t="s">
        <v>14</v>
      </c>
      <c r="V870" s="139" t="s">
        <v>1914</v>
      </c>
      <c r="W870" s="139" t="s">
        <v>1918</v>
      </c>
      <c r="X870" s="139" t="s">
        <v>2821</v>
      </c>
      <c r="Y870" s="112" t="s">
        <v>2936</v>
      </c>
      <c r="Z870" s="112" t="s">
        <v>4</v>
      </c>
      <c r="AA870" s="139" t="s">
        <v>2821</v>
      </c>
    </row>
    <row r="871" spans="1:27" ht="17.25" customHeight="1">
      <c r="A871" s="69" t="str">
        <f>IF(priority(Main[[#This Row],[Comments]])&lt;&gt;0, priority(Main[[#This Row],[Comments]]),"")</f>
        <v/>
      </c>
      <c r="B871" s="63" t="s">
        <v>1682</v>
      </c>
      <c r="C871" s="148" t="s">
        <v>4</v>
      </c>
      <c r="D871" s="113" t="s">
        <v>740</v>
      </c>
      <c r="E871" s="129">
        <v>40591.815474537034</v>
      </c>
      <c r="F871" s="129"/>
      <c r="G871" s="69" t="str">
        <f>IF(stdProdLT(Main[[#This Row],[Comments]])=0.1,"N/A",IF(stdProdLT(Main[[#This Row],[Comments]])=0,"",stdProdLT(Main[[#This Row],[Comments]])))</f>
        <v/>
      </c>
      <c r="H871" s="138" t="str">
        <f>IF(Main[[#This Row],[In Stock Date]]="N/A", "N/A",IF(AND(Main[[#This Row],[In Stock Date]]&lt;&gt;"",Main[[#This Row],[Revised Due Date]]&lt;&gt;"",Main[[#This Row],[In Stock Date]]&lt;&gt;""),Main[[#This Row],[In Stock Date]]-Main[[#This Row],[Revised Due Date]],""))</f>
        <v/>
      </c>
      <c r="I871" s="139" t="s">
        <v>130</v>
      </c>
      <c r="J871" s="139" t="s">
        <v>70</v>
      </c>
      <c r="K871" s="139" t="s">
        <v>1923</v>
      </c>
      <c r="L871" s="129"/>
      <c r="M871" s="114" t="str">
        <f>IF(Main[[#This Row],[Tech Start Date]]&lt;1/1/1990,"",IF(Main[[#This Row],[Class]]="C",WORKDAY(Main[[#This Row],[Tech Start Date]],9),IF(Main[[#This Row],[Class]]="B", WORKDAY(Main[[#This Row],[Tech Start Date]],6),IF(Main[[#This Row],[Class]]="A",WORKDAY(Main[[#This Row],[Tech Start Date]],2),""))))</f>
        <v/>
      </c>
      <c r="N871" s="114" t="str">
        <f>IF(Main[[#This Row],[Tech Start Date]]&lt;1/1/1990,"",IF(Main[[#This Row],[Class]]="C",WORKDAY(Main[[#This Row],[Tech Start Date]],19),IF(Main[[#This Row],[Class]]="B", WORKDAY(Main[[#This Row],[Tech Start Date]],12),IF(Main[[#This Row],[Class]]="A",WORKDAY(Main[[#This Row],[Tech Start Date]],4),""))))</f>
        <v/>
      </c>
      <c r="O871" s="114" t="str">
        <f>IF(Main[[#This Row],[Tech Start Date]]&lt;1/1/1990,"",IF(Main[[#This Row],[Class]]="C",WORKDAY(Main[[#This Row],[Tech Start Date]],23),IF(Main[[#This Row],[Class]]="B", WORKDAY(Main[[#This Row],[Tech Start Date]],15),IF(Main[[#This Row],[Class]]="A",WORKDAY(Main[[#This Row],[Tech Start Date]],5),""))))</f>
        <v/>
      </c>
      <c r="P871" s="114" t="str">
        <f>IF(Main[[#This Row],[Tech Start Date]]&lt;1/1/1990,"",IF(Main[[#This Row],[Class]]="C",WORKDAY(Main[[#This Row],[Tech Start Date]],28),IF(Main[[#This Row],[Class]]="B", WORKDAY(Main[[#This Row],[Tech Start Date]],19),IF(Main[[#This Row],[Class]]="A",WORKDAY(Main[[#This Row],[Tech Start Date]],9),""))))</f>
        <v/>
      </c>
      <c r="Q871" s="129">
        <v>40736</v>
      </c>
      <c r="R871" s="129"/>
      <c r="S871" s="139" t="s">
        <v>6</v>
      </c>
      <c r="T871" s="115" t="s">
        <v>4</v>
      </c>
      <c r="U871" s="139" t="s">
        <v>29</v>
      </c>
      <c r="V871" s="139" t="s">
        <v>1917</v>
      </c>
      <c r="W871" s="139" t="s">
        <v>1918</v>
      </c>
      <c r="X871" s="139" t="s">
        <v>30</v>
      </c>
      <c r="Y871" s="112" t="s">
        <v>2957</v>
      </c>
      <c r="Z871" s="112" t="s">
        <v>30</v>
      </c>
      <c r="AA871" s="139" t="s">
        <v>30</v>
      </c>
    </row>
    <row r="872" spans="1:27" ht="17.25" customHeight="1">
      <c r="A872" s="69" t="str">
        <f>IF(priority(Main[[#This Row],[Comments]])&lt;&gt;0, priority(Main[[#This Row],[Comments]]),"")</f>
        <v/>
      </c>
      <c r="B872" s="63" t="s">
        <v>2034</v>
      </c>
      <c r="C872" s="148" t="s">
        <v>37</v>
      </c>
      <c r="D872" s="113" t="s">
        <v>485</v>
      </c>
      <c r="E872" s="129"/>
      <c r="F872" s="129"/>
      <c r="G872" s="69" t="str">
        <f>IF(stdProdLT(Main[[#This Row],[Comments]])=0.1,"N/A",IF(stdProdLT(Main[[#This Row],[Comments]])=0,"",stdProdLT(Main[[#This Row],[Comments]])))</f>
        <v/>
      </c>
      <c r="H872" s="138" t="str">
        <f>IF(Main[[#This Row],[In Stock Date]]="N/A", "N/A",IF(AND(Main[[#This Row],[In Stock Date]]&lt;&gt;"",Main[[#This Row],[Revised Due Date]]&lt;&gt;"",Main[[#This Row],[In Stock Date]]&lt;&gt;""),Main[[#This Row],[In Stock Date]]-Main[[#This Row],[Revised Due Date]],""))</f>
        <v/>
      </c>
      <c r="I872" s="139" t="s">
        <v>4</v>
      </c>
      <c r="J872" s="139" t="s">
        <v>21</v>
      </c>
      <c r="K872" s="139" t="s">
        <v>4</v>
      </c>
      <c r="L872" s="129"/>
      <c r="M872" s="114" t="str">
        <f>IF(Main[[#This Row],[Tech Start Date]]&lt;1/1/1990,"",IF(Main[[#This Row],[Class]]="C",WORKDAY(Main[[#This Row],[Tech Start Date]],9),IF(Main[[#This Row],[Class]]="B", WORKDAY(Main[[#This Row],[Tech Start Date]],6),IF(Main[[#This Row],[Class]]="A",WORKDAY(Main[[#This Row],[Tech Start Date]],2),""))))</f>
        <v/>
      </c>
      <c r="N872" s="114" t="str">
        <f>IF(Main[[#This Row],[Tech Start Date]]&lt;1/1/1990,"",IF(Main[[#This Row],[Class]]="C",WORKDAY(Main[[#This Row],[Tech Start Date]],19),IF(Main[[#This Row],[Class]]="B", WORKDAY(Main[[#This Row],[Tech Start Date]],12),IF(Main[[#This Row],[Class]]="A",WORKDAY(Main[[#This Row],[Tech Start Date]],4),""))))</f>
        <v/>
      </c>
      <c r="O872" s="114" t="str">
        <f>IF(Main[[#This Row],[Tech Start Date]]&lt;1/1/1990,"",IF(Main[[#This Row],[Class]]="C",WORKDAY(Main[[#This Row],[Tech Start Date]],23),IF(Main[[#This Row],[Class]]="B", WORKDAY(Main[[#This Row],[Tech Start Date]],15),IF(Main[[#This Row],[Class]]="A",WORKDAY(Main[[#This Row],[Tech Start Date]],5),""))))</f>
        <v/>
      </c>
      <c r="P872" s="114" t="str">
        <f>IF(Main[[#This Row],[Tech Start Date]]&lt;1/1/1990,"",IF(Main[[#This Row],[Class]]="C",WORKDAY(Main[[#This Row],[Tech Start Date]],28),IF(Main[[#This Row],[Class]]="B", WORKDAY(Main[[#This Row],[Tech Start Date]],19),IF(Main[[#This Row],[Class]]="A",WORKDAY(Main[[#This Row],[Tech Start Date]],9),""))))</f>
        <v/>
      </c>
      <c r="Q872" s="129">
        <v>40696</v>
      </c>
      <c r="R872" s="129"/>
      <c r="S872" s="139" t="s">
        <v>6</v>
      </c>
      <c r="T872" s="115" t="s">
        <v>4</v>
      </c>
      <c r="U872" s="139" t="s">
        <v>12</v>
      </c>
      <c r="V872" s="139" t="s">
        <v>1914</v>
      </c>
      <c r="W872" s="139" t="s">
        <v>1925</v>
      </c>
      <c r="X872" s="139" t="s">
        <v>50</v>
      </c>
      <c r="Y872" s="112" t="s">
        <v>3097</v>
      </c>
      <c r="Z872" s="112" t="s">
        <v>3160</v>
      </c>
      <c r="AA872" s="139" t="s">
        <v>970</v>
      </c>
    </row>
    <row r="873" spans="1:27" ht="17.25" customHeight="1">
      <c r="A873" s="69" t="str">
        <f>IF(priority(Main[[#This Row],[Comments]])&lt;&gt;0, priority(Main[[#This Row],[Comments]]),"")</f>
        <v/>
      </c>
      <c r="B873" s="63" t="s">
        <v>2192</v>
      </c>
      <c r="C873" s="148" t="s">
        <v>4</v>
      </c>
      <c r="D873" s="113" t="s">
        <v>2193</v>
      </c>
      <c r="E873" s="129"/>
      <c r="F873" s="129">
        <v>40848</v>
      </c>
      <c r="G873" s="69" t="str">
        <f>IF(stdProdLT(Main[[#This Row],[Comments]])=0.1,"N/A",IF(stdProdLT(Main[[#This Row],[Comments]])=0,"",stdProdLT(Main[[#This Row],[Comments]])))</f>
        <v/>
      </c>
      <c r="H873" s="138" t="str">
        <f>IF(Main[[#This Row],[In Stock Date]]="N/A", "N/A",IF(AND(Main[[#This Row],[In Stock Date]]&lt;&gt;"",Main[[#This Row],[Revised Due Date]]&lt;&gt;"",Main[[#This Row],[In Stock Date]]&lt;&gt;""),Main[[#This Row],[In Stock Date]]-Main[[#This Row],[Revised Due Date]],""))</f>
        <v/>
      </c>
      <c r="I873" s="139" t="s">
        <v>4</v>
      </c>
      <c r="J873" s="139" t="s">
        <v>4</v>
      </c>
      <c r="K873" s="139" t="s">
        <v>4</v>
      </c>
      <c r="L873" s="129"/>
      <c r="M873" s="114" t="str">
        <f>IF(Main[[#This Row],[Tech Start Date]]&lt;1/1/1990,"",IF(Main[[#This Row],[Class]]="C",WORKDAY(Main[[#This Row],[Tech Start Date]],9),IF(Main[[#This Row],[Class]]="B", WORKDAY(Main[[#This Row],[Tech Start Date]],6),IF(Main[[#This Row],[Class]]="A",WORKDAY(Main[[#This Row],[Tech Start Date]],2),""))))</f>
        <v/>
      </c>
      <c r="N873" s="114" t="str">
        <f>IF(Main[[#This Row],[Tech Start Date]]&lt;1/1/1990,"",IF(Main[[#This Row],[Class]]="C",WORKDAY(Main[[#This Row],[Tech Start Date]],19),IF(Main[[#This Row],[Class]]="B", WORKDAY(Main[[#This Row],[Tech Start Date]],12),IF(Main[[#This Row],[Class]]="A",WORKDAY(Main[[#This Row],[Tech Start Date]],4),""))))</f>
        <v/>
      </c>
      <c r="O873" s="114" t="str">
        <f>IF(Main[[#This Row],[Tech Start Date]]&lt;1/1/1990,"",IF(Main[[#This Row],[Class]]="C",WORKDAY(Main[[#This Row],[Tech Start Date]],23),IF(Main[[#This Row],[Class]]="B", WORKDAY(Main[[#This Row],[Tech Start Date]],15),IF(Main[[#This Row],[Class]]="A",WORKDAY(Main[[#This Row],[Tech Start Date]],5),""))))</f>
        <v/>
      </c>
      <c r="P873" s="114" t="str">
        <f>IF(Main[[#This Row],[Tech Start Date]]&lt;1/1/1990,"",IF(Main[[#This Row],[Class]]="C",WORKDAY(Main[[#This Row],[Tech Start Date]],28),IF(Main[[#This Row],[Class]]="B", WORKDAY(Main[[#This Row],[Tech Start Date]],19),IF(Main[[#This Row],[Class]]="A",WORKDAY(Main[[#This Row],[Tech Start Date]],9),""))))</f>
        <v/>
      </c>
      <c r="Q873" s="129">
        <v>40800</v>
      </c>
      <c r="R873" s="129"/>
      <c r="S873" s="139" t="s">
        <v>11</v>
      </c>
      <c r="T873" s="115" t="s">
        <v>4</v>
      </c>
      <c r="U873" s="139" t="s">
        <v>14</v>
      </c>
      <c r="V873" s="139" t="s">
        <v>1924</v>
      </c>
      <c r="W873" s="139" t="s">
        <v>1922</v>
      </c>
      <c r="X873" s="139" t="s">
        <v>2905</v>
      </c>
      <c r="Y873" s="112" t="s">
        <v>3098</v>
      </c>
      <c r="Z873" s="112" t="s">
        <v>4</v>
      </c>
      <c r="AA873" s="139" t="s">
        <v>2905</v>
      </c>
    </row>
    <row r="874" spans="1:27" ht="17.25" customHeight="1">
      <c r="A874" s="69" t="str">
        <f>IF(priority(Main[[#This Row],[Comments]])&lt;&gt;0, priority(Main[[#This Row],[Comments]]),"")</f>
        <v/>
      </c>
      <c r="B874" s="63" t="s">
        <v>1683</v>
      </c>
      <c r="C874" s="148" t="s">
        <v>4</v>
      </c>
      <c r="D874" s="113" t="s">
        <v>737</v>
      </c>
      <c r="E874" s="129">
        <v>40520.411597222221</v>
      </c>
      <c r="F874" s="129"/>
      <c r="G874" s="69" t="str">
        <f>IF(stdProdLT(Main[[#This Row],[Comments]])=0.1,"N/A",IF(stdProdLT(Main[[#This Row],[Comments]])=0,"",stdProdLT(Main[[#This Row],[Comments]])))</f>
        <v/>
      </c>
      <c r="H874" s="138" t="str">
        <f>IF(Main[[#This Row],[In Stock Date]]="N/A", "N/A",IF(AND(Main[[#This Row],[In Stock Date]]&lt;&gt;"",Main[[#This Row],[Revised Due Date]]&lt;&gt;"",Main[[#This Row],[In Stock Date]]&lt;&gt;""),Main[[#This Row],[In Stock Date]]-Main[[#This Row],[Revised Due Date]],""))</f>
        <v/>
      </c>
      <c r="I874" s="139" t="s">
        <v>4</v>
      </c>
      <c r="J874" s="139" t="s">
        <v>28</v>
      </c>
      <c r="K874" s="140" t="s">
        <v>4</v>
      </c>
      <c r="L874" s="129"/>
      <c r="M874" s="114" t="str">
        <f>IF(Main[[#This Row],[Tech Start Date]]&lt;1/1/1990,"",IF(Main[[#This Row],[Class]]="C",WORKDAY(Main[[#This Row],[Tech Start Date]],9),IF(Main[[#This Row],[Class]]="B", WORKDAY(Main[[#This Row],[Tech Start Date]],6),IF(Main[[#This Row],[Class]]="A",WORKDAY(Main[[#This Row],[Tech Start Date]],2),""))))</f>
        <v/>
      </c>
      <c r="N874" s="114" t="str">
        <f>IF(Main[[#This Row],[Tech Start Date]]&lt;1/1/1990,"",IF(Main[[#This Row],[Class]]="C",WORKDAY(Main[[#This Row],[Tech Start Date]],19),IF(Main[[#This Row],[Class]]="B", WORKDAY(Main[[#This Row],[Tech Start Date]],12),IF(Main[[#This Row],[Class]]="A",WORKDAY(Main[[#This Row],[Tech Start Date]],4),""))))</f>
        <v/>
      </c>
      <c r="O874" s="114" t="str">
        <f>IF(Main[[#This Row],[Tech Start Date]]&lt;1/1/1990,"",IF(Main[[#This Row],[Class]]="C",WORKDAY(Main[[#This Row],[Tech Start Date]],23),IF(Main[[#This Row],[Class]]="B", WORKDAY(Main[[#This Row],[Tech Start Date]],15),IF(Main[[#This Row],[Class]]="A",WORKDAY(Main[[#This Row],[Tech Start Date]],5),""))))</f>
        <v/>
      </c>
      <c r="P874" s="114" t="str">
        <f>IF(Main[[#This Row],[Tech Start Date]]&lt;1/1/1990,"",IF(Main[[#This Row],[Class]]="C",WORKDAY(Main[[#This Row],[Tech Start Date]],28),IF(Main[[#This Row],[Class]]="B", WORKDAY(Main[[#This Row],[Tech Start Date]],19),IF(Main[[#This Row],[Class]]="A",WORKDAY(Main[[#This Row],[Tech Start Date]],9),""))))</f>
        <v/>
      </c>
      <c r="Q874" s="129">
        <v>40571</v>
      </c>
      <c r="R874" s="129"/>
      <c r="S874" s="139" t="s">
        <v>6</v>
      </c>
      <c r="T874" s="115" t="s">
        <v>4</v>
      </c>
      <c r="U874" s="139" t="s">
        <v>7</v>
      </c>
      <c r="V874" s="139" t="s">
        <v>1914</v>
      </c>
      <c r="W874" s="139" t="s">
        <v>1916</v>
      </c>
      <c r="X874" s="139" t="s">
        <v>2818</v>
      </c>
      <c r="Y874" s="112" t="s">
        <v>2929</v>
      </c>
      <c r="Z874" s="112" t="s">
        <v>129</v>
      </c>
      <c r="AA874" s="139" t="s">
        <v>2818</v>
      </c>
    </row>
    <row r="875" spans="1:27" ht="17.25" customHeight="1">
      <c r="A875" s="69" t="str">
        <f>IF(priority(Main[[#This Row],[Comments]])&lt;&gt;0, priority(Main[[#This Row],[Comments]]),"")</f>
        <v/>
      </c>
      <c r="B875" s="63" t="s">
        <v>1684</v>
      </c>
      <c r="C875" s="148" t="s">
        <v>4</v>
      </c>
      <c r="D875" s="113" t="s">
        <v>738</v>
      </c>
      <c r="E875" s="129"/>
      <c r="F875" s="129"/>
      <c r="G875" s="69" t="str">
        <f>IF(stdProdLT(Main[[#This Row],[Comments]])=0.1,"N/A",IF(stdProdLT(Main[[#This Row],[Comments]])=0,"",stdProdLT(Main[[#This Row],[Comments]])))</f>
        <v/>
      </c>
      <c r="H875" s="138" t="str">
        <f>IF(Main[[#This Row],[In Stock Date]]="N/A", "N/A",IF(AND(Main[[#This Row],[In Stock Date]]&lt;&gt;"",Main[[#This Row],[Revised Due Date]]&lt;&gt;"",Main[[#This Row],[In Stock Date]]&lt;&gt;""),Main[[#This Row],[In Stock Date]]-Main[[#This Row],[Revised Due Date]],""))</f>
        <v/>
      </c>
      <c r="I875" s="139" t="s">
        <v>4</v>
      </c>
      <c r="J875" s="139" t="s">
        <v>28</v>
      </c>
      <c r="K875" s="139" t="s">
        <v>4</v>
      </c>
      <c r="L875" s="129"/>
      <c r="M875" s="114" t="str">
        <f>IF(Main[[#This Row],[Tech Start Date]]&lt;1/1/1990,"",IF(Main[[#This Row],[Class]]="C",WORKDAY(Main[[#This Row],[Tech Start Date]],9),IF(Main[[#This Row],[Class]]="B", WORKDAY(Main[[#This Row],[Tech Start Date]],6),IF(Main[[#This Row],[Class]]="A",WORKDAY(Main[[#This Row],[Tech Start Date]],2),""))))</f>
        <v/>
      </c>
      <c r="N875" s="114" t="str">
        <f>IF(Main[[#This Row],[Tech Start Date]]&lt;1/1/1990,"",IF(Main[[#This Row],[Class]]="C",WORKDAY(Main[[#This Row],[Tech Start Date]],19),IF(Main[[#This Row],[Class]]="B", WORKDAY(Main[[#This Row],[Tech Start Date]],12),IF(Main[[#This Row],[Class]]="A",WORKDAY(Main[[#This Row],[Tech Start Date]],4),""))))</f>
        <v/>
      </c>
      <c r="O875" s="114" t="str">
        <f>IF(Main[[#This Row],[Tech Start Date]]&lt;1/1/1990,"",IF(Main[[#This Row],[Class]]="C",WORKDAY(Main[[#This Row],[Tech Start Date]],23),IF(Main[[#This Row],[Class]]="B", WORKDAY(Main[[#This Row],[Tech Start Date]],15),IF(Main[[#This Row],[Class]]="A",WORKDAY(Main[[#This Row],[Tech Start Date]],5),""))))</f>
        <v/>
      </c>
      <c r="P875" s="114" t="str">
        <f>IF(Main[[#This Row],[Tech Start Date]]&lt;1/1/1990,"",IF(Main[[#This Row],[Class]]="C",WORKDAY(Main[[#This Row],[Tech Start Date]],28),IF(Main[[#This Row],[Class]]="B", WORKDAY(Main[[#This Row],[Tech Start Date]],19),IF(Main[[#This Row],[Class]]="A",WORKDAY(Main[[#This Row],[Tech Start Date]],9),""))))</f>
        <v/>
      </c>
      <c r="Q875" s="129"/>
      <c r="R875" s="129"/>
      <c r="S875" s="139" t="s">
        <v>17</v>
      </c>
      <c r="T875" s="115" t="s">
        <v>4</v>
      </c>
      <c r="U875" s="139" t="s">
        <v>14</v>
      </c>
      <c r="V875" s="139" t="s">
        <v>1914</v>
      </c>
      <c r="W875" s="139" t="s">
        <v>1922</v>
      </c>
      <c r="X875" s="139" t="s">
        <v>922</v>
      </c>
      <c r="Y875" s="112" t="s">
        <v>2982</v>
      </c>
      <c r="Z875" s="112" t="s">
        <v>129</v>
      </c>
      <c r="AA875" s="139" t="s">
        <v>922</v>
      </c>
    </row>
    <row r="876" spans="1:27" ht="17.25" customHeight="1">
      <c r="A876" s="69" t="str">
        <f>IF(priority(Main[[#This Row],[Comments]])&lt;&gt;0, priority(Main[[#This Row],[Comments]]),"")</f>
        <v/>
      </c>
      <c r="B876" s="63" t="s">
        <v>1687</v>
      </c>
      <c r="C876" s="148" t="s">
        <v>4</v>
      </c>
      <c r="D876" s="113" t="s">
        <v>742</v>
      </c>
      <c r="E876" s="129"/>
      <c r="F876" s="129"/>
      <c r="G876" s="69" t="str">
        <f>IF(stdProdLT(Main[[#This Row],[Comments]])=0.1,"N/A",IF(stdProdLT(Main[[#This Row],[Comments]])=0,"",stdProdLT(Main[[#This Row],[Comments]])))</f>
        <v/>
      </c>
      <c r="H876" s="138" t="str">
        <f>IF(Main[[#This Row],[In Stock Date]]="N/A", "N/A",IF(AND(Main[[#This Row],[In Stock Date]]&lt;&gt;"",Main[[#This Row],[Revised Due Date]]&lt;&gt;"",Main[[#This Row],[In Stock Date]]&lt;&gt;""),Main[[#This Row],[In Stock Date]]-Main[[#This Row],[Revised Due Date]],""))</f>
        <v/>
      </c>
      <c r="I876" s="139" t="s">
        <v>4</v>
      </c>
      <c r="J876" s="139" t="s">
        <v>4</v>
      </c>
      <c r="K876" s="139" t="s">
        <v>4</v>
      </c>
      <c r="L876" s="129"/>
      <c r="M876" s="114" t="str">
        <f>IF(Main[[#This Row],[Tech Start Date]]&lt;1/1/1990,"",IF(Main[[#This Row],[Class]]="C",WORKDAY(Main[[#This Row],[Tech Start Date]],9),IF(Main[[#This Row],[Class]]="B", WORKDAY(Main[[#This Row],[Tech Start Date]],6),IF(Main[[#This Row],[Class]]="A",WORKDAY(Main[[#This Row],[Tech Start Date]],2),""))))</f>
        <v/>
      </c>
      <c r="N876" s="114" t="str">
        <f>IF(Main[[#This Row],[Tech Start Date]]&lt;1/1/1990,"",IF(Main[[#This Row],[Class]]="C",WORKDAY(Main[[#This Row],[Tech Start Date]],19),IF(Main[[#This Row],[Class]]="B", WORKDAY(Main[[#This Row],[Tech Start Date]],12),IF(Main[[#This Row],[Class]]="A",WORKDAY(Main[[#This Row],[Tech Start Date]],4),""))))</f>
        <v/>
      </c>
      <c r="O876" s="114" t="str">
        <f>IF(Main[[#This Row],[Tech Start Date]]&lt;1/1/1990,"",IF(Main[[#This Row],[Class]]="C",WORKDAY(Main[[#This Row],[Tech Start Date]],23),IF(Main[[#This Row],[Class]]="B", WORKDAY(Main[[#This Row],[Tech Start Date]],15),IF(Main[[#This Row],[Class]]="A",WORKDAY(Main[[#This Row],[Tech Start Date]],5),""))))</f>
        <v/>
      </c>
      <c r="P876" s="114" t="str">
        <f>IF(Main[[#This Row],[Tech Start Date]]&lt;1/1/1990,"",IF(Main[[#This Row],[Class]]="C",WORKDAY(Main[[#This Row],[Tech Start Date]],28),IF(Main[[#This Row],[Class]]="B", WORKDAY(Main[[#This Row],[Tech Start Date]],19),IF(Main[[#This Row],[Class]]="A",WORKDAY(Main[[#This Row],[Tech Start Date]],9),""))))</f>
        <v/>
      </c>
      <c r="Q876" s="129"/>
      <c r="R876" s="129"/>
      <c r="S876" s="139" t="s">
        <v>23</v>
      </c>
      <c r="T876" s="115" t="s">
        <v>4</v>
      </c>
      <c r="U876" s="139" t="s">
        <v>14</v>
      </c>
      <c r="V876" s="139" t="s">
        <v>1914</v>
      </c>
      <c r="W876" s="139" t="s">
        <v>1918</v>
      </c>
      <c r="X876" s="139" t="s">
        <v>399</v>
      </c>
      <c r="Y876" s="112" t="s">
        <v>4</v>
      </c>
      <c r="Z876" s="112" t="s">
        <v>4</v>
      </c>
      <c r="AA876" s="139" t="s">
        <v>3032</v>
      </c>
    </row>
    <row r="877" spans="1:27" ht="17.25" customHeight="1">
      <c r="A877" s="69" t="str">
        <f>IF(priority(Main[[#This Row],[Comments]])&lt;&gt;0, priority(Main[[#This Row],[Comments]]),"")</f>
        <v/>
      </c>
      <c r="B877" s="63" t="s">
        <v>1833</v>
      </c>
      <c r="C877" s="148" t="s">
        <v>4</v>
      </c>
      <c r="D877" s="113" t="s">
        <v>887</v>
      </c>
      <c r="E877" s="129">
        <v>40371.599317129629</v>
      </c>
      <c r="F877" s="129"/>
      <c r="G877" s="69" t="str">
        <f>IF(stdProdLT(Main[[#This Row],[Comments]])=0.1,"N/A",IF(stdProdLT(Main[[#This Row],[Comments]])=0,"",stdProdLT(Main[[#This Row],[Comments]])))</f>
        <v/>
      </c>
      <c r="H877" s="138" t="str">
        <f>IF(Main[[#This Row],[In Stock Date]]="N/A", "N/A",IF(AND(Main[[#This Row],[In Stock Date]]&lt;&gt;"",Main[[#This Row],[Revised Due Date]]&lt;&gt;"",Main[[#This Row],[In Stock Date]]&lt;&gt;""),Main[[#This Row],[In Stock Date]]-Main[[#This Row],[Revised Due Date]],""))</f>
        <v/>
      </c>
      <c r="I877" s="139" t="s">
        <v>126</v>
      </c>
      <c r="J877" s="139" t="s">
        <v>28</v>
      </c>
      <c r="K877" s="139" t="s">
        <v>1926</v>
      </c>
      <c r="L877" s="129"/>
      <c r="M877" s="114" t="str">
        <f>IF(Main[[#This Row],[Tech Start Date]]&lt;1/1/1990,"",IF(Main[[#This Row],[Class]]="C",WORKDAY(Main[[#This Row],[Tech Start Date]],9),IF(Main[[#This Row],[Class]]="B", WORKDAY(Main[[#This Row],[Tech Start Date]],6),IF(Main[[#This Row],[Class]]="A",WORKDAY(Main[[#This Row],[Tech Start Date]],2),""))))</f>
        <v/>
      </c>
      <c r="N877" s="114" t="str">
        <f>IF(Main[[#This Row],[Tech Start Date]]&lt;1/1/1990,"",IF(Main[[#This Row],[Class]]="C",WORKDAY(Main[[#This Row],[Tech Start Date]],19),IF(Main[[#This Row],[Class]]="B", WORKDAY(Main[[#This Row],[Tech Start Date]],12),IF(Main[[#This Row],[Class]]="A",WORKDAY(Main[[#This Row],[Tech Start Date]],4),""))))</f>
        <v/>
      </c>
      <c r="O877" s="114" t="str">
        <f>IF(Main[[#This Row],[Tech Start Date]]&lt;1/1/1990,"",IF(Main[[#This Row],[Class]]="C",WORKDAY(Main[[#This Row],[Tech Start Date]],23),IF(Main[[#This Row],[Class]]="B", WORKDAY(Main[[#This Row],[Tech Start Date]],15),IF(Main[[#This Row],[Class]]="A",WORKDAY(Main[[#This Row],[Tech Start Date]],5),""))))</f>
        <v/>
      </c>
      <c r="P877" s="114" t="str">
        <f>IF(Main[[#This Row],[Tech Start Date]]&lt;1/1/1990,"",IF(Main[[#This Row],[Class]]="C",WORKDAY(Main[[#This Row],[Tech Start Date]],28),IF(Main[[#This Row],[Class]]="B", WORKDAY(Main[[#This Row],[Tech Start Date]],19),IF(Main[[#This Row],[Class]]="A",WORKDAY(Main[[#This Row],[Tech Start Date]],9),""))))</f>
        <v/>
      </c>
      <c r="Q877" s="129">
        <v>40420</v>
      </c>
      <c r="R877" s="129">
        <v>40420</v>
      </c>
      <c r="S877" s="139" t="s">
        <v>17</v>
      </c>
      <c r="T877" s="115" t="s">
        <v>4</v>
      </c>
      <c r="U877" s="139" t="s">
        <v>29</v>
      </c>
      <c r="V877" s="139" t="s">
        <v>1914</v>
      </c>
      <c r="W877" s="139" t="s">
        <v>1922</v>
      </c>
      <c r="X877" s="139" t="s">
        <v>129</v>
      </c>
      <c r="Y877" s="112" t="s">
        <v>2959</v>
      </c>
      <c r="Z877" s="112" t="s">
        <v>129</v>
      </c>
      <c r="AA877" s="139" t="s">
        <v>2828</v>
      </c>
    </row>
    <row r="878" spans="1:27" ht="17.25" customHeight="1">
      <c r="A878" s="69" t="str">
        <f>IF(priority(Main[[#This Row],[Comments]])&lt;&gt;0, priority(Main[[#This Row],[Comments]]),"")</f>
        <v/>
      </c>
      <c r="B878" s="63" t="s">
        <v>1688</v>
      </c>
      <c r="C878" s="148" t="s">
        <v>4</v>
      </c>
      <c r="D878" s="113" t="s">
        <v>743</v>
      </c>
      <c r="E878" s="129"/>
      <c r="F878" s="129"/>
      <c r="G878" s="69" t="str">
        <f>IF(stdProdLT(Main[[#This Row],[Comments]])=0.1,"N/A",IF(stdProdLT(Main[[#This Row],[Comments]])=0,"",stdProdLT(Main[[#This Row],[Comments]])))</f>
        <v/>
      </c>
      <c r="H878" s="138" t="str">
        <f>IF(Main[[#This Row],[In Stock Date]]="N/A", "N/A",IF(AND(Main[[#This Row],[In Stock Date]]&lt;&gt;"",Main[[#This Row],[Revised Due Date]]&lt;&gt;"",Main[[#This Row],[In Stock Date]]&lt;&gt;""),Main[[#This Row],[In Stock Date]]-Main[[#This Row],[Revised Due Date]],""))</f>
        <v/>
      </c>
      <c r="I878" s="139" t="s">
        <v>4</v>
      </c>
      <c r="J878" s="139" t="s">
        <v>28</v>
      </c>
      <c r="K878" s="140" t="s">
        <v>1921</v>
      </c>
      <c r="L878" s="129"/>
      <c r="M878" s="114" t="str">
        <f>IF(Main[[#This Row],[Tech Start Date]]&lt;1/1/1990,"",IF(Main[[#This Row],[Class]]="C",WORKDAY(Main[[#This Row],[Tech Start Date]],9),IF(Main[[#This Row],[Class]]="B", WORKDAY(Main[[#This Row],[Tech Start Date]],6),IF(Main[[#This Row],[Class]]="A",WORKDAY(Main[[#This Row],[Tech Start Date]],2),""))))</f>
        <v/>
      </c>
      <c r="N878" s="114" t="str">
        <f>IF(Main[[#This Row],[Tech Start Date]]&lt;1/1/1990,"",IF(Main[[#This Row],[Class]]="C",WORKDAY(Main[[#This Row],[Tech Start Date]],19),IF(Main[[#This Row],[Class]]="B", WORKDAY(Main[[#This Row],[Tech Start Date]],12),IF(Main[[#This Row],[Class]]="A",WORKDAY(Main[[#This Row],[Tech Start Date]],4),""))))</f>
        <v/>
      </c>
      <c r="O878" s="114" t="str">
        <f>IF(Main[[#This Row],[Tech Start Date]]&lt;1/1/1990,"",IF(Main[[#This Row],[Class]]="C",WORKDAY(Main[[#This Row],[Tech Start Date]],23),IF(Main[[#This Row],[Class]]="B", WORKDAY(Main[[#This Row],[Tech Start Date]],15),IF(Main[[#This Row],[Class]]="A",WORKDAY(Main[[#This Row],[Tech Start Date]],5),""))))</f>
        <v/>
      </c>
      <c r="P878" s="114" t="str">
        <f>IF(Main[[#This Row],[Tech Start Date]]&lt;1/1/1990,"",IF(Main[[#This Row],[Class]]="C",WORKDAY(Main[[#This Row],[Tech Start Date]],28),IF(Main[[#This Row],[Class]]="B", WORKDAY(Main[[#This Row],[Tech Start Date]],19),IF(Main[[#This Row],[Class]]="A",WORKDAY(Main[[#This Row],[Tech Start Date]],9),""))))</f>
        <v/>
      </c>
      <c r="Q878" s="129"/>
      <c r="R878" s="129"/>
      <c r="S878" s="139" t="s">
        <v>6</v>
      </c>
      <c r="T878" s="115" t="s">
        <v>4</v>
      </c>
      <c r="U878" s="139" t="s">
        <v>14</v>
      </c>
      <c r="V878" s="139" t="s">
        <v>1914</v>
      </c>
      <c r="W878" s="139" t="s">
        <v>1918</v>
      </c>
      <c r="X878" s="139" t="s">
        <v>306</v>
      </c>
      <c r="Y878" s="112" t="s">
        <v>3099</v>
      </c>
      <c r="Z878" s="112" t="s">
        <v>129</v>
      </c>
      <c r="AA878" s="139" t="s">
        <v>3436</v>
      </c>
    </row>
    <row r="879" spans="1:27" ht="17.25" customHeight="1">
      <c r="A879" s="69" t="str">
        <f>IF(priority(Main[[#This Row],[Comments]])&lt;&gt;0, priority(Main[[#This Row],[Comments]]),"")</f>
        <v/>
      </c>
      <c r="B879" s="63" t="s">
        <v>1690</v>
      </c>
      <c r="C879" s="148" t="s">
        <v>4</v>
      </c>
      <c r="D879" s="113" t="s">
        <v>746</v>
      </c>
      <c r="E879" s="129"/>
      <c r="F879" s="129"/>
      <c r="G879" s="69" t="str">
        <f>IF(stdProdLT(Main[[#This Row],[Comments]])=0.1,"N/A",IF(stdProdLT(Main[[#This Row],[Comments]])=0,"",stdProdLT(Main[[#This Row],[Comments]])))</f>
        <v/>
      </c>
      <c r="H879" s="138" t="str">
        <f>IF(Main[[#This Row],[In Stock Date]]="N/A", "N/A",IF(AND(Main[[#This Row],[In Stock Date]]&lt;&gt;"",Main[[#This Row],[Revised Due Date]]&lt;&gt;"",Main[[#This Row],[In Stock Date]]&lt;&gt;""),Main[[#This Row],[In Stock Date]]-Main[[#This Row],[Revised Due Date]],""))</f>
        <v/>
      </c>
      <c r="I879" s="139" t="s">
        <v>4</v>
      </c>
      <c r="J879" s="139" t="s">
        <v>4</v>
      </c>
      <c r="K879" s="139" t="s">
        <v>4</v>
      </c>
      <c r="L879" s="129"/>
      <c r="M879" s="114" t="str">
        <f>IF(Main[[#This Row],[Tech Start Date]]&lt;1/1/1990,"",IF(Main[[#This Row],[Class]]="C",WORKDAY(Main[[#This Row],[Tech Start Date]],9),IF(Main[[#This Row],[Class]]="B", WORKDAY(Main[[#This Row],[Tech Start Date]],6),IF(Main[[#This Row],[Class]]="A",WORKDAY(Main[[#This Row],[Tech Start Date]],2),""))))</f>
        <v/>
      </c>
      <c r="N879" s="114" t="str">
        <f>IF(Main[[#This Row],[Tech Start Date]]&lt;1/1/1990,"",IF(Main[[#This Row],[Class]]="C",WORKDAY(Main[[#This Row],[Tech Start Date]],19),IF(Main[[#This Row],[Class]]="B", WORKDAY(Main[[#This Row],[Tech Start Date]],12),IF(Main[[#This Row],[Class]]="A",WORKDAY(Main[[#This Row],[Tech Start Date]],4),""))))</f>
        <v/>
      </c>
      <c r="O879" s="114" t="str">
        <f>IF(Main[[#This Row],[Tech Start Date]]&lt;1/1/1990,"",IF(Main[[#This Row],[Class]]="C",WORKDAY(Main[[#This Row],[Tech Start Date]],23),IF(Main[[#This Row],[Class]]="B", WORKDAY(Main[[#This Row],[Tech Start Date]],15),IF(Main[[#This Row],[Class]]="A",WORKDAY(Main[[#This Row],[Tech Start Date]],5),""))))</f>
        <v/>
      </c>
      <c r="P879" s="114" t="str">
        <f>IF(Main[[#This Row],[Tech Start Date]]&lt;1/1/1990,"",IF(Main[[#This Row],[Class]]="C",WORKDAY(Main[[#This Row],[Tech Start Date]],28),IF(Main[[#This Row],[Class]]="B", WORKDAY(Main[[#This Row],[Tech Start Date]],19),IF(Main[[#This Row],[Class]]="A",WORKDAY(Main[[#This Row],[Tech Start Date]],9),""))))</f>
        <v/>
      </c>
      <c r="Q879" s="129"/>
      <c r="R879" s="129"/>
      <c r="S879" s="139" t="s">
        <v>11</v>
      </c>
      <c r="T879" s="115" t="s">
        <v>4</v>
      </c>
      <c r="U879" s="139" t="s">
        <v>14</v>
      </c>
      <c r="V879" s="139" t="s">
        <v>1914</v>
      </c>
      <c r="W879" s="139" t="s">
        <v>1918</v>
      </c>
      <c r="X879" s="139" t="s">
        <v>708</v>
      </c>
      <c r="Y879" s="112" t="s">
        <v>3085</v>
      </c>
      <c r="Z879" s="112" t="s">
        <v>4</v>
      </c>
      <c r="AA879" s="139" t="s">
        <v>969</v>
      </c>
    </row>
    <row r="880" spans="1:27" ht="17.25" customHeight="1">
      <c r="A880" s="69" t="str">
        <f>IF(priority(Main[[#This Row],[Comments]])&lt;&gt;0, priority(Main[[#This Row],[Comments]]),"")</f>
        <v/>
      </c>
      <c r="B880" s="63" t="s">
        <v>1691</v>
      </c>
      <c r="C880" s="148" t="s">
        <v>4</v>
      </c>
      <c r="D880" s="113" t="s">
        <v>747</v>
      </c>
      <c r="E880" s="129"/>
      <c r="F880" s="129"/>
      <c r="G880" s="69" t="str">
        <f>IF(stdProdLT(Main[[#This Row],[Comments]])=0.1,"N/A",IF(stdProdLT(Main[[#This Row],[Comments]])=0,"",stdProdLT(Main[[#This Row],[Comments]])))</f>
        <v/>
      </c>
      <c r="H880" s="138" t="str">
        <f>IF(Main[[#This Row],[In Stock Date]]="N/A", "N/A",IF(AND(Main[[#This Row],[In Stock Date]]&lt;&gt;"",Main[[#This Row],[Revised Due Date]]&lt;&gt;"",Main[[#This Row],[In Stock Date]]&lt;&gt;""),Main[[#This Row],[In Stock Date]]-Main[[#This Row],[Revised Due Date]],""))</f>
        <v/>
      </c>
      <c r="I880" s="139" t="s">
        <v>429</v>
      </c>
      <c r="J880" s="139" t="s">
        <v>70</v>
      </c>
      <c r="K880" s="139" t="s">
        <v>4</v>
      </c>
      <c r="L880" s="129"/>
      <c r="M880" s="114" t="str">
        <f>IF(Main[[#This Row],[Tech Start Date]]&lt;1/1/1990,"",IF(Main[[#This Row],[Class]]="C",WORKDAY(Main[[#This Row],[Tech Start Date]],9),IF(Main[[#This Row],[Class]]="B", WORKDAY(Main[[#This Row],[Tech Start Date]],6),IF(Main[[#This Row],[Class]]="A",WORKDAY(Main[[#This Row],[Tech Start Date]],2),""))))</f>
        <v/>
      </c>
      <c r="N880" s="114" t="str">
        <f>IF(Main[[#This Row],[Tech Start Date]]&lt;1/1/1990,"",IF(Main[[#This Row],[Class]]="C",WORKDAY(Main[[#This Row],[Tech Start Date]],19),IF(Main[[#This Row],[Class]]="B", WORKDAY(Main[[#This Row],[Tech Start Date]],12),IF(Main[[#This Row],[Class]]="A",WORKDAY(Main[[#This Row],[Tech Start Date]],4),""))))</f>
        <v/>
      </c>
      <c r="O880" s="114" t="str">
        <f>IF(Main[[#This Row],[Tech Start Date]]&lt;1/1/1990,"",IF(Main[[#This Row],[Class]]="C",WORKDAY(Main[[#This Row],[Tech Start Date]],23),IF(Main[[#This Row],[Class]]="B", WORKDAY(Main[[#This Row],[Tech Start Date]],15),IF(Main[[#This Row],[Class]]="A",WORKDAY(Main[[#This Row],[Tech Start Date]],5),""))))</f>
        <v/>
      </c>
      <c r="P880" s="114" t="str">
        <f>IF(Main[[#This Row],[Tech Start Date]]&lt;1/1/1990,"",IF(Main[[#This Row],[Class]]="C",WORKDAY(Main[[#This Row],[Tech Start Date]],28),IF(Main[[#This Row],[Class]]="B", WORKDAY(Main[[#This Row],[Tech Start Date]],19),IF(Main[[#This Row],[Class]]="A",WORKDAY(Main[[#This Row],[Tech Start Date]],9),""))))</f>
        <v/>
      </c>
      <c r="Q880" s="129">
        <v>40437</v>
      </c>
      <c r="R880" s="129"/>
      <c r="S880" s="139" t="s">
        <v>6</v>
      </c>
      <c r="T880" s="115" t="s">
        <v>4</v>
      </c>
      <c r="U880" s="139" t="s">
        <v>14</v>
      </c>
      <c r="V880" s="139" t="s">
        <v>1917</v>
      </c>
      <c r="W880" s="139" t="s">
        <v>1916</v>
      </c>
      <c r="X880" s="139" t="s">
        <v>2822</v>
      </c>
      <c r="Y880" s="112" t="s">
        <v>2938</v>
      </c>
      <c r="Z880" s="112" t="s">
        <v>530</v>
      </c>
      <c r="AA880" s="139" t="s">
        <v>2822</v>
      </c>
    </row>
    <row r="881" spans="1:27" ht="17.25" customHeight="1">
      <c r="A881" s="69" t="str">
        <f>IF(priority(Main[[#This Row],[Comments]])&lt;&gt;0, priority(Main[[#This Row],[Comments]]),"")</f>
        <v/>
      </c>
      <c r="B881" s="63" t="s">
        <v>2737</v>
      </c>
      <c r="C881" s="148" t="s">
        <v>4</v>
      </c>
      <c r="D881" s="113" t="s">
        <v>2738</v>
      </c>
      <c r="E881" s="129">
        <v>40886.69462962963</v>
      </c>
      <c r="F881" s="129"/>
      <c r="G881" s="69" t="str">
        <f>IF(stdProdLT(Main[[#This Row],[Comments]])=0.1,"N/A",IF(stdProdLT(Main[[#This Row],[Comments]])=0,"",stdProdLT(Main[[#This Row],[Comments]])))</f>
        <v/>
      </c>
      <c r="H881" s="138" t="str">
        <f>IF(Main[[#This Row],[In Stock Date]]="N/A", "N/A",IF(AND(Main[[#This Row],[In Stock Date]]&lt;&gt;"",Main[[#This Row],[Revised Due Date]]&lt;&gt;"",Main[[#This Row],[In Stock Date]]&lt;&gt;""),Main[[#This Row],[In Stock Date]]-Main[[#This Row],[Revised Due Date]],""))</f>
        <v/>
      </c>
      <c r="I881" s="139" t="s">
        <v>4</v>
      </c>
      <c r="J881" s="139" t="s">
        <v>4</v>
      </c>
      <c r="K881" s="139" t="s">
        <v>4</v>
      </c>
      <c r="L881" s="129"/>
      <c r="M881" s="114" t="str">
        <f>IF(Main[[#This Row],[Tech Start Date]]&lt;1/1/1990,"",IF(Main[[#This Row],[Class]]="C",WORKDAY(Main[[#This Row],[Tech Start Date]],9),IF(Main[[#This Row],[Class]]="B", WORKDAY(Main[[#This Row],[Tech Start Date]],6),IF(Main[[#This Row],[Class]]="A",WORKDAY(Main[[#This Row],[Tech Start Date]],2),""))))</f>
        <v/>
      </c>
      <c r="N881" s="114" t="str">
        <f>IF(Main[[#This Row],[Tech Start Date]]&lt;1/1/1990,"",IF(Main[[#This Row],[Class]]="C",WORKDAY(Main[[#This Row],[Tech Start Date]],19),IF(Main[[#This Row],[Class]]="B", WORKDAY(Main[[#This Row],[Tech Start Date]],12),IF(Main[[#This Row],[Class]]="A",WORKDAY(Main[[#This Row],[Tech Start Date]],4),""))))</f>
        <v/>
      </c>
      <c r="O881" s="114" t="str">
        <f>IF(Main[[#This Row],[Tech Start Date]]&lt;1/1/1990,"",IF(Main[[#This Row],[Class]]="C",WORKDAY(Main[[#This Row],[Tech Start Date]],23),IF(Main[[#This Row],[Class]]="B", WORKDAY(Main[[#This Row],[Tech Start Date]],15),IF(Main[[#This Row],[Class]]="A",WORKDAY(Main[[#This Row],[Tech Start Date]],5),""))))</f>
        <v/>
      </c>
      <c r="P881" s="114" t="str">
        <f>IF(Main[[#This Row],[Tech Start Date]]&lt;1/1/1990,"",IF(Main[[#This Row],[Class]]="C",WORKDAY(Main[[#This Row],[Tech Start Date]],28),IF(Main[[#This Row],[Class]]="B", WORKDAY(Main[[#This Row],[Tech Start Date]],19),IF(Main[[#This Row],[Class]]="A",WORKDAY(Main[[#This Row],[Tech Start Date]],9),""))))</f>
        <v/>
      </c>
      <c r="Q881" s="129">
        <v>40959</v>
      </c>
      <c r="R881" s="129"/>
      <c r="S881" s="139" t="s">
        <v>17</v>
      </c>
      <c r="T881" s="115" t="s">
        <v>4</v>
      </c>
      <c r="U881" s="139" t="s">
        <v>7</v>
      </c>
      <c r="V881" s="139" t="s">
        <v>1914</v>
      </c>
      <c r="W881" s="139" t="s">
        <v>4</v>
      </c>
      <c r="X881" s="139" t="s">
        <v>956</v>
      </c>
      <c r="Y881" s="112" t="s">
        <v>3094</v>
      </c>
      <c r="Z881" s="112" t="s">
        <v>4</v>
      </c>
      <c r="AA881" s="139" t="s">
        <v>956</v>
      </c>
    </row>
    <row r="882" spans="1:27" ht="17.25" customHeight="1">
      <c r="A882" s="69" t="str">
        <f>IF(priority(Main[[#This Row],[Comments]])&lt;&gt;0, priority(Main[[#This Row],[Comments]]),"")</f>
        <v/>
      </c>
      <c r="B882" s="63" t="s">
        <v>1695</v>
      </c>
      <c r="C882" s="148" t="s">
        <v>47</v>
      </c>
      <c r="D882" s="113" t="s">
        <v>751</v>
      </c>
      <c r="E882" s="129"/>
      <c r="F882" s="129"/>
      <c r="G882" s="69" t="str">
        <f>IF(stdProdLT(Main[[#This Row],[Comments]])=0.1,"N/A",IF(stdProdLT(Main[[#This Row],[Comments]])=0,"",stdProdLT(Main[[#This Row],[Comments]])))</f>
        <v/>
      </c>
      <c r="H882" s="138" t="str">
        <f>IF(Main[[#This Row],[In Stock Date]]="N/A", "N/A",IF(AND(Main[[#This Row],[In Stock Date]]&lt;&gt;"",Main[[#This Row],[Revised Due Date]]&lt;&gt;"",Main[[#This Row],[In Stock Date]]&lt;&gt;""),Main[[#This Row],[In Stock Date]]-Main[[#This Row],[Revised Due Date]],""))</f>
        <v/>
      </c>
      <c r="I882" s="139" t="s">
        <v>4</v>
      </c>
      <c r="J882" s="139" t="s">
        <v>4</v>
      </c>
      <c r="K882" s="139" t="s">
        <v>4</v>
      </c>
      <c r="L882" s="129"/>
      <c r="M882" s="114" t="str">
        <f>IF(Main[[#This Row],[Tech Start Date]]&lt;1/1/1990,"",IF(Main[[#This Row],[Class]]="C",WORKDAY(Main[[#This Row],[Tech Start Date]],9),IF(Main[[#This Row],[Class]]="B", WORKDAY(Main[[#This Row],[Tech Start Date]],6),IF(Main[[#This Row],[Class]]="A",WORKDAY(Main[[#This Row],[Tech Start Date]],2),""))))</f>
        <v/>
      </c>
      <c r="N882" s="114" t="str">
        <f>IF(Main[[#This Row],[Tech Start Date]]&lt;1/1/1990,"",IF(Main[[#This Row],[Class]]="C",WORKDAY(Main[[#This Row],[Tech Start Date]],19),IF(Main[[#This Row],[Class]]="B", WORKDAY(Main[[#This Row],[Tech Start Date]],12),IF(Main[[#This Row],[Class]]="A",WORKDAY(Main[[#This Row],[Tech Start Date]],4),""))))</f>
        <v/>
      </c>
      <c r="O882" s="114" t="str">
        <f>IF(Main[[#This Row],[Tech Start Date]]&lt;1/1/1990,"",IF(Main[[#This Row],[Class]]="C",WORKDAY(Main[[#This Row],[Tech Start Date]],23),IF(Main[[#This Row],[Class]]="B", WORKDAY(Main[[#This Row],[Tech Start Date]],15),IF(Main[[#This Row],[Class]]="A",WORKDAY(Main[[#This Row],[Tech Start Date]],5),""))))</f>
        <v/>
      </c>
      <c r="P882" s="114" t="str">
        <f>IF(Main[[#This Row],[Tech Start Date]]&lt;1/1/1990,"",IF(Main[[#This Row],[Class]]="C",WORKDAY(Main[[#This Row],[Tech Start Date]],28),IF(Main[[#This Row],[Class]]="B", WORKDAY(Main[[#This Row],[Tech Start Date]],19),IF(Main[[#This Row],[Class]]="A",WORKDAY(Main[[#This Row],[Tech Start Date]],9),""))))</f>
        <v/>
      </c>
      <c r="Q882" s="129"/>
      <c r="R882" s="129"/>
      <c r="S882" s="139" t="s">
        <v>49</v>
      </c>
      <c r="T882" s="115" t="s">
        <v>4</v>
      </c>
      <c r="U882" s="139" t="s">
        <v>14</v>
      </c>
      <c r="V882" s="139" t="s">
        <v>1917</v>
      </c>
      <c r="W882" s="139" t="s">
        <v>1918</v>
      </c>
      <c r="X882" s="139" t="s">
        <v>306</v>
      </c>
      <c r="Y882" s="112" t="s">
        <v>2941</v>
      </c>
      <c r="Z882" s="112" t="s">
        <v>4</v>
      </c>
      <c r="AA882" s="139" t="s">
        <v>3376</v>
      </c>
    </row>
    <row r="883" spans="1:27" ht="17.25" customHeight="1">
      <c r="A883" s="69" t="str">
        <f>IF(priority(Main[[#This Row],[Comments]])&lt;&gt;0, priority(Main[[#This Row],[Comments]]),"")</f>
        <v/>
      </c>
      <c r="B883" s="63" t="s">
        <v>2097</v>
      </c>
      <c r="C883" s="148" t="s">
        <v>951</v>
      </c>
      <c r="D883" s="113" t="s">
        <v>2098</v>
      </c>
      <c r="E883" s="129"/>
      <c r="F883" s="129">
        <v>40871</v>
      </c>
      <c r="G883" s="69" t="str">
        <f>IF(stdProdLT(Main[[#This Row],[Comments]])=0.1,"N/A",IF(stdProdLT(Main[[#This Row],[Comments]])=0,"",stdProdLT(Main[[#This Row],[Comments]])))</f>
        <v/>
      </c>
      <c r="H883" s="138" t="str">
        <f>IF(Main[[#This Row],[In Stock Date]]="N/A", "N/A",IF(AND(Main[[#This Row],[In Stock Date]]&lt;&gt;"",Main[[#This Row],[Revised Due Date]]&lt;&gt;"",Main[[#This Row],[In Stock Date]]&lt;&gt;""),Main[[#This Row],[In Stock Date]]-Main[[#This Row],[Revised Due Date]],""))</f>
        <v/>
      </c>
      <c r="I883" s="139" t="s">
        <v>4</v>
      </c>
      <c r="J883" s="139" t="s">
        <v>4</v>
      </c>
      <c r="K883" s="139" t="s">
        <v>4</v>
      </c>
      <c r="L883" s="129"/>
      <c r="M883" s="114" t="str">
        <f>IF(Main[[#This Row],[Tech Start Date]]&lt;1/1/1990,"",IF(Main[[#This Row],[Class]]="C",WORKDAY(Main[[#This Row],[Tech Start Date]],9),IF(Main[[#This Row],[Class]]="B", WORKDAY(Main[[#This Row],[Tech Start Date]],6),IF(Main[[#This Row],[Class]]="A",WORKDAY(Main[[#This Row],[Tech Start Date]],2),""))))</f>
        <v/>
      </c>
      <c r="N883" s="114" t="str">
        <f>IF(Main[[#This Row],[Tech Start Date]]&lt;1/1/1990,"",IF(Main[[#This Row],[Class]]="C",WORKDAY(Main[[#This Row],[Tech Start Date]],19),IF(Main[[#This Row],[Class]]="B", WORKDAY(Main[[#This Row],[Tech Start Date]],12),IF(Main[[#This Row],[Class]]="A",WORKDAY(Main[[#This Row],[Tech Start Date]],4),""))))</f>
        <v/>
      </c>
      <c r="O883" s="114" t="str">
        <f>IF(Main[[#This Row],[Tech Start Date]]&lt;1/1/1990,"",IF(Main[[#This Row],[Class]]="C",WORKDAY(Main[[#This Row],[Tech Start Date]],23),IF(Main[[#This Row],[Class]]="B", WORKDAY(Main[[#This Row],[Tech Start Date]],15),IF(Main[[#This Row],[Class]]="A",WORKDAY(Main[[#This Row],[Tech Start Date]],5),""))))</f>
        <v/>
      </c>
      <c r="P883" s="114" t="str">
        <f>IF(Main[[#This Row],[Tech Start Date]]&lt;1/1/1990,"",IF(Main[[#This Row],[Class]]="C",WORKDAY(Main[[#This Row],[Tech Start Date]],28),IF(Main[[#This Row],[Class]]="B", WORKDAY(Main[[#This Row],[Tech Start Date]],19),IF(Main[[#This Row],[Class]]="A",WORKDAY(Main[[#This Row],[Tech Start Date]],9),""))))</f>
        <v/>
      </c>
      <c r="Q883" s="129"/>
      <c r="R883" s="129"/>
      <c r="S883" s="139" t="s">
        <v>11</v>
      </c>
      <c r="T883" s="115" t="s">
        <v>4</v>
      </c>
      <c r="U883" s="139" t="s">
        <v>14</v>
      </c>
      <c r="V883" s="139" t="s">
        <v>1917</v>
      </c>
      <c r="W883" s="139" t="s">
        <v>1922</v>
      </c>
      <c r="X883" s="139" t="s">
        <v>50</v>
      </c>
      <c r="Y883" s="112" t="s">
        <v>2961</v>
      </c>
      <c r="Z883" s="112" t="s">
        <v>4</v>
      </c>
      <c r="AA883" s="139" t="s">
        <v>50</v>
      </c>
    </row>
    <row r="884" spans="1:27" ht="17.25" customHeight="1">
      <c r="A884" s="69" t="str">
        <f>IF(priority(Main[[#This Row],[Comments]])&lt;&gt;0, priority(Main[[#This Row],[Comments]]),"")</f>
        <v/>
      </c>
      <c r="B884" s="63" t="s">
        <v>3514</v>
      </c>
      <c r="C884" s="148" t="s">
        <v>4</v>
      </c>
      <c r="D884" s="113" t="s">
        <v>3515</v>
      </c>
      <c r="E884" s="129">
        <v>40948.373171296298</v>
      </c>
      <c r="F884" s="129"/>
      <c r="G884" s="69" t="str">
        <f>IF(stdProdLT(Main[[#This Row],[Comments]])=0.1,"N/A",IF(stdProdLT(Main[[#This Row],[Comments]])=0,"",stdProdLT(Main[[#This Row],[Comments]])))</f>
        <v/>
      </c>
      <c r="H884" s="138" t="str">
        <f>IF(Main[[#This Row],[In Stock Date]]="N/A", "N/A",IF(AND(Main[[#This Row],[In Stock Date]]&lt;&gt;"",Main[[#This Row],[Revised Due Date]]&lt;&gt;"",Main[[#This Row],[In Stock Date]]&lt;&gt;""),Main[[#This Row],[In Stock Date]]-Main[[#This Row],[Revised Due Date]],""))</f>
        <v/>
      </c>
      <c r="I884" s="139" t="s">
        <v>4</v>
      </c>
      <c r="J884" s="139" t="s">
        <v>4</v>
      </c>
      <c r="K884" s="139" t="s">
        <v>4</v>
      </c>
      <c r="L884" s="129"/>
      <c r="M884" s="114" t="str">
        <f>IF(Main[[#This Row],[Tech Start Date]]&lt;1/1/1990,"",IF(Main[[#This Row],[Class]]="C",WORKDAY(Main[[#This Row],[Tech Start Date]],9),IF(Main[[#This Row],[Class]]="B", WORKDAY(Main[[#This Row],[Tech Start Date]],6),IF(Main[[#This Row],[Class]]="A",WORKDAY(Main[[#This Row],[Tech Start Date]],2),""))))</f>
        <v/>
      </c>
      <c r="N884" s="114" t="str">
        <f>IF(Main[[#This Row],[Tech Start Date]]&lt;1/1/1990,"",IF(Main[[#This Row],[Class]]="C",WORKDAY(Main[[#This Row],[Tech Start Date]],19),IF(Main[[#This Row],[Class]]="B", WORKDAY(Main[[#This Row],[Tech Start Date]],12),IF(Main[[#This Row],[Class]]="A",WORKDAY(Main[[#This Row],[Tech Start Date]],4),""))))</f>
        <v/>
      </c>
      <c r="O884" s="114" t="str">
        <f>IF(Main[[#This Row],[Tech Start Date]]&lt;1/1/1990,"",IF(Main[[#This Row],[Class]]="C",WORKDAY(Main[[#This Row],[Tech Start Date]],23),IF(Main[[#This Row],[Class]]="B", WORKDAY(Main[[#This Row],[Tech Start Date]],15),IF(Main[[#This Row],[Class]]="A",WORKDAY(Main[[#This Row],[Tech Start Date]],5),""))))</f>
        <v/>
      </c>
      <c r="P884" s="114" t="str">
        <f>IF(Main[[#This Row],[Tech Start Date]]&lt;1/1/1990,"",IF(Main[[#This Row],[Class]]="C",WORKDAY(Main[[#This Row],[Tech Start Date]],28),IF(Main[[#This Row],[Class]]="B", WORKDAY(Main[[#This Row],[Tech Start Date]],19),IF(Main[[#This Row],[Class]]="A",WORKDAY(Main[[#This Row],[Tech Start Date]],9),""))))</f>
        <v/>
      </c>
      <c r="Q884" s="129">
        <v>40977</v>
      </c>
      <c r="R884" s="129"/>
      <c r="S884" s="139" t="s">
        <v>6</v>
      </c>
      <c r="T884" s="115" t="s">
        <v>4</v>
      </c>
      <c r="U884" s="139" t="s">
        <v>7</v>
      </c>
      <c r="V884" s="139" t="s">
        <v>1914</v>
      </c>
      <c r="W884" s="139" t="s">
        <v>4</v>
      </c>
      <c r="X884" s="139" t="s">
        <v>2822</v>
      </c>
      <c r="Y884" s="112" t="s">
        <v>2938</v>
      </c>
      <c r="Z884" s="112" t="s">
        <v>4</v>
      </c>
      <c r="AA884" s="139" t="s">
        <v>2822</v>
      </c>
    </row>
    <row r="885" spans="1:27" ht="17.25" customHeight="1">
      <c r="A885" s="69" t="str">
        <f>IF(priority(Main[[#This Row],[Comments]])&lt;&gt;0, priority(Main[[#This Row],[Comments]]),"")</f>
        <v/>
      </c>
      <c r="B885" s="63" t="s">
        <v>1898</v>
      </c>
      <c r="C885" s="148" t="s">
        <v>72</v>
      </c>
      <c r="D885" s="113" t="s">
        <v>2111</v>
      </c>
      <c r="E885" s="129">
        <v>40469.926608796297</v>
      </c>
      <c r="F885" s="129">
        <v>40487</v>
      </c>
      <c r="G885" s="69">
        <f>IF(stdProdLT(Main[[#This Row],[Comments]])=0.1,"N/A",IF(stdProdLT(Main[[#This Row],[Comments]])=0,"",stdProdLT(Main[[#This Row],[Comments]])))</f>
        <v>42</v>
      </c>
      <c r="H885" s="138">
        <f>IF(Main[[#This Row],[In Stock Date]]="N/A", "N/A",IF(AND(Main[[#This Row],[In Stock Date]]&lt;&gt;"",Main[[#This Row],[Revised Due Date]]&lt;&gt;"",Main[[#This Row],[In Stock Date]]&lt;&gt;""),Main[[#This Row],[In Stock Date]]-Main[[#This Row],[Revised Due Date]],""))</f>
        <v>-294</v>
      </c>
      <c r="I885" s="139" t="s">
        <v>2053</v>
      </c>
      <c r="J885" s="139" t="s">
        <v>52</v>
      </c>
      <c r="K885" s="139" t="s">
        <v>1927</v>
      </c>
      <c r="L885" s="129"/>
      <c r="M885" s="114" t="str">
        <f>IF(Main[[#This Row],[Tech Start Date]]&lt;1/1/1990,"",IF(Main[[#This Row],[Class]]="C",WORKDAY(Main[[#This Row],[Tech Start Date]],9),IF(Main[[#This Row],[Class]]="B", WORKDAY(Main[[#This Row],[Tech Start Date]],6),IF(Main[[#This Row],[Class]]="A",WORKDAY(Main[[#This Row],[Tech Start Date]],2),""))))</f>
        <v/>
      </c>
      <c r="N885" s="114" t="str">
        <f>IF(Main[[#This Row],[Tech Start Date]]&lt;1/1/1990,"",IF(Main[[#This Row],[Class]]="C",WORKDAY(Main[[#This Row],[Tech Start Date]],19),IF(Main[[#This Row],[Class]]="B", WORKDAY(Main[[#This Row],[Tech Start Date]],12),IF(Main[[#This Row],[Class]]="A",WORKDAY(Main[[#This Row],[Tech Start Date]],4),""))))</f>
        <v/>
      </c>
      <c r="O885" s="114" t="str">
        <f>IF(Main[[#This Row],[Tech Start Date]]&lt;1/1/1990,"",IF(Main[[#This Row],[Class]]="C",WORKDAY(Main[[#This Row],[Tech Start Date]],23),IF(Main[[#This Row],[Class]]="B", WORKDAY(Main[[#This Row],[Tech Start Date]],15),IF(Main[[#This Row],[Class]]="A",WORKDAY(Main[[#This Row],[Tech Start Date]],5),""))))</f>
        <v/>
      </c>
      <c r="P885" s="114" t="str">
        <f>IF(Main[[#This Row],[Tech Start Date]]&lt;1/1/1990,"",IF(Main[[#This Row],[Class]]="C",WORKDAY(Main[[#This Row],[Tech Start Date]],28),IF(Main[[#This Row],[Class]]="B", WORKDAY(Main[[#This Row],[Tech Start Date]],19),IF(Main[[#This Row],[Class]]="A",WORKDAY(Main[[#This Row],[Tech Start Date]],9),""))))</f>
        <v/>
      </c>
      <c r="Q885" s="129"/>
      <c r="R885" s="129">
        <v>40781</v>
      </c>
      <c r="S885" s="139" t="s">
        <v>6</v>
      </c>
      <c r="T885" s="115" t="s">
        <v>2112</v>
      </c>
      <c r="U885" s="139" t="s">
        <v>29</v>
      </c>
      <c r="V885" s="139" t="s">
        <v>1915</v>
      </c>
      <c r="W885" s="139" t="s">
        <v>1916</v>
      </c>
      <c r="X885" s="139" t="s">
        <v>2901</v>
      </c>
      <c r="Y885" s="112" t="s">
        <v>3079</v>
      </c>
      <c r="Z885" s="112" t="s">
        <v>108</v>
      </c>
      <c r="AA885" s="139" t="s">
        <v>2901</v>
      </c>
    </row>
    <row r="886" spans="1:27" ht="17.25" customHeight="1">
      <c r="A886" s="69" t="str">
        <f>IF(priority(Main[[#This Row],[Comments]])&lt;&gt;0, priority(Main[[#This Row],[Comments]]),"")</f>
        <v/>
      </c>
      <c r="B886" s="63" t="s">
        <v>1862</v>
      </c>
      <c r="C886" s="148" t="s">
        <v>31</v>
      </c>
      <c r="D886" s="113" t="s">
        <v>918</v>
      </c>
      <c r="E886" s="129"/>
      <c r="F886" s="129">
        <v>40664</v>
      </c>
      <c r="G886" s="69" t="str">
        <f>IF(stdProdLT(Main[[#This Row],[Comments]])=0.1,"N/A",IF(stdProdLT(Main[[#This Row],[Comments]])=0,"",stdProdLT(Main[[#This Row],[Comments]])))</f>
        <v/>
      </c>
      <c r="H886" s="138">
        <f>IF(Main[[#This Row],[In Stock Date]]="N/A", "N/A",IF(AND(Main[[#This Row],[In Stock Date]]&lt;&gt;"",Main[[#This Row],[Revised Due Date]]&lt;&gt;"",Main[[#This Row],[In Stock Date]]&lt;&gt;""),Main[[#This Row],[In Stock Date]]-Main[[#This Row],[Revised Due Date]],""))</f>
        <v>87</v>
      </c>
      <c r="I886" s="139" t="s">
        <v>417</v>
      </c>
      <c r="J886" s="139" t="s">
        <v>75</v>
      </c>
      <c r="K886" s="139" t="s">
        <v>1923</v>
      </c>
      <c r="L886" s="129"/>
      <c r="M886" s="114" t="str">
        <f>IF(Main[[#This Row],[Tech Start Date]]&lt;1/1/1990,"",IF(Main[[#This Row],[Class]]="C",WORKDAY(Main[[#This Row],[Tech Start Date]],9),IF(Main[[#This Row],[Class]]="B", WORKDAY(Main[[#This Row],[Tech Start Date]],6),IF(Main[[#This Row],[Class]]="A",WORKDAY(Main[[#This Row],[Tech Start Date]],2),""))))</f>
        <v/>
      </c>
      <c r="N886" s="114" t="str">
        <f>IF(Main[[#This Row],[Tech Start Date]]&lt;1/1/1990,"",IF(Main[[#This Row],[Class]]="C",WORKDAY(Main[[#This Row],[Tech Start Date]],19),IF(Main[[#This Row],[Class]]="B", WORKDAY(Main[[#This Row],[Tech Start Date]],12),IF(Main[[#This Row],[Class]]="A",WORKDAY(Main[[#This Row],[Tech Start Date]],4),""))))</f>
        <v/>
      </c>
      <c r="O886" s="114" t="str">
        <f>IF(Main[[#This Row],[Tech Start Date]]&lt;1/1/1990,"",IF(Main[[#This Row],[Class]]="C",WORKDAY(Main[[#This Row],[Tech Start Date]],23),IF(Main[[#This Row],[Class]]="B", WORKDAY(Main[[#This Row],[Tech Start Date]],15),IF(Main[[#This Row],[Class]]="A",WORKDAY(Main[[#This Row],[Tech Start Date]],5),""))))</f>
        <v/>
      </c>
      <c r="P886" s="114" t="str">
        <f>IF(Main[[#This Row],[Tech Start Date]]&lt;1/1/1990,"",IF(Main[[#This Row],[Class]]="C",WORKDAY(Main[[#This Row],[Tech Start Date]],28),IF(Main[[#This Row],[Class]]="B", WORKDAY(Main[[#This Row],[Tech Start Date]],19),IF(Main[[#This Row],[Class]]="A",WORKDAY(Main[[#This Row],[Tech Start Date]],9),""))))</f>
        <v/>
      </c>
      <c r="Q886" s="129">
        <v>40589</v>
      </c>
      <c r="R886" s="129">
        <v>40577</v>
      </c>
      <c r="S886" s="139" t="s">
        <v>11</v>
      </c>
      <c r="T886" s="115" t="s">
        <v>4</v>
      </c>
      <c r="U886" s="139" t="s">
        <v>14</v>
      </c>
      <c r="V886" s="139" t="s">
        <v>1917</v>
      </c>
      <c r="W886" s="139" t="s">
        <v>1920</v>
      </c>
      <c r="X886" s="139" t="s">
        <v>2825</v>
      </c>
      <c r="Y886" s="112" t="s">
        <v>2967</v>
      </c>
      <c r="Z886" s="112" t="s">
        <v>530</v>
      </c>
      <c r="AA886" s="139" t="s">
        <v>2825</v>
      </c>
    </row>
    <row r="887" spans="1:27" ht="17.25" customHeight="1">
      <c r="A887" s="69" t="str">
        <f>IF(priority(Main[[#This Row],[Comments]])&lt;&gt;0, priority(Main[[#This Row],[Comments]]),"")</f>
        <v/>
      </c>
      <c r="B887" s="63" t="s">
        <v>1692</v>
      </c>
      <c r="C887" s="148" t="s">
        <v>4</v>
      </c>
      <c r="D887" s="113" t="s">
        <v>748</v>
      </c>
      <c r="E887" s="129"/>
      <c r="F887" s="129"/>
      <c r="G887" s="69" t="str">
        <f>IF(stdProdLT(Main[[#This Row],[Comments]])=0.1,"N/A",IF(stdProdLT(Main[[#This Row],[Comments]])=0,"",stdProdLT(Main[[#This Row],[Comments]])))</f>
        <v/>
      </c>
      <c r="H887" s="138" t="str">
        <f>IF(Main[[#This Row],[In Stock Date]]="N/A", "N/A",IF(AND(Main[[#This Row],[In Stock Date]]&lt;&gt;"",Main[[#This Row],[Revised Due Date]]&lt;&gt;"",Main[[#This Row],[In Stock Date]]&lt;&gt;""),Main[[#This Row],[In Stock Date]]-Main[[#This Row],[Revised Due Date]],""))</f>
        <v/>
      </c>
      <c r="I887" s="139" t="s">
        <v>4</v>
      </c>
      <c r="J887" s="139" t="s">
        <v>28</v>
      </c>
      <c r="K887" s="139" t="s">
        <v>1926</v>
      </c>
      <c r="L887" s="129"/>
      <c r="M887" s="114" t="str">
        <f>IF(Main[[#This Row],[Tech Start Date]]&lt;1/1/1990,"",IF(Main[[#This Row],[Class]]="C",WORKDAY(Main[[#This Row],[Tech Start Date]],9),IF(Main[[#This Row],[Class]]="B", WORKDAY(Main[[#This Row],[Tech Start Date]],6),IF(Main[[#This Row],[Class]]="A",WORKDAY(Main[[#This Row],[Tech Start Date]],2),""))))</f>
        <v/>
      </c>
      <c r="N887" s="114" t="str">
        <f>IF(Main[[#This Row],[Tech Start Date]]&lt;1/1/1990,"",IF(Main[[#This Row],[Class]]="C",WORKDAY(Main[[#This Row],[Tech Start Date]],19),IF(Main[[#This Row],[Class]]="B", WORKDAY(Main[[#This Row],[Tech Start Date]],12),IF(Main[[#This Row],[Class]]="A",WORKDAY(Main[[#This Row],[Tech Start Date]],4),""))))</f>
        <v/>
      </c>
      <c r="O887" s="114" t="str">
        <f>IF(Main[[#This Row],[Tech Start Date]]&lt;1/1/1990,"",IF(Main[[#This Row],[Class]]="C",WORKDAY(Main[[#This Row],[Tech Start Date]],23),IF(Main[[#This Row],[Class]]="B", WORKDAY(Main[[#This Row],[Tech Start Date]],15),IF(Main[[#This Row],[Class]]="A",WORKDAY(Main[[#This Row],[Tech Start Date]],5),""))))</f>
        <v/>
      </c>
      <c r="P887" s="114" t="str">
        <f>IF(Main[[#This Row],[Tech Start Date]]&lt;1/1/1990,"",IF(Main[[#This Row],[Class]]="C",WORKDAY(Main[[#This Row],[Tech Start Date]],28),IF(Main[[#This Row],[Class]]="B", WORKDAY(Main[[#This Row],[Tech Start Date]],19),IF(Main[[#This Row],[Class]]="A",WORKDAY(Main[[#This Row],[Tech Start Date]],9),""))))</f>
        <v/>
      </c>
      <c r="Q887" s="129">
        <v>40522</v>
      </c>
      <c r="R887" s="129"/>
      <c r="S887" s="139" t="s">
        <v>17</v>
      </c>
      <c r="T887" s="115" t="s">
        <v>4</v>
      </c>
      <c r="U887" s="139" t="s">
        <v>14</v>
      </c>
      <c r="V887" s="139" t="s">
        <v>1914</v>
      </c>
      <c r="W887" s="139" t="s">
        <v>1919</v>
      </c>
      <c r="X887" s="139" t="s">
        <v>2862</v>
      </c>
      <c r="Y887" s="112" t="s">
        <v>3006</v>
      </c>
      <c r="Z887" s="112" t="s">
        <v>129</v>
      </c>
      <c r="AA887" s="139" t="s">
        <v>2862</v>
      </c>
    </row>
    <row r="888" spans="1:27" ht="17.25" customHeight="1">
      <c r="A888" s="69" t="str">
        <f>IF(priority(Main[[#This Row],[Comments]])&lt;&gt;0, priority(Main[[#This Row],[Comments]]),"")</f>
        <v/>
      </c>
      <c r="B888" s="63" t="s">
        <v>1693</v>
      </c>
      <c r="C888" s="148" t="s">
        <v>67</v>
      </c>
      <c r="D888" s="113" t="s">
        <v>749</v>
      </c>
      <c r="E888" s="129"/>
      <c r="F888" s="129"/>
      <c r="G888" s="69" t="str">
        <f>IF(stdProdLT(Main[[#This Row],[Comments]])=0.1,"N/A",IF(stdProdLT(Main[[#This Row],[Comments]])=0,"",stdProdLT(Main[[#This Row],[Comments]])))</f>
        <v/>
      </c>
      <c r="H888" s="138" t="str">
        <f>IF(Main[[#This Row],[In Stock Date]]="N/A", "N/A",IF(AND(Main[[#This Row],[In Stock Date]]&lt;&gt;"",Main[[#This Row],[Revised Due Date]]&lt;&gt;"",Main[[#This Row],[In Stock Date]]&lt;&gt;""),Main[[#This Row],[In Stock Date]]-Main[[#This Row],[Revised Due Date]],""))</f>
        <v/>
      </c>
      <c r="I888" s="139" t="s">
        <v>4</v>
      </c>
      <c r="J888" s="139" t="s">
        <v>4</v>
      </c>
      <c r="K888" s="140" t="s">
        <v>4</v>
      </c>
      <c r="L888" s="129"/>
      <c r="M888" s="114" t="str">
        <f>IF(Main[[#This Row],[Tech Start Date]]&lt;1/1/1990,"",IF(Main[[#This Row],[Class]]="C",WORKDAY(Main[[#This Row],[Tech Start Date]],9),IF(Main[[#This Row],[Class]]="B", WORKDAY(Main[[#This Row],[Tech Start Date]],6),IF(Main[[#This Row],[Class]]="A",WORKDAY(Main[[#This Row],[Tech Start Date]],2),""))))</f>
        <v/>
      </c>
      <c r="N888" s="114" t="str">
        <f>IF(Main[[#This Row],[Tech Start Date]]&lt;1/1/1990,"",IF(Main[[#This Row],[Class]]="C",WORKDAY(Main[[#This Row],[Tech Start Date]],19),IF(Main[[#This Row],[Class]]="B", WORKDAY(Main[[#This Row],[Tech Start Date]],12),IF(Main[[#This Row],[Class]]="A",WORKDAY(Main[[#This Row],[Tech Start Date]],4),""))))</f>
        <v/>
      </c>
      <c r="O888" s="114" t="str">
        <f>IF(Main[[#This Row],[Tech Start Date]]&lt;1/1/1990,"",IF(Main[[#This Row],[Class]]="C",WORKDAY(Main[[#This Row],[Tech Start Date]],23),IF(Main[[#This Row],[Class]]="B", WORKDAY(Main[[#This Row],[Tech Start Date]],15),IF(Main[[#This Row],[Class]]="A",WORKDAY(Main[[#This Row],[Tech Start Date]],5),""))))</f>
        <v/>
      </c>
      <c r="P888" s="114" t="str">
        <f>IF(Main[[#This Row],[Tech Start Date]]&lt;1/1/1990,"",IF(Main[[#This Row],[Class]]="C",WORKDAY(Main[[#This Row],[Tech Start Date]],28),IF(Main[[#This Row],[Class]]="B", WORKDAY(Main[[#This Row],[Tech Start Date]],19),IF(Main[[#This Row],[Class]]="A",WORKDAY(Main[[#This Row],[Tech Start Date]],9),""))))</f>
        <v/>
      </c>
      <c r="Q888" s="129">
        <v>40241</v>
      </c>
      <c r="R888" s="129"/>
      <c r="S888" s="139" t="s">
        <v>11</v>
      </c>
      <c r="T888" s="115" t="s">
        <v>4</v>
      </c>
      <c r="U888" s="139" t="s">
        <v>14</v>
      </c>
      <c r="V888" s="139" t="s">
        <v>1924</v>
      </c>
      <c r="W888" s="139" t="s">
        <v>1916</v>
      </c>
      <c r="X888" s="139" t="s">
        <v>553</v>
      </c>
      <c r="Y888" s="112" t="s">
        <v>4</v>
      </c>
      <c r="Z888" s="112" t="s">
        <v>4</v>
      </c>
      <c r="AA888" s="139" t="s">
        <v>2858</v>
      </c>
    </row>
    <row r="889" spans="1:27" ht="17.25" customHeight="1">
      <c r="A889" s="69" t="str">
        <f>IF(priority(Main[[#This Row],[Comments]])&lt;&gt;0, priority(Main[[#This Row],[Comments]]),"")</f>
        <v/>
      </c>
      <c r="B889" s="63" t="s">
        <v>1694</v>
      </c>
      <c r="C889" s="148" t="s">
        <v>4</v>
      </c>
      <c r="D889" s="113" t="s">
        <v>750</v>
      </c>
      <c r="E889" s="129"/>
      <c r="F889" s="129"/>
      <c r="G889" s="69" t="str">
        <f>IF(stdProdLT(Main[[#This Row],[Comments]])=0.1,"N/A",IF(stdProdLT(Main[[#This Row],[Comments]])=0,"",stdProdLT(Main[[#This Row],[Comments]])))</f>
        <v/>
      </c>
      <c r="H889" s="138" t="str">
        <f>IF(Main[[#This Row],[In Stock Date]]="N/A", "N/A",IF(AND(Main[[#This Row],[In Stock Date]]&lt;&gt;"",Main[[#This Row],[Revised Due Date]]&lt;&gt;"",Main[[#This Row],[In Stock Date]]&lt;&gt;""),Main[[#This Row],[In Stock Date]]-Main[[#This Row],[Revised Due Date]],""))</f>
        <v/>
      </c>
      <c r="I889" s="139" t="s">
        <v>4</v>
      </c>
      <c r="J889" s="139" t="s">
        <v>28</v>
      </c>
      <c r="K889" s="139" t="s">
        <v>4</v>
      </c>
      <c r="L889" s="129"/>
      <c r="M889" s="114" t="str">
        <f>IF(Main[[#This Row],[Tech Start Date]]&lt;1/1/1990,"",IF(Main[[#This Row],[Class]]="C",WORKDAY(Main[[#This Row],[Tech Start Date]],9),IF(Main[[#This Row],[Class]]="B", WORKDAY(Main[[#This Row],[Tech Start Date]],6),IF(Main[[#This Row],[Class]]="A",WORKDAY(Main[[#This Row],[Tech Start Date]],2),""))))</f>
        <v/>
      </c>
      <c r="N889" s="114" t="str">
        <f>IF(Main[[#This Row],[Tech Start Date]]&lt;1/1/1990,"",IF(Main[[#This Row],[Class]]="C",WORKDAY(Main[[#This Row],[Tech Start Date]],19),IF(Main[[#This Row],[Class]]="B", WORKDAY(Main[[#This Row],[Tech Start Date]],12),IF(Main[[#This Row],[Class]]="A",WORKDAY(Main[[#This Row],[Tech Start Date]],4),""))))</f>
        <v/>
      </c>
      <c r="O889" s="114" t="str">
        <f>IF(Main[[#This Row],[Tech Start Date]]&lt;1/1/1990,"",IF(Main[[#This Row],[Class]]="C",WORKDAY(Main[[#This Row],[Tech Start Date]],23),IF(Main[[#This Row],[Class]]="B", WORKDAY(Main[[#This Row],[Tech Start Date]],15),IF(Main[[#This Row],[Class]]="A",WORKDAY(Main[[#This Row],[Tech Start Date]],5),""))))</f>
        <v/>
      </c>
      <c r="P889" s="114" t="str">
        <f>IF(Main[[#This Row],[Tech Start Date]]&lt;1/1/1990,"",IF(Main[[#This Row],[Class]]="C",WORKDAY(Main[[#This Row],[Tech Start Date]],28),IF(Main[[#This Row],[Class]]="B", WORKDAY(Main[[#This Row],[Tech Start Date]],19),IF(Main[[#This Row],[Class]]="A",WORKDAY(Main[[#This Row],[Tech Start Date]],9),""))))</f>
        <v/>
      </c>
      <c r="Q889" s="129">
        <v>40471</v>
      </c>
      <c r="R889" s="129"/>
      <c r="S889" s="139" t="s">
        <v>6</v>
      </c>
      <c r="T889" s="115" t="s">
        <v>4</v>
      </c>
      <c r="U889" s="139" t="s">
        <v>14</v>
      </c>
      <c r="V889" s="139" t="s">
        <v>1924</v>
      </c>
      <c r="W889" s="139" t="s">
        <v>1916</v>
      </c>
      <c r="X889" s="139" t="s">
        <v>2847</v>
      </c>
      <c r="Y889" s="112" t="s">
        <v>2978</v>
      </c>
      <c r="Z889" s="112" t="s">
        <v>530</v>
      </c>
      <c r="AA889" s="139" t="s">
        <v>2847</v>
      </c>
    </row>
    <row r="890" spans="1:27" ht="17.25" customHeight="1">
      <c r="A890" s="69" t="str">
        <f>IF(priority(Main[[#This Row],[Comments]])&lt;&gt;0, priority(Main[[#This Row],[Comments]]),"")</f>
        <v/>
      </c>
      <c r="B890" s="63" t="s">
        <v>1697</v>
      </c>
      <c r="C890" s="148" t="s">
        <v>275</v>
      </c>
      <c r="D890" s="113" t="s">
        <v>753</v>
      </c>
      <c r="E890" s="129"/>
      <c r="F890" s="129">
        <v>40451</v>
      </c>
      <c r="G890" s="69" t="str">
        <f>IF(stdProdLT(Main[[#This Row],[Comments]])=0.1,"N/A",IF(stdProdLT(Main[[#This Row],[Comments]])=0,"",stdProdLT(Main[[#This Row],[Comments]])))</f>
        <v/>
      </c>
      <c r="H890" s="138" t="str">
        <f>IF(Main[[#This Row],[In Stock Date]]="N/A", "N/A",IF(AND(Main[[#This Row],[In Stock Date]]&lt;&gt;"",Main[[#This Row],[Revised Due Date]]&lt;&gt;"",Main[[#This Row],[In Stock Date]]&lt;&gt;""),Main[[#This Row],[In Stock Date]]-Main[[#This Row],[Revised Due Date]],""))</f>
        <v/>
      </c>
      <c r="I890" s="139" t="s">
        <v>4</v>
      </c>
      <c r="J890" s="139" t="s">
        <v>4</v>
      </c>
      <c r="K890" s="139" t="s">
        <v>4</v>
      </c>
      <c r="L890" s="129"/>
      <c r="M890" s="114" t="str">
        <f>IF(Main[[#This Row],[Tech Start Date]]&lt;1/1/1990,"",IF(Main[[#This Row],[Class]]="C",WORKDAY(Main[[#This Row],[Tech Start Date]],9),IF(Main[[#This Row],[Class]]="B", WORKDAY(Main[[#This Row],[Tech Start Date]],6),IF(Main[[#This Row],[Class]]="A",WORKDAY(Main[[#This Row],[Tech Start Date]],2),""))))</f>
        <v/>
      </c>
      <c r="N890" s="114" t="str">
        <f>IF(Main[[#This Row],[Tech Start Date]]&lt;1/1/1990,"",IF(Main[[#This Row],[Class]]="C",WORKDAY(Main[[#This Row],[Tech Start Date]],19),IF(Main[[#This Row],[Class]]="B", WORKDAY(Main[[#This Row],[Tech Start Date]],12),IF(Main[[#This Row],[Class]]="A",WORKDAY(Main[[#This Row],[Tech Start Date]],4),""))))</f>
        <v/>
      </c>
      <c r="O890" s="114" t="str">
        <f>IF(Main[[#This Row],[Tech Start Date]]&lt;1/1/1990,"",IF(Main[[#This Row],[Class]]="C",WORKDAY(Main[[#This Row],[Tech Start Date]],23),IF(Main[[#This Row],[Class]]="B", WORKDAY(Main[[#This Row],[Tech Start Date]],15),IF(Main[[#This Row],[Class]]="A",WORKDAY(Main[[#This Row],[Tech Start Date]],5),""))))</f>
        <v/>
      </c>
      <c r="P890" s="114" t="str">
        <f>IF(Main[[#This Row],[Tech Start Date]]&lt;1/1/1990,"",IF(Main[[#This Row],[Class]]="C",WORKDAY(Main[[#This Row],[Tech Start Date]],28),IF(Main[[#This Row],[Class]]="B", WORKDAY(Main[[#This Row],[Tech Start Date]],19),IF(Main[[#This Row],[Class]]="A",WORKDAY(Main[[#This Row],[Tech Start Date]],9),""))))</f>
        <v/>
      </c>
      <c r="Q890" s="129">
        <v>40269</v>
      </c>
      <c r="R890" s="129"/>
      <c r="S890" s="139" t="s">
        <v>11</v>
      </c>
      <c r="T890" s="115" t="s">
        <v>4</v>
      </c>
      <c r="U890" s="139" t="s">
        <v>14</v>
      </c>
      <c r="V890" s="139" t="s">
        <v>1917</v>
      </c>
      <c r="W890" s="139" t="s">
        <v>1919</v>
      </c>
      <c r="X890" s="139" t="s">
        <v>65</v>
      </c>
      <c r="Y890" s="112" t="s">
        <v>4</v>
      </c>
      <c r="Z890" s="112" t="s">
        <v>4</v>
      </c>
      <c r="AA890" s="139" t="s">
        <v>65</v>
      </c>
    </row>
    <row r="891" spans="1:27" ht="17.25" customHeight="1">
      <c r="A891" s="69" t="str">
        <f>IF(priority(Main[[#This Row],[Comments]])&lt;&gt;0, priority(Main[[#This Row],[Comments]]),"")</f>
        <v/>
      </c>
      <c r="B891" s="63" t="s">
        <v>2735</v>
      </c>
      <c r="C891" s="148" t="s">
        <v>4</v>
      </c>
      <c r="D891" s="113" t="s">
        <v>3213</v>
      </c>
      <c r="E891" s="129">
        <v>40912.464259259257</v>
      </c>
      <c r="F891" s="129"/>
      <c r="G891" s="69" t="str">
        <f>IF(stdProdLT(Main[[#This Row],[Comments]])=0.1,"N/A",IF(stdProdLT(Main[[#This Row],[Comments]])=0,"",stdProdLT(Main[[#This Row],[Comments]])))</f>
        <v/>
      </c>
      <c r="H891" s="138" t="str">
        <f>IF(Main[[#This Row],[In Stock Date]]="N/A", "N/A",IF(AND(Main[[#This Row],[In Stock Date]]&lt;&gt;"",Main[[#This Row],[Revised Due Date]]&lt;&gt;"",Main[[#This Row],[In Stock Date]]&lt;&gt;""),Main[[#This Row],[In Stock Date]]-Main[[#This Row],[Revised Due Date]],""))</f>
        <v/>
      </c>
      <c r="I891" s="139" t="s">
        <v>30</v>
      </c>
      <c r="J891" s="139" t="s">
        <v>28</v>
      </c>
      <c r="K891" s="139" t="s">
        <v>1923</v>
      </c>
      <c r="L891" s="129"/>
      <c r="M891" s="114" t="str">
        <f>IF(Main[[#This Row],[Tech Start Date]]&lt;1/1/1990,"",IF(Main[[#This Row],[Class]]="C",WORKDAY(Main[[#This Row],[Tech Start Date]],9),IF(Main[[#This Row],[Class]]="B", WORKDAY(Main[[#This Row],[Tech Start Date]],6),IF(Main[[#This Row],[Class]]="A",WORKDAY(Main[[#This Row],[Tech Start Date]],2),""))))</f>
        <v/>
      </c>
      <c r="N891" s="114" t="str">
        <f>IF(Main[[#This Row],[Tech Start Date]]&lt;1/1/1990,"",IF(Main[[#This Row],[Class]]="C",WORKDAY(Main[[#This Row],[Tech Start Date]],19),IF(Main[[#This Row],[Class]]="B", WORKDAY(Main[[#This Row],[Tech Start Date]],12),IF(Main[[#This Row],[Class]]="A",WORKDAY(Main[[#This Row],[Tech Start Date]],4),""))))</f>
        <v/>
      </c>
      <c r="O891" s="114" t="str">
        <f>IF(Main[[#This Row],[Tech Start Date]]&lt;1/1/1990,"",IF(Main[[#This Row],[Class]]="C",WORKDAY(Main[[#This Row],[Tech Start Date]],23),IF(Main[[#This Row],[Class]]="B", WORKDAY(Main[[#This Row],[Tech Start Date]],15),IF(Main[[#This Row],[Class]]="A",WORKDAY(Main[[#This Row],[Tech Start Date]],5),""))))</f>
        <v/>
      </c>
      <c r="P891" s="114" t="str">
        <f>IF(Main[[#This Row],[Tech Start Date]]&lt;1/1/1990,"",IF(Main[[#This Row],[Class]]="C",WORKDAY(Main[[#This Row],[Tech Start Date]],28),IF(Main[[#This Row],[Class]]="B", WORKDAY(Main[[#This Row],[Tech Start Date]],19),IF(Main[[#This Row],[Class]]="A",WORKDAY(Main[[#This Row],[Tech Start Date]],9),""))))</f>
        <v/>
      </c>
      <c r="Q891" s="129">
        <v>40942</v>
      </c>
      <c r="R891" s="129"/>
      <c r="S891" s="139" t="s">
        <v>6</v>
      </c>
      <c r="T891" s="115" t="s">
        <v>4</v>
      </c>
      <c r="U891" s="139" t="s">
        <v>29</v>
      </c>
      <c r="V891" s="139" t="s">
        <v>1917</v>
      </c>
      <c r="W891" s="139" t="s">
        <v>1918</v>
      </c>
      <c r="X891" s="139" t="s">
        <v>2819</v>
      </c>
      <c r="Y891" s="112" t="s">
        <v>2932</v>
      </c>
      <c r="Z891" s="112" t="s">
        <v>30</v>
      </c>
      <c r="AA891" s="139" t="s">
        <v>2819</v>
      </c>
    </row>
    <row r="892" spans="1:27" ht="17.25" customHeight="1">
      <c r="A892" s="69" t="str">
        <f>IF(priority(Main[[#This Row],[Comments]])&lt;&gt;0, priority(Main[[#This Row],[Comments]]),"")</f>
        <v/>
      </c>
      <c r="B892" s="63" t="s">
        <v>1873</v>
      </c>
      <c r="C892" s="148" t="s">
        <v>4</v>
      </c>
      <c r="D892" s="113" t="s">
        <v>2736</v>
      </c>
      <c r="E892" s="129">
        <v>40624.37060185185</v>
      </c>
      <c r="F892" s="129"/>
      <c r="G892" s="69" t="str">
        <f>IF(stdProdLT(Main[[#This Row],[Comments]])=0.1,"N/A",IF(stdProdLT(Main[[#This Row],[Comments]])=0,"",stdProdLT(Main[[#This Row],[Comments]])))</f>
        <v/>
      </c>
      <c r="H892" s="138" t="str">
        <f>IF(Main[[#This Row],[In Stock Date]]="N/A", "N/A",IF(AND(Main[[#This Row],[In Stock Date]]&lt;&gt;"",Main[[#This Row],[Revised Due Date]]&lt;&gt;"",Main[[#This Row],[In Stock Date]]&lt;&gt;""),Main[[#This Row],[In Stock Date]]-Main[[#This Row],[Revised Due Date]],""))</f>
        <v/>
      </c>
      <c r="I892" s="139" t="s">
        <v>877</v>
      </c>
      <c r="J892" s="139" t="s">
        <v>28</v>
      </c>
      <c r="K892" s="140" t="s">
        <v>1927</v>
      </c>
      <c r="L892" s="129"/>
      <c r="M892" s="114" t="str">
        <f>IF(Main[[#This Row],[Tech Start Date]]&lt;1/1/1990,"",IF(Main[[#This Row],[Class]]="C",WORKDAY(Main[[#This Row],[Tech Start Date]],9),IF(Main[[#This Row],[Class]]="B", WORKDAY(Main[[#This Row],[Tech Start Date]],6),IF(Main[[#This Row],[Class]]="A",WORKDAY(Main[[#This Row],[Tech Start Date]],2),""))))</f>
        <v/>
      </c>
      <c r="N892" s="114" t="str">
        <f>IF(Main[[#This Row],[Tech Start Date]]&lt;1/1/1990,"",IF(Main[[#This Row],[Class]]="C",WORKDAY(Main[[#This Row],[Tech Start Date]],19),IF(Main[[#This Row],[Class]]="B", WORKDAY(Main[[#This Row],[Tech Start Date]],12),IF(Main[[#This Row],[Class]]="A",WORKDAY(Main[[#This Row],[Tech Start Date]],4),""))))</f>
        <v/>
      </c>
      <c r="O892" s="114" t="str">
        <f>IF(Main[[#This Row],[Tech Start Date]]&lt;1/1/1990,"",IF(Main[[#This Row],[Class]]="C",WORKDAY(Main[[#This Row],[Tech Start Date]],23),IF(Main[[#This Row],[Class]]="B", WORKDAY(Main[[#This Row],[Tech Start Date]],15),IF(Main[[#This Row],[Class]]="A",WORKDAY(Main[[#This Row],[Tech Start Date]],5),""))))</f>
        <v/>
      </c>
      <c r="P892" s="114" t="str">
        <f>IF(Main[[#This Row],[Tech Start Date]]&lt;1/1/1990,"",IF(Main[[#This Row],[Class]]="C",WORKDAY(Main[[#This Row],[Tech Start Date]],28),IF(Main[[#This Row],[Class]]="B", WORKDAY(Main[[#This Row],[Tech Start Date]],19),IF(Main[[#This Row],[Class]]="A",WORKDAY(Main[[#This Row],[Tech Start Date]],9),""))))</f>
        <v/>
      </c>
      <c r="Q892" s="129">
        <v>40648</v>
      </c>
      <c r="R892" s="129">
        <v>40967</v>
      </c>
      <c r="S892" s="139" t="s">
        <v>6</v>
      </c>
      <c r="T892" s="115" t="s">
        <v>4</v>
      </c>
      <c r="U892" s="139" t="s">
        <v>29</v>
      </c>
      <c r="V892" s="139" t="s">
        <v>1914</v>
      </c>
      <c r="W892" s="139" t="s">
        <v>1918</v>
      </c>
      <c r="X892" s="139" t="s">
        <v>877</v>
      </c>
      <c r="Y892" s="112" t="s">
        <v>4</v>
      </c>
      <c r="Z892" s="112" t="s">
        <v>129</v>
      </c>
      <c r="AA892" s="139" t="s">
        <v>3435</v>
      </c>
    </row>
    <row r="893" spans="1:27" ht="17.25" customHeight="1">
      <c r="A893" s="69" t="str">
        <f>IF(priority(Main[[#This Row],[Comments]])&lt;&gt;0, priority(Main[[#This Row],[Comments]]),"")</f>
        <v/>
      </c>
      <c r="B893" s="63" t="s">
        <v>1669</v>
      </c>
      <c r="C893" s="148" t="s">
        <v>4</v>
      </c>
      <c r="D893" s="113" t="s">
        <v>729</v>
      </c>
      <c r="E893" s="129"/>
      <c r="F893" s="129"/>
      <c r="G893" s="69" t="str">
        <f>IF(stdProdLT(Main[[#This Row],[Comments]])=0.1,"N/A",IF(stdProdLT(Main[[#This Row],[Comments]])=0,"",stdProdLT(Main[[#This Row],[Comments]])))</f>
        <v/>
      </c>
      <c r="H893" s="138" t="str">
        <f>IF(Main[[#This Row],[In Stock Date]]="N/A", "N/A",IF(AND(Main[[#This Row],[In Stock Date]]&lt;&gt;"",Main[[#This Row],[Revised Due Date]]&lt;&gt;"",Main[[#This Row],[In Stock Date]]&lt;&gt;""),Main[[#This Row],[In Stock Date]]-Main[[#This Row],[Revised Due Date]],""))</f>
        <v/>
      </c>
      <c r="I893" s="139" t="s">
        <v>4</v>
      </c>
      <c r="J893" s="139" t="s">
        <v>4</v>
      </c>
      <c r="K893" s="139" t="s">
        <v>4</v>
      </c>
      <c r="L893" s="129"/>
      <c r="M893" s="114" t="str">
        <f>IF(Main[[#This Row],[Tech Start Date]]&lt;1/1/1990,"",IF(Main[[#This Row],[Class]]="C",WORKDAY(Main[[#This Row],[Tech Start Date]],9),IF(Main[[#This Row],[Class]]="B", WORKDAY(Main[[#This Row],[Tech Start Date]],6),IF(Main[[#This Row],[Class]]="A",WORKDAY(Main[[#This Row],[Tech Start Date]],2),""))))</f>
        <v/>
      </c>
      <c r="N893" s="114" t="str">
        <f>IF(Main[[#This Row],[Tech Start Date]]&lt;1/1/1990,"",IF(Main[[#This Row],[Class]]="C",WORKDAY(Main[[#This Row],[Tech Start Date]],19),IF(Main[[#This Row],[Class]]="B", WORKDAY(Main[[#This Row],[Tech Start Date]],12),IF(Main[[#This Row],[Class]]="A",WORKDAY(Main[[#This Row],[Tech Start Date]],4),""))))</f>
        <v/>
      </c>
      <c r="O893" s="114" t="str">
        <f>IF(Main[[#This Row],[Tech Start Date]]&lt;1/1/1990,"",IF(Main[[#This Row],[Class]]="C",WORKDAY(Main[[#This Row],[Tech Start Date]],23),IF(Main[[#This Row],[Class]]="B", WORKDAY(Main[[#This Row],[Tech Start Date]],15),IF(Main[[#This Row],[Class]]="A",WORKDAY(Main[[#This Row],[Tech Start Date]],5),""))))</f>
        <v/>
      </c>
      <c r="P893" s="114" t="str">
        <f>IF(Main[[#This Row],[Tech Start Date]]&lt;1/1/1990,"",IF(Main[[#This Row],[Class]]="C",WORKDAY(Main[[#This Row],[Tech Start Date]],28),IF(Main[[#This Row],[Class]]="B", WORKDAY(Main[[#This Row],[Tech Start Date]],19),IF(Main[[#This Row],[Class]]="A",WORKDAY(Main[[#This Row],[Tech Start Date]],9),""))))</f>
        <v/>
      </c>
      <c r="Q893" s="129"/>
      <c r="R893" s="129"/>
      <c r="S893" s="139" t="s">
        <v>23</v>
      </c>
      <c r="T893" s="115" t="s">
        <v>4</v>
      </c>
      <c r="U893" s="139" t="s">
        <v>14</v>
      </c>
      <c r="V893" s="139" t="s">
        <v>1914</v>
      </c>
      <c r="W893" s="139" t="s">
        <v>1918</v>
      </c>
      <c r="X893" s="139" t="s">
        <v>399</v>
      </c>
      <c r="Y893" s="112" t="s">
        <v>4</v>
      </c>
      <c r="Z893" s="112" t="s">
        <v>4</v>
      </c>
      <c r="AA893" s="139" t="s">
        <v>3032</v>
      </c>
    </row>
    <row r="894" spans="1:27" ht="17.25" customHeight="1">
      <c r="A894" s="69" t="str">
        <f>IF(priority(Main[[#This Row],[Comments]])&lt;&gt;0, priority(Main[[#This Row],[Comments]]),"")</f>
        <v/>
      </c>
      <c r="B894" s="63" t="s">
        <v>1671</v>
      </c>
      <c r="C894" s="148" t="s">
        <v>4</v>
      </c>
      <c r="D894" s="113" t="s">
        <v>731</v>
      </c>
      <c r="E894" s="129">
        <v>40679.253067129626</v>
      </c>
      <c r="F894" s="129"/>
      <c r="G894" s="69" t="str">
        <f>IF(stdProdLT(Main[[#This Row],[Comments]])=0.1,"N/A",IF(stdProdLT(Main[[#This Row],[Comments]])=0,"",stdProdLT(Main[[#This Row],[Comments]])))</f>
        <v/>
      </c>
      <c r="H894" s="138" t="str">
        <f>IF(Main[[#This Row],[In Stock Date]]="N/A", "N/A",IF(AND(Main[[#This Row],[In Stock Date]]&lt;&gt;"",Main[[#This Row],[Revised Due Date]]&lt;&gt;"",Main[[#This Row],[In Stock Date]]&lt;&gt;""),Main[[#This Row],[In Stock Date]]-Main[[#This Row],[Revised Due Date]],""))</f>
        <v/>
      </c>
      <c r="I894" s="139" t="s">
        <v>4</v>
      </c>
      <c r="J894" s="139" t="s">
        <v>4</v>
      </c>
      <c r="K894" s="139" t="s">
        <v>4</v>
      </c>
      <c r="L894" s="129"/>
      <c r="M894" s="114" t="str">
        <f>IF(Main[[#This Row],[Tech Start Date]]&lt;1/1/1990,"",IF(Main[[#This Row],[Class]]="C",WORKDAY(Main[[#This Row],[Tech Start Date]],9),IF(Main[[#This Row],[Class]]="B", WORKDAY(Main[[#This Row],[Tech Start Date]],6),IF(Main[[#This Row],[Class]]="A",WORKDAY(Main[[#This Row],[Tech Start Date]],2),""))))</f>
        <v/>
      </c>
      <c r="N894" s="114" t="str">
        <f>IF(Main[[#This Row],[Tech Start Date]]&lt;1/1/1990,"",IF(Main[[#This Row],[Class]]="C",WORKDAY(Main[[#This Row],[Tech Start Date]],19),IF(Main[[#This Row],[Class]]="B", WORKDAY(Main[[#This Row],[Tech Start Date]],12),IF(Main[[#This Row],[Class]]="A",WORKDAY(Main[[#This Row],[Tech Start Date]],4),""))))</f>
        <v/>
      </c>
      <c r="O894" s="114" t="str">
        <f>IF(Main[[#This Row],[Tech Start Date]]&lt;1/1/1990,"",IF(Main[[#This Row],[Class]]="C",WORKDAY(Main[[#This Row],[Tech Start Date]],23),IF(Main[[#This Row],[Class]]="B", WORKDAY(Main[[#This Row],[Tech Start Date]],15),IF(Main[[#This Row],[Class]]="A",WORKDAY(Main[[#This Row],[Tech Start Date]],5),""))))</f>
        <v/>
      </c>
      <c r="P894" s="114" t="str">
        <f>IF(Main[[#This Row],[Tech Start Date]]&lt;1/1/1990,"",IF(Main[[#This Row],[Class]]="C",WORKDAY(Main[[#This Row],[Tech Start Date]],28),IF(Main[[#This Row],[Class]]="B", WORKDAY(Main[[#This Row],[Tech Start Date]],19),IF(Main[[#This Row],[Class]]="A",WORKDAY(Main[[#This Row],[Tech Start Date]],9),""))))</f>
        <v/>
      </c>
      <c r="Q894" s="129">
        <v>40724</v>
      </c>
      <c r="R894" s="129"/>
      <c r="S894" s="139" t="s">
        <v>6</v>
      </c>
      <c r="T894" s="115" t="s">
        <v>4</v>
      </c>
      <c r="U894" s="139" t="s">
        <v>7</v>
      </c>
      <c r="V894" s="139" t="s">
        <v>1914</v>
      </c>
      <c r="W894" s="139" t="s">
        <v>4</v>
      </c>
      <c r="X894" s="139" t="s">
        <v>2822</v>
      </c>
      <c r="Y894" s="112" t="s">
        <v>2938</v>
      </c>
      <c r="Z894" s="112" t="s">
        <v>4</v>
      </c>
      <c r="AA894" s="139" t="s">
        <v>2822</v>
      </c>
    </row>
    <row r="895" spans="1:27" ht="17.25" customHeight="1">
      <c r="A895" s="69" t="str">
        <f>IF(priority(Main[[#This Row],[Comments]])&lt;&gt;0, priority(Main[[#This Row],[Comments]]),"")</f>
        <v/>
      </c>
      <c r="B895" s="63" t="s">
        <v>1672</v>
      </c>
      <c r="C895" s="148" t="s">
        <v>4</v>
      </c>
      <c r="D895" s="113" t="s">
        <v>732</v>
      </c>
      <c r="E895" s="129">
        <v>40679.252465277779</v>
      </c>
      <c r="F895" s="129"/>
      <c r="G895" s="69" t="str">
        <f>IF(stdProdLT(Main[[#This Row],[Comments]])=0.1,"N/A",IF(stdProdLT(Main[[#This Row],[Comments]])=0,"",stdProdLT(Main[[#This Row],[Comments]])))</f>
        <v/>
      </c>
      <c r="H895" s="138" t="str">
        <f>IF(Main[[#This Row],[In Stock Date]]="N/A", "N/A",IF(AND(Main[[#This Row],[In Stock Date]]&lt;&gt;"",Main[[#This Row],[Revised Due Date]]&lt;&gt;"",Main[[#This Row],[In Stock Date]]&lt;&gt;""),Main[[#This Row],[In Stock Date]]-Main[[#This Row],[Revised Due Date]],""))</f>
        <v/>
      </c>
      <c r="I895" s="139" t="s">
        <v>4</v>
      </c>
      <c r="J895" s="139" t="s">
        <v>4</v>
      </c>
      <c r="K895" s="139" t="s">
        <v>4</v>
      </c>
      <c r="L895" s="129"/>
      <c r="M895" s="114" t="str">
        <f>IF(Main[[#This Row],[Tech Start Date]]&lt;1/1/1990,"",IF(Main[[#This Row],[Class]]="C",WORKDAY(Main[[#This Row],[Tech Start Date]],9),IF(Main[[#This Row],[Class]]="B", WORKDAY(Main[[#This Row],[Tech Start Date]],6),IF(Main[[#This Row],[Class]]="A",WORKDAY(Main[[#This Row],[Tech Start Date]],2),""))))</f>
        <v/>
      </c>
      <c r="N895" s="114" t="str">
        <f>IF(Main[[#This Row],[Tech Start Date]]&lt;1/1/1990,"",IF(Main[[#This Row],[Class]]="C",WORKDAY(Main[[#This Row],[Tech Start Date]],19),IF(Main[[#This Row],[Class]]="B", WORKDAY(Main[[#This Row],[Tech Start Date]],12),IF(Main[[#This Row],[Class]]="A",WORKDAY(Main[[#This Row],[Tech Start Date]],4),""))))</f>
        <v/>
      </c>
      <c r="O895" s="114" t="str">
        <f>IF(Main[[#This Row],[Tech Start Date]]&lt;1/1/1990,"",IF(Main[[#This Row],[Class]]="C",WORKDAY(Main[[#This Row],[Tech Start Date]],23),IF(Main[[#This Row],[Class]]="B", WORKDAY(Main[[#This Row],[Tech Start Date]],15),IF(Main[[#This Row],[Class]]="A",WORKDAY(Main[[#This Row],[Tech Start Date]],5),""))))</f>
        <v/>
      </c>
      <c r="P895" s="114" t="str">
        <f>IF(Main[[#This Row],[Tech Start Date]]&lt;1/1/1990,"",IF(Main[[#This Row],[Class]]="C",WORKDAY(Main[[#This Row],[Tech Start Date]],28),IF(Main[[#This Row],[Class]]="B", WORKDAY(Main[[#This Row],[Tech Start Date]],19),IF(Main[[#This Row],[Class]]="A",WORKDAY(Main[[#This Row],[Tech Start Date]],9),""))))</f>
        <v/>
      </c>
      <c r="Q895" s="129">
        <v>40724</v>
      </c>
      <c r="R895" s="129"/>
      <c r="S895" s="139" t="s">
        <v>6</v>
      </c>
      <c r="T895" s="115" t="s">
        <v>4</v>
      </c>
      <c r="U895" s="139" t="s">
        <v>7</v>
      </c>
      <c r="V895" s="139" t="s">
        <v>1914</v>
      </c>
      <c r="W895" s="139" t="s">
        <v>4</v>
      </c>
      <c r="X895" s="139" t="s">
        <v>2822</v>
      </c>
      <c r="Y895" s="112" t="s">
        <v>2938</v>
      </c>
      <c r="Z895" s="112" t="s">
        <v>4</v>
      </c>
      <c r="AA895" s="139" t="s">
        <v>2822</v>
      </c>
    </row>
    <row r="896" spans="1:27" ht="17.25" customHeight="1">
      <c r="A896" s="69" t="str">
        <f>IF(priority(Main[[#This Row],[Comments]])&lt;&gt;0, priority(Main[[#This Row],[Comments]]),"")</f>
        <v/>
      </c>
      <c r="B896" s="63" t="s">
        <v>1673</v>
      </c>
      <c r="C896" s="148" t="s">
        <v>4</v>
      </c>
      <c r="D896" s="113" t="s">
        <v>733</v>
      </c>
      <c r="E896" s="129">
        <v>40679.253668981481</v>
      </c>
      <c r="F896" s="129"/>
      <c r="G896" s="69" t="str">
        <f>IF(stdProdLT(Main[[#This Row],[Comments]])=0.1,"N/A",IF(stdProdLT(Main[[#This Row],[Comments]])=0,"",stdProdLT(Main[[#This Row],[Comments]])))</f>
        <v/>
      </c>
      <c r="H896" s="138" t="str">
        <f>IF(Main[[#This Row],[In Stock Date]]="N/A", "N/A",IF(AND(Main[[#This Row],[In Stock Date]]&lt;&gt;"",Main[[#This Row],[Revised Due Date]]&lt;&gt;"",Main[[#This Row],[In Stock Date]]&lt;&gt;""),Main[[#This Row],[In Stock Date]]-Main[[#This Row],[Revised Due Date]],""))</f>
        <v/>
      </c>
      <c r="I896" s="139" t="s">
        <v>4</v>
      </c>
      <c r="J896" s="139" t="s">
        <v>4</v>
      </c>
      <c r="K896" s="139" t="s">
        <v>4</v>
      </c>
      <c r="L896" s="129"/>
      <c r="M896" s="114" t="str">
        <f>IF(Main[[#This Row],[Tech Start Date]]&lt;1/1/1990,"",IF(Main[[#This Row],[Class]]="C",WORKDAY(Main[[#This Row],[Tech Start Date]],9),IF(Main[[#This Row],[Class]]="B", WORKDAY(Main[[#This Row],[Tech Start Date]],6),IF(Main[[#This Row],[Class]]="A",WORKDAY(Main[[#This Row],[Tech Start Date]],2),""))))</f>
        <v/>
      </c>
      <c r="N896" s="114" t="str">
        <f>IF(Main[[#This Row],[Tech Start Date]]&lt;1/1/1990,"",IF(Main[[#This Row],[Class]]="C",WORKDAY(Main[[#This Row],[Tech Start Date]],19),IF(Main[[#This Row],[Class]]="B", WORKDAY(Main[[#This Row],[Tech Start Date]],12),IF(Main[[#This Row],[Class]]="A",WORKDAY(Main[[#This Row],[Tech Start Date]],4),""))))</f>
        <v/>
      </c>
      <c r="O896" s="114" t="str">
        <f>IF(Main[[#This Row],[Tech Start Date]]&lt;1/1/1990,"",IF(Main[[#This Row],[Class]]="C",WORKDAY(Main[[#This Row],[Tech Start Date]],23),IF(Main[[#This Row],[Class]]="B", WORKDAY(Main[[#This Row],[Tech Start Date]],15),IF(Main[[#This Row],[Class]]="A",WORKDAY(Main[[#This Row],[Tech Start Date]],5),""))))</f>
        <v/>
      </c>
      <c r="P896" s="114" t="str">
        <f>IF(Main[[#This Row],[Tech Start Date]]&lt;1/1/1990,"",IF(Main[[#This Row],[Class]]="C",WORKDAY(Main[[#This Row],[Tech Start Date]],28),IF(Main[[#This Row],[Class]]="B", WORKDAY(Main[[#This Row],[Tech Start Date]],19),IF(Main[[#This Row],[Class]]="A",WORKDAY(Main[[#This Row],[Tech Start Date]],9),""))))</f>
        <v/>
      </c>
      <c r="Q896" s="129">
        <v>40724</v>
      </c>
      <c r="R896" s="129"/>
      <c r="S896" s="139" t="s">
        <v>6</v>
      </c>
      <c r="T896" s="115" t="s">
        <v>4</v>
      </c>
      <c r="U896" s="139" t="s">
        <v>7</v>
      </c>
      <c r="V896" s="139" t="s">
        <v>1914</v>
      </c>
      <c r="W896" s="139" t="s">
        <v>4</v>
      </c>
      <c r="X896" s="139" t="s">
        <v>2822</v>
      </c>
      <c r="Y896" s="112" t="s">
        <v>2938</v>
      </c>
      <c r="Z896" s="112" t="s">
        <v>4</v>
      </c>
      <c r="AA896" s="139" t="s">
        <v>2822</v>
      </c>
    </row>
    <row r="897" spans="1:27" ht="17.25" customHeight="1">
      <c r="A897" s="69" t="str">
        <f>IF(priority(Main[[#This Row],[Comments]])&lt;&gt;0, priority(Main[[#This Row],[Comments]]),"")</f>
        <v/>
      </c>
      <c r="B897" s="63" t="s">
        <v>1679</v>
      </c>
      <c r="C897" s="148" t="s">
        <v>4</v>
      </c>
      <c r="D897" s="113" t="s">
        <v>736</v>
      </c>
      <c r="E897" s="129"/>
      <c r="F897" s="129">
        <v>40598</v>
      </c>
      <c r="G897" s="69" t="str">
        <f>IF(stdProdLT(Main[[#This Row],[Comments]])=0.1,"N/A",IF(stdProdLT(Main[[#This Row],[Comments]])=0,"",stdProdLT(Main[[#This Row],[Comments]])))</f>
        <v/>
      </c>
      <c r="H897" s="138" t="str">
        <f>IF(Main[[#This Row],[In Stock Date]]="N/A", "N/A",IF(AND(Main[[#This Row],[In Stock Date]]&lt;&gt;"",Main[[#This Row],[Revised Due Date]]&lt;&gt;"",Main[[#This Row],[In Stock Date]]&lt;&gt;""),Main[[#This Row],[In Stock Date]]-Main[[#This Row],[Revised Due Date]],""))</f>
        <v/>
      </c>
      <c r="I897" s="139" t="s">
        <v>4</v>
      </c>
      <c r="J897" s="139" t="s">
        <v>4</v>
      </c>
      <c r="K897" s="139" t="s">
        <v>4</v>
      </c>
      <c r="L897" s="129"/>
      <c r="M897" s="114" t="str">
        <f>IF(Main[[#This Row],[Tech Start Date]]&lt;1/1/1990,"",IF(Main[[#This Row],[Class]]="C",WORKDAY(Main[[#This Row],[Tech Start Date]],9),IF(Main[[#This Row],[Class]]="B", WORKDAY(Main[[#This Row],[Tech Start Date]],6),IF(Main[[#This Row],[Class]]="A",WORKDAY(Main[[#This Row],[Tech Start Date]],2),""))))</f>
        <v/>
      </c>
      <c r="N897" s="114" t="str">
        <f>IF(Main[[#This Row],[Tech Start Date]]&lt;1/1/1990,"",IF(Main[[#This Row],[Class]]="C",WORKDAY(Main[[#This Row],[Tech Start Date]],19),IF(Main[[#This Row],[Class]]="B", WORKDAY(Main[[#This Row],[Tech Start Date]],12),IF(Main[[#This Row],[Class]]="A",WORKDAY(Main[[#This Row],[Tech Start Date]],4),""))))</f>
        <v/>
      </c>
      <c r="O897" s="114" t="str">
        <f>IF(Main[[#This Row],[Tech Start Date]]&lt;1/1/1990,"",IF(Main[[#This Row],[Class]]="C",WORKDAY(Main[[#This Row],[Tech Start Date]],23),IF(Main[[#This Row],[Class]]="B", WORKDAY(Main[[#This Row],[Tech Start Date]],15),IF(Main[[#This Row],[Class]]="A",WORKDAY(Main[[#This Row],[Tech Start Date]],5),""))))</f>
        <v/>
      </c>
      <c r="P897" s="114" t="str">
        <f>IF(Main[[#This Row],[Tech Start Date]]&lt;1/1/1990,"",IF(Main[[#This Row],[Class]]="C",WORKDAY(Main[[#This Row],[Tech Start Date]],28),IF(Main[[#This Row],[Class]]="B", WORKDAY(Main[[#This Row],[Tech Start Date]],19),IF(Main[[#This Row],[Class]]="A",WORKDAY(Main[[#This Row],[Tech Start Date]],9),""))))</f>
        <v/>
      </c>
      <c r="Q897" s="129">
        <v>40598</v>
      </c>
      <c r="R897" s="129"/>
      <c r="S897" s="139" t="s">
        <v>11</v>
      </c>
      <c r="T897" s="115" t="s">
        <v>4</v>
      </c>
      <c r="U897" s="139" t="s">
        <v>14</v>
      </c>
      <c r="V897" s="139" t="s">
        <v>1924</v>
      </c>
      <c r="W897" s="139" t="s">
        <v>1920</v>
      </c>
      <c r="X897" s="139" t="s">
        <v>2848</v>
      </c>
      <c r="Y897" s="112" t="s">
        <v>2979</v>
      </c>
      <c r="Z897" s="112" t="s">
        <v>4</v>
      </c>
      <c r="AA897" s="139" t="s">
        <v>2848</v>
      </c>
    </row>
    <row r="898" spans="1:27" ht="17.25" customHeight="1">
      <c r="A898" s="69" t="str">
        <f>IF(priority(Main[[#This Row],[Comments]])&lt;&gt;0, priority(Main[[#This Row],[Comments]]),"")</f>
        <v/>
      </c>
      <c r="B898" s="63" t="s">
        <v>1704</v>
      </c>
      <c r="C898" s="148" t="s">
        <v>31</v>
      </c>
      <c r="D898" s="113" t="s">
        <v>754</v>
      </c>
      <c r="E898" s="129"/>
      <c r="F898" s="129">
        <v>40602</v>
      </c>
      <c r="G898" s="69" t="str">
        <f>IF(stdProdLT(Main[[#This Row],[Comments]])=0.1,"N/A",IF(stdProdLT(Main[[#This Row],[Comments]])=0,"",stdProdLT(Main[[#This Row],[Comments]])))</f>
        <v/>
      </c>
      <c r="H898" s="138" t="str">
        <f>IF(Main[[#This Row],[In Stock Date]]="N/A", "N/A",IF(AND(Main[[#This Row],[In Stock Date]]&lt;&gt;"",Main[[#This Row],[Revised Due Date]]&lt;&gt;"",Main[[#This Row],[In Stock Date]]&lt;&gt;""),Main[[#This Row],[In Stock Date]]-Main[[#This Row],[Revised Due Date]],""))</f>
        <v/>
      </c>
      <c r="I898" s="139" t="s">
        <v>399</v>
      </c>
      <c r="J898" s="139" t="s">
        <v>75</v>
      </c>
      <c r="K898" s="139" t="s">
        <v>1923</v>
      </c>
      <c r="L898" s="129"/>
      <c r="M898" s="114" t="str">
        <f>IF(Main[[#This Row],[Tech Start Date]]&lt;1/1/1990,"",IF(Main[[#This Row],[Class]]="C",WORKDAY(Main[[#This Row],[Tech Start Date]],9),IF(Main[[#This Row],[Class]]="B", WORKDAY(Main[[#This Row],[Tech Start Date]],6),IF(Main[[#This Row],[Class]]="A",WORKDAY(Main[[#This Row],[Tech Start Date]],2),""))))</f>
        <v/>
      </c>
      <c r="N898" s="114" t="str">
        <f>IF(Main[[#This Row],[Tech Start Date]]&lt;1/1/1990,"",IF(Main[[#This Row],[Class]]="C",WORKDAY(Main[[#This Row],[Tech Start Date]],19),IF(Main[[#This Row],[Class]]="B", WORKDAY(Main[[#This Row],[Tech Start Date]],12),IF(Main[[#This Row],[Class]]="A",WORKDAY(Main[[#This Row],[Tech Start Date]],4),""))))</f>
        <v/>
      </c>
      <c r="O898" s="114" t="str">
        <f>IF(Main[[#This Row],[Tech Start Date]]&lt;1/1/1990,"",IF(Main[[#This Row],[Class]]="C",WORKDAY(Main[[#This Row],[Tech Start Date]],23),IF(Main[[#This Row],[Class]]="B", WORKDAY(Main[[#This Row],[Tech Start Date]],15),IF(Main[[#This Row],[Class]]="A",WORKDAY(Main[[#This Row],[Tech Start Date]],5),""))))</f>
        <v/>
      </c>
      <c r="P898" s="114" t="str">
        <f>IF(Main[[#This Row],[Tech Start Date]]&lt;1/1/1990,"",IF(Main[[#This Row],[Class]]="C",WORKDAY(Main[[#This Row],[Tech Start Date]],28),IF(Main[[#This Row],[Class]]="B", WORKDAY(Main[[#This Row],[Tech Start Date]],19),IF(Main[[#This Row],[Class]]="A",WORKDAY(Main[[#This Row],[Tech Start Date]],9),""))))</f>
        <v/>
      </c>
      <c r="Q898" s="129"/>
      <c r="R898" s="129"/>
      <c r="S898" s="139" t="s">
        <v>11</v>
      </c>
      <c r="T898" s="115" t="s">
        <v>4</v>
      </c>
      <c r="U898" s="139" t="s">
        <v>14</v>
      </c>
      <c r="V898" s="139" t="s">
        <v>1917</v>
      </c>
      <c r="W898" s="139" t="s">
        <v>1920</v>
      </c>
      <c r="X898" s="139" t="s">
        <v>50</v>
      </c>
      <c r="Y898" s="112" t="s">
        <v>2961</v>
      </c>
      <c r="Z898" s="112" t="s">
        <v>306</v>
      </c>
      <c r="AA898" s="139" t="s">
        <v>50</v>
      </c>
    </row>
    <row r="899" spans="1:27" ht="17.25" customHeight="1">
      <c r="A899" s="69" t="str">
        <f>IF(priority(Main[[#This Row],[Comments]])&lt;&gt;0, priority(Main[[#This Row],[Comments]]),"")</f>
        <v/>
      </c>
      <c r="B899" s="63" t="s">
        <v>1705</v>
      </c>
      <c r="C899" s="148" t="s">
        <v>93</v>
      </c>
      <c r="D899" s="113" t="s">
        <v>755</v>
      </c>
      <c r="E899" s="129"/>
      <c r="F899" s="129">
        <v>40302</v>
      </c>
      <c r="G899" s="69" t="str">
        <f>IF(stdProdLT(Main[[#This Row],[Comments]])=0.1,"N/A",IF(stdProdLT(Main[[#This Row],[Comments]])=0,"",stdProdLT(Main[[#This Row],[Comments]])))</f>
        <v/>
      </c>
      <c r="H899" s="138" t="str">
        <f>IF(Main[[#This Row],[In Stock Date]]="N/A", "N/A",IF(AND(Main[[#This Row],[In Stock Date]]&lt;&gt;"",Main[[#This Row],[Revised Due Date]]&lt;&gt;"",Main[[#This Row],[In Stock Date]]&lt;&gt;""),Main[[#This Row],[In Stock Date]]-Main[[#This Row],[Revised Due Date]],""))</f>
        <v/>
      </c>
      <c r="I899" s="139" t="s">
        <v>4</v>
      </c>
      <c r="J899" s="139" t="s">
        <v>4</v>
      </c>
      <c r="K899" s="139" t="s">
        <v>4</v>
      </c>
      <c r="L899" s="129"/>
      <c r="M899" s="114" t="str">
        <f>IF(Main[[#This Row],[Tech Start Date]]&lt;1/1/1990,"",IF(Main[[#This Row],[Class]]="C",WORKDAY(Main[[#This Row],[Tech Start Date]],9),IF(Main[[#This Row],[Class]]="B", WORKDAY(Main[[#This Row],[Tech Start Date]],6),IF(Main[[#This Row],[Class]]="A",WORKDAY(Main[[#This Row],[Tech Start Date]],2),""))))</f>
        <v/>
      </c>
      <c r="N899" s="114" t="str">
        <f>IF(Main[[#This Row],[Tech Start Date]]&lt;1/1/1990,"",IF(Main[[#This Row],[Class]]="C",WORKDAY(Main[[#This Row],[Tech Start Date]],19),IF(Main[[#This Row],[Class]]="B", WORKDAY(Main[[#This Row],[Tech Start Date]],12),IF(Main[[#This Row],[Class]]="A",WORKDAY(Main[[#This Row],[Tech Start Date]],4),""))))</f>
        <v/>
      </c>
      <c r="O899" s="114" t="str">
        <f>IF(Main[[#This Row],[Tech Start Date]]&lt;1/1/1990,"",IF(Main[[#This Row],[Class]]="C",WORKDAY(Main[[#This Row],[Tech Start Date]],23),IF(Main[[#This Row],[Class]]="B", WORKDAY(Main[[#This Row],[Tech Start Date]],15),IF(Main[[#This Row],[Class]]="A",WORKDAY(Main[[#This Row],[Tech Start Date]],5),""))))</f>
        <v/>
      </c>
      <c r="P899" s="114" t="str">
        <f>IF(Main[[#This Row],[Tech Start Date]]&lt;1/1/1990,"",IF(Main[[#This Row],[Class]]="C",WORKDAY(Main[[#This Row],[Tech Start Date]],28),IF(Main[[#This Row],[Class]]="B", WORKDAY(Main[[#This Row],[Tech Start Date]],19),IF(Main[[#This Row],[Class]]="A",WORKDAY(Main[[#This Row],[Tech Start Date]],9),""))))</f>
        <v/>
      </c>
      <c r="Q899" s="129">
        <v>40190</v>
      </c>
      <c r="R899" s="129"/>
      <c r="S899" s="139" t="s">
        <v>11</v>
      </c>
      <c r="T899" s="115" t="s">
        <v>4</v>
      </c>
      <c r="U899" s="139" t="s">
        <v>12</v>
      </c>
      <c r="V899" s="139" t="s">
        <v>1924</v>
      </c>
      <c r="W899" s="139" t="s">
        <v>1920</v>
      </c>
      <c r="X899" s="139" t="s">
        <v>2898</v>
      </c>
      <c r="Y899" s="112" t="s">
        <v>4</v>
      </c>
      <c r="Z899" s="112" t="s">
        <v>4</v>
      </c>
      <c r="AA899" s="139" t="s">
        <v>2898</v>
      </c>
    </row>
    <row r="900" spans="1:27" ht="17.25" customHeight="1">
      <c r="A900" s="69" t="str">
        <f>IF(priority(Main[[#This Row],[Comments]])&lt;&gt;0, priority(Main[[#This Row],[Comments]]),"")</f>
        <v/>
      </c>
      <c r="B900" s="63" t="s">
        <v>1860</v>
      </c>
      <c r="C900" s="148" t="s">
        <v>31</v>
      </c>
      <c r="D900" s="113" t="s">
        <v>917</v>
      </c>
      <c r="E900" s="129"/>
      <c r="F900" s="129">
        <v>40664</v>
      </c>
      <c r="G900" s="69" t="str">
        <f>IF(stdProdLT(Main[[#This Row],[Comments]])=0.1,"N/A",IF(stdProdLT(Main[[#This Row],[Comments]])=0,"",stdProdLT(Main[[#This Row],[Comments]])))</f>
        <v/>
      </c>
      <c r="H900" s="138">
        <f>IF(Main[[#This Row],[In Stock Date]]="N/A", "N/A",IF(AND(Main[[#This Row],[In Stock Date]]&lt;&gt;"",Main[[#This Row],[Revised Due Date]]&lt;&gt;"",Main[[#This Row],[In Stock Date]]&lt;&gt;""),Main[[#This Row],[In Stock Date]]-Main[[#This Row],[Revised Due Date]],""))</f>
        <v>87</v>
      </c>
      <c r="I900" s="139" t="s">
        <v>399</v>
      </c>
      <c r="J900" s="139" t="s">
        <v>75</v>
      </c>
      <c r="K900" s="139" t="s">
        <v>1923</v>
      </c>
      <c r="L900" s="129"/>
      <c r="M900" s="114" t="str">
        <f>IF(Main[[#This Row],[Tech Start Date]]&lt;1/1/1990,"",IF(Main[[#This Row],[Class]]="C",WORKDAY(Main[[#This Row],[Tech Start Date]],9),IF(Main[[#This Row],[Class]]="B", WORKDAY(Main[[#This Row],[Tech Start Date]],6),IF(Main[[#This Row],[Class]]="A",WORKDAY(Main[[#This Row],[Tech Start Date]],2),""))))</f>
        <v/>
      </c>
      <c r="N900" s="114" t="str">
        <f>IF(Main[[#This Row],[Tech Start Date]]&lt;1/1/1990,"",IF(Main[[#This Row],[Class]]="C",WORKDAY(Main[[#This Row],[Tech Start Date]],19),IF(Main[[#This Row],[Class]]="B", WORKDAY(Main[[#This Row],[Tech Start Date]],12),IF(Main[[#This Row],[Class]]="A",WORKDAY(Main[[#This Row],[Tech Start Date]],4),""))))</f>
        <v/>
      </c>
      <c r="O900" s="114" t="str">
        <f>IF(Main[[#This Row],[Tech Start Date]]&lt;1/1/1990,"",IF(Main[[#This Row],[Class]]="C",WORKDAY(Main[[#This Row],[Tech Start Date]],23),IF(Main[[#This Row],[Class]]="B", WORKDAY(Main[[#This Row],[Tech Start Date]],15),IF(Main[[#This Row],[Class]]="A",WORKDAY(Main[[#This Row],[Tech Start Date]],5),""))))</f>
        <v/>
      </c>
      <c r="P900" s="114" t="str">
        <f>IF(Main[[#This Row],[Tech Start Date]]&lt;1/1/1990,"",IF(Main[[#This Row],[Class]]="C",WORKDAY(Main[[#This Row],[Tech Start Date]],28),IF(Main[[#This Row],[Class]]="B", WORKDAY(Main[[#This Row],[Tech Start Date]],19),IF(Main[[#This Row],[Class]]="A",WORKDAY(Main[[#This Row],[Tech Start Date]],9),""))))</f>
        <v/>
      </c>
      <c r="Q900" s="129"/>
      <c r="R900" s="129">
        <v>40577</v>
      </c>
      <c r="S900" s="139" t="s">
        <v>11</v>
      </c>
      <c r="T900" s="115" t="s">
        <v>4</v>
      </c>
      <c r="U900" s="139" t="s">
        <v>14</v>
      </c>
      <c r="V900" s="139" t="s">
        <v>1917</v>
      </c>
      <c r="W900" s="139" t="s">
        <v>1920</v>
      </c>
      <c r="X900" s="139" t="s">
        <v>2825</v>
      </c>
      <c r="Y900" s="112" t="s">
        <v>2967</v>
      </c>
      <c r="Z900" s="112" t="s">
        <v>530</v>
      </c>
      <c r="AA900" s="139" t="s">
        <v>2825</v>
      </c>
    </row>
    <row r="901" spans="1:27" ht="17.25" customHeight="1">
      <c r="A901" s="69" t="str">
        <f>IF(priority(Main[[#This Row],[Comments]])&lt;&gt;0, priority(Main[[#This Row],[Comments]]),"")</f>
        <v/>
      </c>
      <c r="B901" s="63" t="s">
        <v>1726</v>
      </c>
      <c r="C901" s="148" t="s">
        <v>4</v>
      </c>
      <c r="D901" s="113" t="s">
        <v>782</v>
      </c>
      <c r="E901" s="129"/>
      <c r="F901" s="129"/>
      <c r="G901" s="69" t="str">
        <f>IF(stdProdLT(Main[[#This Row],[Comments]])=0.1,"N/A",IF(stdProdLT(Main[[#This Row],[Comments]])=0,"",stdProdLT(Main[[#This Row],[Comments]])))</f>
        <v/>
      </c>
      <c r="H901" s="138" t="str">
        <f>IF(Main[[#This Row],[In Stock Date]]="N/A", "N/A",IF(AND(Main[[#This Row],[In Stock Date]]&lt;&gt;"",Main[[#This Row],[Revised Due Date]]&lt;&gt;"",Main[[#This Row],[In Stock Date]]&lt;&gt;""),Main[[#This Row],[In Stock Date]]-Main[[#This Row],[Revised Due Date]],""))</f>
        <v/>
      </c>
      <c r="I901" s="139" t="s">
        <v>4</v>
      </c>
      <c r="J901" s="139" t="s">
        <v>4</v>
      </c>
      <c r="K901" s="139" t="s">
        <v>4</v>
      </c>
      <c r="L901" s="129"/>
      <c r="M901" s="114" t="str">
        <f>IF(Main[[#This Row],[Tech Start Date]]&lt;1/1/1990,"",IF(Main[[#This Row],[Class]]="C",WORKDAY(Main[[#This Row],[Tech Start Date]],9),IF(Main[[#This Row],[Class]]="B", WORKDAY(Main[[#This Row],[Tech Start Date]],6),IF(Main[[#This Row],[Class]]="A",WORKDAY(Main[[#This Row],[Tech Start Date]],2),""))))</f>
        <v/>
      </c>
      <c r="N901" s="114" t="str">
        <f>IF(Main[[#This Row],[Tech Start Date]]&lt;1/1/1990,"",IF(Main[[#This Row],[Class]]="C",WORKDAY(Main[[#This Row],[Tech Start Date]],19),IF(Main[[#This Row],[Class]]="B", WORKDAY(Main[[#This Row],[Tech Start Date]],12),IF(Main[[#This Row],[Class]]="A",WORKDAY(Main[[#This Row],[Tech Start Date]],4),""))))</f>
        <v/>
      </c>
      <c r="O901" s="114" t="str">
        <f>IF(Main[[#This Row],[Tech Start Date]]&lt;1/1/1990,"",IF(Main[[#This Row],[Class]]="C",WORKDAY(Main[[#This Row],[Tech Start Date]],23),IF(Main[[#This Row],[Class]]="B", WORKDAY(Main[[#This Row],[Tech Start Date]],15),IF(Main[[#This Row],[Class]]="A",WORKDAY(Main[[#This Row],[Tech Start Date]],5),""))))</f>
        <v/>
      </c>
      <c r="P901" s="114" t="str">
        <f>IF(Main[[#This Row],[Tech Start Date]]&lt;1/1/1990,"",IF(Main[[#This Row],[Class]]="C",WORKDAY(Main[[#This Row],[Tech Start Date]],28),IF(Main[[#This Row],[Class]]="B", WORKDAY(Main[[#This Row],[Tech Start Date]],19),IF(Main[[#This Row],[Class]]="A",WORKDAY(Main[[#This Row],[Tech Start Date]],9),""))))</f>
        <v/>
      </c>
      <c r="Q901" s="129"/>
      <c r="R901" s="129"/>
      <c r="S901" s="139" t="s">
        <v>49</v>
      </c>
      <c r="T901" s="115" t="s">
        <v>4</v>
      </c>
      <c r="U901" s="139" t="s">
        <v>103</v>
      </c>
      <c r="V901" s="139" t="s">
        <v>1915</v>
      </c>
      <c r="W901" s="139" t="s">
        <v>1918</v>
      </c>
      <c r="X901" s="139" t="s">
        <v>306</v>
      </c>
      <c r="Y901" s="112" t="s">
        <v>4</v>
      </c>
      <c r="Z901" s="112" t="s">
        <v>4</v>
      </c>
      <c r="AA901" s="139" t="s">
        <v>4</v>
      </c>
    </row>
    <row r="902" spans="1:27" ht="17.25" customHeight="1">
      <c r="A902" s="69" t="str">
        <f>IF(priority(Main[[#This Row],[Comments]])&lt;&gt;0, priority(Main[[#This Row],[Comments]]),"")</f>
        <v/>
      </c>
      <c r="B902" s="63" t="s">
        <v>2194</v>
      </c>
      <c r="C902" s="148" t="s">
        <v>4</v>
      </c>
      <c r="D902" s="113" t="s">
        <v>2195</v>
      </c>
      <c r="E902" s="129"/>
      <c r="F902" s="129"/>
      <c r="G902" s="69" t="str">
        <f>IF(stdProdLT(Main[[#This Row],[Comments]])=0.1,"N/A",IF(stdProdLT(Main[[#This Row],[Comments]])=0,"",stdProdLT(Main[[#This Row],[Comments]])))</f>
        <v/>
      </c>
      <c r="H902" s="138" t="str">
        <f>IF(Main[[#This Row],[In Stock Date]]="N/A", "N/A",IF(AND(Main[[#This Row],[In Stock Date]]&lt;&gt;"",Main[[#This Row],[Revised Due Date]]&lt;&gt;"",Main[[#This Row],[In Stock Date]]&lt;&gt;""),Main[[#This Row],[In Stock Date]]-Main[[#This Row],[Revised Due Date]],""))</f>
        <v/>
      </c>
      <c r="I902" s="139" t="s">
        <v>4</v>
      </c>
      <c r="J902" s="139" t="s">
        <v>4</v>
      </c>
      <c r="K902" s="139" t="s">
        <v>4</v>
      </c>
      <c r="L902" s="129"/>
      <c r="M902" s="114" t="str">
        <f>IF(Main[[#This Row],[Tech Start Date]]&lt;1/1/1990,"",IF(Main[[#This Row],[Class]]="C",WORKDAY(Main[[#This Row],[Tech Start Date]],9),IF(Main[[#This Row],[Class]]="B", WORKDAY(Main[[#This Row],[Tech Start Date]],6),IF(Main[[#This Row],[Class]]="A",WORKDAY(Main[[#This Row],[Tech Start Date]],2),""))))</f>
        <v/>
      </c>
      <c r="N902" s="114" t="str">
        <f>IF(Main[[#This Row],[Tech Start Date]]&lt;1/1/1990,"",IF(Main[[#This Row],[Class]]="C",WORKDAY(Main[[#This Row],[Tech Start Date]],19),IF(Main[[#This Row],[Class]]="B", WORKDAY(Main[[#This Row],[Tech Start Date]],12),IF(Main[[#This Row],[Class]]="A",WORKDAY(Main[[#This Row],[Tech Start Date]],4),""))))</f>
        <v/>
      </c>
      <c r="O902" s="114" t="str">
        <f>IF(Main[[#This Row],[Tech Start Date]]&lt;1/1/1990,"",IF(Main[[#This Row],[Class]]="C",WORKDAY(Main[[#This Row],[Tech Start Date]],23),IF(Main[[#This Row],[Class]]="B", WORKDAY(Main[[#This Row],[Tech Start Date]],15),IF(Main[[#This Row],[Class]]="A",WORKDAY(Main[[#This Row],[Tech Start Date]],5),""))))</f>
        <v/>
      </c>
      <c r="P902" s="114" t="str">
        <f>IF(Main[[#This Row],[Tech Start Date]]&lt;1/1/1990,"",IF(Main[[#This Row],[Class]]="C",WORKDAY(Main[[#This Row],[Tech Start Date]],28),IF(Main[[#This Row],[Class]]="B", WORKDAY(Main[[#This Row],[Tech Start Date]],19),IF(Main[[#This Row],[Class]]="A",WORKDAY(Main[[#This Row],[Tech Start Date]],9),""))))</f>
        <v/>
      </c>
      <c r="Q902" s="129"/>
      <c r="R902" s="129"/>
      <c r="S902" s="139" t="s">
        <v>6</v>
      </c>
      <c r="T902" s="115" t="s">
        <v>4</v>
      </c>
      <c r="U902" s="139" t="s">
        <v>14</v>
      </c>
      <c r="V902" s="139" t="s">
        <v>1929</v>
      </c>
      <c r="W902" s="139" t="s">
        <v>4</v>
      </c>
      <c r="X902" s="139" t="s">
        <v>306</v>
      </c>
      <c r="Y902" s="112" t="s">
        <v>4</v>
      </c>
      <c r="Z902" s="112" t="s">
        <v>4</v>
      </c>
      <c r="AA902" s="139" t="s">
        <v>4</v>
      </c>
    </row>
    <row r="903" spans="1:27" ht="17.25" customHeight="1">
      <c r="A903" s="69" t="str">
        <f>IF(priority(Main[[#This Row],[Comments]])&lt;&gt;0, priority(Main[[#This Row],[Comments]]),"")</f>
        <v/>
      </c>
      <c r="B903" s="63" t="s">
        <v>1699</v>
      </c>
      <c r="C903" s="148" t="s">
        <v>756</v>
      </c>
      <c r="D903" s="113" t="s">
        <v>757</v>
      </c>
      <c r="E903" s="129"/>
      <c r="F903" s="129"/>
      <c r="G903" s="69" t="str">
        <f>IF(stdProdLT(Main[[#This Row],[Comments]])=0.1,"N/A",IF(stdProdLT(Main[[#This Row],[Comments]])=0,"",stdProdLT(Main[[#This Row],[Comments]])))</f>
        <v/>
      </c>
      <c r="H903" s="138" t="str">
        <f>IF(Main[[#This Row],[In Stock Date]]="N/A", "N/A",IF(AND(Main[[#This Row],[In Stock Date]]&lt;&gt;"",Main[[#This Row],[Revised Due Date]]&lt;&gt;"",Main[[#This Row],[In Stock Date]]&lt;&gt;""),Main[[#This Row],[In Stock Date]]-Main[[#This Row],[Revised Due Date]],""))</f>
        <v/>
      </c>
      <c r="I903" s="139" t="s">
        <v>4</v>
      </c>
      <c r="J903" s="139" t="s">
        <v>4</v>
      </c>
      <c r="K903" s="140" t="s">
        <v>4</v>
      </c>
      <c r="L903" s="129"/>
      <c r="M903" s="114" t="str">
        <f>IF(Main[[#This Row],[Tech Start Date]]&lt;1/1/1990,"",IF(Main[[#This Row],[Class]]="C",WORKDAY(Main[[#This Row],[Tech Start Date]],9),IF(Main[[#This Row],[Class]]="B", WORKDAY(Main[[#This Row],[Tech Start Date]],6),IF(Main[[#This Row],[Class]]="A",WORKDAY(Main[[#This Row],[Tech Start Date]],2),""))))</f>
        <v/>
      </c>
      <c r="N903" s="114" t="str">
        <f>IF(Main[[#This Row],[Tech Start Date]]&lt;1/1/1990,"",IF(Main[[#This Row],[Class]]="C",WORKDAY(Main[[#This Row],[Tech Start Date]],19),IF(Main[[#This Row],[Class]]="B", WORKDAY(Main[[#This Row],[Tech Start Date]],12),IF(Main[[#This Row],[Class]]="A",WORKDAY(Main[[#This Row],[Tech Start Date]],4),""))))</f>
        <v/>
      </c>
      <c r="O903" s="114" t="str">
        <f>IF(Main[[#This Row],[Tech Start Date]]&lt;1/1/1990,"",IF(Main[[#This Row],[Class]]="C",WORKDAY(Main[[#This Row],[Tech Start Date]],23),IF(Main[[#This Row],[Class]]="B", WORKDAY(Main[[#This Row],[Tech Start Date]],15),IF(Main[[#This Row],[Class]]="A",WORKDAY(Main[[#This Row],[Tech Start Date]],5),""))))</f>
        <v/>
      </c>
      <c r="P903" s="114" t="str">
        <f>IF(Main[[#This Row],[Tech Start Date]]&lt;1/1/1990,"",IF(Main[[#This Row],[Class]]="C",WORKDAY(Main[[#This Row],[Tech Start Date]],28),IF(Main[[#This Row],[Class]]="B", WORKDAY(Main[[#This Row],[Tech Start Date]],19),IF(Main[[#This Row],[Class]]="A",WORKDAY(Main[[#This Row],[Tech Start Date]],9),""))))</f>
        <v/>
      </c>
      <c r="Q903" s="129"/>
      <c r="R903" s="129"/>
      <c r="S903" s="139" t="s">
        <v>11</v>
      </c>
      <c r="T903" s="115" t="s">
        <v>4</v>
      </c>
      <c r="U903" s="139" t="s">
        <v>14</v>
      </c>
      <c r="V903" s="139" t="s">
        <v>1915</v>
      </c>
      <c r="W903" s="139" t="s">
        <v>1922</v>
      </c>
      <c r="X903" s="139" t="s">
        <v>2827</v>
      </c>
      <c r="Y903" s="112" t="s">
        <v>2948</v>
      </c>
      <c r="Z903" s="112" t="s">
        <v>4</v>
      </c>
      <c r="AA903" s="139" t="s">
        <v>2827</v>
      </c>
    </row>
    <row r="904" spans="1:27" ht="17.25" customHeight="1">
      <c r="A904" s="69" t="str">
        <f>IF(priority(Main[[#This Row],[Comments]])&lt;&gt;0, priority(Main[[#This Row],[Comments]]),"")</f>
        <v/>
      </c>
      <c r="B904" s="63" t="s">
        <v>1700</v>
      </c>
      <c r="C904" s="148" t="s">
        <v>4</v>
      </c>
      <c r="D904" s="113" t="s">
        <v>758</v>
      </c>
      <c r="E904" s="129">
        <v>40436.644293981481</v>
      </c>
      <c r="F904" s="129"/>
      <c r="G904" s="69" t="str">
        <f>IF(stdProdLT(Main[[#This Row],[Comments]])=0.1,"N/A",IF(stdProdLT(Main[[#This Row],[Comments]])=0,"",stdProdLT(Main[[#This Row],[Comments]])))</f>
        <v/>
      </c>
      <c r="H904" s="138" t="str">
        <f>IF(Main[[#This Row],[In Stock Date]]="N/A", "N/A",IF(AND(Main[[#This Row],[In Stock Date]]&lt;&gt;"",Main[[#This Row],[Revised Due Date]]&lt;&gt;"",Main[[#This Row],[In Stock Date]]&lt;&gt;""),Main[[#This Row],[In Stock Date]]-Main[[#This Row],[Revised Due Date]],""))</f>
        <v/>
      </c>
      <c r="I904" s="139" t="s">
        <v>4</v>
      </c>
      <c r="J904" s="139" t="s">
        <v>28</v>
      </c>
      <c r="K904" s="139" t="s">
        <v>4</v>
      </c>
      <c r="L904" s="129"/>
      <c r="M904" s="114" t="str">
        <f>IF(Main[[#This Row],[Tech Start Date]]&lt;1/1/1990,"",IF(Main[[#This Row],[Class]]="C",WORKDAY(Main[[#This Row],[Tech Start Date]],9),IF(Main[[#This Row],[Class]]="B", WORKDAY(Main[[#This Row],[Tech Start Date]],6),IF(Main[[#This Row],[Class]]="A",WORKDAY(Main[[#This Row],[Tech Start Date]],2),""))))</f>
        <v/>
      </c>
      <c r="N904" s="114" t="str">
        <f>IF(Main[[#This Row],[Tech Start Date]]&lt;1/1/1990,"",IF(Main[[#This Row],[Class]]="C",WORKDAY(Main[[#This Row],[Tech Start Date]],19),IF(Main[[#This Row],[Class]]="B", WORKDAY(Main[[#This Row],[Tech Start Date]],12),IF(Main[[#This Row],[Class]]="A",WORKDAY(Main[[#This Row],[Tech Start Date]],4),""))))</f>
        <v/>
      </c>
      <c r="O904" s="114" t="str">
        <f>IF(Main[[#This Row],[Tech Start Date]]&lt;1/1/1990,"",IF(Main[[#This Row],[Class]]="C",WORKDAY(Main[[#This Row],[Tech Start Date]],23),IF(Main[[#This Row],[Class]]="B", WORKDAY(Main[[#This Row],[Tech Start Date]],15),IF(Main[[#This Row],[Class]]="A",WORKDAY(Main[[#This Row],[Tech Start Date]],5),""))))</f>
        <v/>
      </c>
      <c r="P904" s="114" t="str">
        <f>IF(Main[[#This Row],[Tech Start Date]]&lt;1/1/1990,"",IF(Main[[#This Row],[Class]]="C",WORKDAY(Main[[#This Row],[Tech Start Date]],28),IF(Main[[#This Row],[Class]]="B", WORKDAY(Main[[#This Row],[Tech Start Date]],19),IF(Main[[#This Row],[Class]]="A",WORKDAY(Main[[#This Row],[Tech Start Date]],9),""))))</f>
        <v/>
      </c>
      <c r="Q904" s="129"/>
      <c r="R904" s="129"/>
      <c r="S904" s="139" t="s">
        <v>6</v>
      </c>
      <c r="T904" s="115" t="s">
        <v>4</v>
      </c>
      <c r="U904" s="139" t="s">
        <v>7</v>
      </c>
      <c r="V904" s="139" t="s">
        <v>1914</v>
      </c>
      <c r="W904" s="139" t="s">
        <v>1918</v>
      </c>
      <c r="X904" s="139" t="s">
        <v>922</v>
      </c>
      <c r="Y904" s="112" t="s">
        <v>2982</v>
      </c>
      <c r="Z904" s="112" t="s">
        <v>129</v>
      </c>
      <c r="AA904" s="139" t="s">
        <v>922</v>
      </c>
    </row>
    <row r="905" spans="1:27" ht="17.25" customHeight="1">
      <c r="A905" s="69" t="str">
        <f>IF(priority(Main[[#This Row],[Comments]])&lt;&gt;0, priority(Main[[#This Row],[Comments]]),"")</f>
        <v/>
      </c>
      <c r="B905" s="63" t="s">
        <v>1701</v>
      </c>
      <c r="C905" s="148" t="s">
        <v>759</v>
      </c>
      <c r="D905" s="113" t="s">
        <v>760</v>
      </c>
      <c r="E905" s="129"/>
      <c r="F905" s="129"/>
      <c r="G905" s="69" t="str">
        <f>IF(stdProdLT(Main[[#This Row],[Comments]])=0.1,"N/A",IF(stdProdLT(Main[[#This Row],[Comments]])=0,"",stdProdLT(Main[[#This Row],[Comments]])))</f>
        <v/>
      </c>
      <c r="H905" s="138" t="str">
        <f>IF(Main[[#This Row],[In Stock Date]]="N/A", "N/A",IF(AND(Main[[#This Row],[In Stock Date]]&lt;&gt;"",Main[[#This Row],[Revised Due Date]]&lt;&gt;"",Main[[#This Row],[In Stock Date]]&lt;&gt;""),Main[[#This Row],[In Stock Date]]-Main[[#This Row],[Revised Due Date]],""))</f>
        <v/>
      </c>
      <c r="I905" s="139" t="s">
        <v>163</v>
      </c>
      <c r="J905" s="139" t="s">
        <v>4</v>
      </c>
      <c r="K905" s="139" t="s">
        <v>1921</v>
      </c>
      <c r="L905" s="129"/>
      <c r="M905" s="114" t="str">
        <f>IF(Main[[#This Row],[Tech Start Date]]&lt;1/1/1990,"",IF(Main[[#This Row],[Class]]="C",WORKDAY(Main[[#This Row],[Tech Start Date]],9),IF(Main[[#This Row],[Class]]="B", WORKDAY(Main[[#This Row],[Tech Start Date]],6),IF(Main[[#This Row],[Class]]="A",WORKDAY(Main[[#This Row],[Tech Start Date]],2),""))))</f>
        <v/>
      </c>
      <c r="N905" s="114" t="str">
        <f>IF(Main[[#This Row],[Tech Start Date]]&lt;1/1/1990,"",IF(Main[[#This Row],[Class]]="C",WORKDAY(Main[[#This Row],[Tech Start Date]],19),IF(Main[[#This Row],[Class]]="B", WORKDAY(Main[[#This Row],[Tech Start Date]],12),IF(Main[[#This Row],[Class]]="A",WORKDAY(Main[[#This Row],[Tech Start Date]],4),""))))</f>
        <v/>
      </c>
      <c r="O905" s="114" t="str">
        <f>IF(Main[[#This Row],[Tech Start Date]]&lt;1/1/1990,"",IF(Main[[#This Row],[Class]]="C",WORKDAY(Main[[#This Row],[Tech Start Date]],23),IF(Main[[#This Row],[Class]]="B", WORKDAY(Main[[#This Row],[Tech Start Date]],15),IF(Main[[#This Row],[Class]]="A",WORKDAY(Main[[#This Row],[Tech Start Date]],5),""))))</f>
        <v/>
      </c>
      <c r="P905" s="114" t="str">
        <f>IF(Main[[#This Row],[Tech Start Date]]&lt;1/1/1990,"",IF(Main[[#This Row],[Class]]="C",WORKDAY(Main[[#This Row],[Tech Start Date]],28),IF(Main[[#This Row],[Class]]="B", WORKDAY(Main[[#This Row],[Tech Start Date]],19),IF(Main[[#This Row],[Class]]="A",WORKDAY(Main[[#This Row],[Tech Start Date]],9),""))))</f>
        <v/>
      </c>
      <c r="Q905" s="129">
        <v>40421</v>
      </c>
      <c r="R905" s="129"/>
      <c r="S905" s="139" t="s">
        <v>17</v>
      </c>
      <c r="T905" s="115" t="s">
        <v>4</v>
      </c>
      <c r="U905" s="139" t="s">
        <v>14</v>
      </c>
      <c r="V905" s="139" t="s">
        <v>1917</v>
      </c>
      <c r="W905" s="139" t="s">
        <v>1918</v>
      </c>
      <c r="X905" s="139" t="s">
        <v>163</v>
      </c>
      <c r="Y905" s="112" t="s">
        <v>3100</v>
      </c>
      <c r="Z905" s="112" t="s">
        <v>4</v>
      </c>
      <c r="AA905" s="139" t="s">
        <v>163</v>
      </c>
    </row>
    <row r="906" spans="1:27" ht="17.25" customHeight="1">
      <c r="A906" s="69" t="str">
        <f>IF(priority(Main[[#This Row],[Comments]])&lt;&gt;0, priority(Main[[#This Row],[Comments]]),"")</f>
        <v/>
      </c>
      <c r="B906" s="63" t="s">
        <v>1702</v>
      </c>
      <c r="C906" s="148" t="s">
        <v>4</v>
      </c>
      <c r="D906" s="113" t="s">
        <v>761</v>
      </c>
      <c r="E906" s="129"/>
      <c r="F906" s="129"/>
      <c r="G906" s="69" t="str">
        <f>IF(stdProdLT(Main[[#This Row],[Comments]])=0.1,"N/A",IF(stdProdLT(Main[[#This Row],[Comments]])=0,"",stdProdLT(Main[[#This Row],[Comments]])))</f>
        <v/>
      </c>
      <c r="H906" s="138" t="str">
        <f>IF(Main[[#This Row],[In Stock Date]]="N/A", "N/A",IF(AND(Main[[#This Row],[In Stock Date]]&lt;&gt;"",Main[[#This Row],[Revised Due Date]]&lt;&gt;"",Main[[#This Row],[In Stock Date]]&lt;&gt;""),Main[[#This Row],[In Stock Date]]-Main[[#This Row],[Revised Due Date]],""))</f>
        <v/>
      </c>
      <c r="I906" s="139" t="s">
        <v>4</v>
      </c>
      <c r="J906" s="139" t="s">
        <v>4</v>
      </c>
      <c r="K906" s="139" t="s">
        <v>4</v>
      </c>
      <c r="L906" s="129"/>
      <c r="M906" s="114" t="str">
        <f>IF(Main[[#This Row],[Tech Start Date]]&lt;1/1/1990,"",IF(Main[[#This Row],[Class]]="C",WORKDAY(Main[[#This Row],[Tech Start Date]],9),IF(Main[[#This Row],[Class]]="B", WORKDAY(Main[[#This Row],[Tech Start Date]],6),IF(Main[[#This Row],[Class]]="A",WORKDAY(Main[[#This Row],[Tech Start Date]],2),""))))</f>
        <v/>
      </c>
      <c r="N906" s="114" t="str">
        <f>IF(Main[[#This Row],[Tech Start Date]]&lt;1/1/1990,"",IF(Main[[#This Row],[Class]]="C",WORKDAY(Main[[#This Row],[Tech Start Date]],19),IF(Main[[#This Row],[Class]]="B", WORKDAY(Main[[#This Row],[Tech Start Date]],12),IF(Main[[#This Row],[Class]]="A",WORKDAY(Main[[#This Row],[Tech Start Date]],4),""))))</f>
        <v/>
      </c>
      <c r="O906" s="114" t="str">
        <f>IF(Main[[#This Row],[Tech Start Date]]&lt;1/1/1990,"",IF(Main[[#This Row],[Class]]="C",WORKDAY(Main[[#This Row],[Tech Start Date]],23),IF(Main[[#This Row],[Class]]="B", WORKDAY(Main[[#This Row],[Tech Start Date]],15),IF(Main[[#This Row],[Class]]="A",WORKDAY(Main[[#This Row],[Tech Start Date]],5),""))))</f>
        <v/>
      </c>
      <c r="P906" s="114" t="str">
        <f>IF(Main[[#This Row],[Tech Start Date]]&lt;1/1/1990,"",IF(Main[[#This Row],[Class]]="C",WORKDAY(Main[[#This Row],[Tech Start Date]],28),IF(Main[[#This Row],[Class]]="B", WORKDAY(Main[[#This Row],[Tech Start Date]],19),IF(Main[[#This Row],[Class]]="A",WORKDAY(Main[[#This Row],[Tech Start Date]],9),""))))</f>
        <v/>
      </c>
      <c r="Q906" s="129">
        <v>40500</v>
      </c>
      <c r="R906" s="129"/>
      <c r="S906" s="139" t="s">
        <v>11</v>
      </c>
      <c r="T906" s="115" t="s">
        <v>4</v>
      </c>
      <c r="U906" s="139" t="s">
        <v>14</v>
      </c>
      <c r="V906" s="139" t="s">
        <v>1914</v>
      </c>
      <c r="W906" s="139" t="s">
        <v>4</v>
      </c>
      <c r="X906" s="139" t="s">
        <v>2832</v>
      </c>
      <c r="Y906" s="112" t="s">
        <v>3101</v>
      </c>
      <c r="Z906" s="112" t="s">
        <v>4</v>
      </c>
      <c r="AA906" s="139" t="s">
        <v>2849</v>
      </c>
    </row>
    <row r="907" spans="1:27" ht="17.25" customHeight="1">
      <c r="A907" s="69" t="str">
        <f>IF(priority(Main[[#This Row],[Comments]])&lt;&gt;0, priority(Main[[#This Row],[Comments]]),"")</f>
        <v/>
      </c>
      <c r="B907" s="63" t="s">
        <v>1703</v>
      </c>
      <c r="C907" s="148" t="s">
        <v>122</v>
      </c>
      <c r="D907" s="113" t="s">
        <v>696</v>
      </c>
      <c r="E907" s="129"/>
      <c r="F907" s="129"/>
      <c r="G907" s="69" t="str">
        <f>IF(stdProdLT(Main[[#This Row],[Comments]])=0.1,"N/A",IF(stdProdLT(Main[[#This Row],[Comments]])=0,"",stdProdLT(Main[[#This Row],[Comments]])))</f>
        <v/>
      </c>
      <c r="H907" s="138" t="str">
        <f>IF(Main[[#This Row],[In Stock Date]]="N/A", "N/A",IF(AND(Main[[#This Row],[In Stock Date]]&lt;&gt;"",Main[[#This Row],[Revised Due Date]]&lt;&gt;"",Main[[#This Row],[In Stock Date]]&lt;&gt;""),Main[[#This Row],[In Stock Date]]-Main[[#This Row],[Revised Due Date]],""))</f>
        <v/>
      </c>
      <c r="I907" s="139" t="s">
        <v>4</v>
      </c>
      <c r="J907" s="139" t="s">
        <v>4</v>
      </c>
      <c r="K907" s="140" t="s">
        <v>4</v>
      </c>
      <c r="L907" s="129"/>
      <c r="M907" s="114" t="str">
        <f>IF(Main[[#This Row],[Tech Start Date]]&lt;1/1/1990,"",IF(Main[[#This Row],[Class]]="C",WORKDAY(Main[[#This Row],[Tech Start Date]],9),IF(Main[[#This Row],[Class]]="B", WORKDAY(Main[[#This Row],[Tech Start Date]],6),IF(Main[[#This Row],[Class]]="A",WORKDAY(Main[[#This Row],[Tech Start Date]],2),""))))</f>
        <v/>
      </c>
      <c r="N907" s="114" t="str">
        <f>IF(Main[[#This Row],[Tech Start Date]]&lt;1/1/1990,"",IF(Main[[#This Row],[Class]]="C",WORKDAY(Main[[#This Row],[Tech Start Date]],19),IF(Main[[#This Row],[Class]]="B", WORKDAY(Main[[#This Row],[Tech Start Date]],12),IF(Main[[#This Row],[Class]]="A",WORKDAY(Main[[#This Row],[Tech Start Date]],4),""))))</f>
        <v/>
      </c>
      <c r="O907" s="114" t="str">
        <f>IF(Main[[#This Row],[Tech Start Date]]&lt;1/1/1990,"",IF(Main[[#This Row],[Class]]="C",WORKDAY(Main[[#This Row],[Tech Start Date]],23),IF(Main[[#This Row],[Class]]="B", WORKDAY(Main[[#This Row],[Tech Start Date]],15),IF(Main[[#This Row],[Class]]="A",WORKDAY(Main[[#This Row],[Tech Start Date]],5),""))))</f>
        <v/>
      </c>
      <c r="P907" s="114" t="str">
        <f>IF(Main[[#This Row],[Tech Start Date]]&lt;1/1/1990,"",IF(Main[[#This Row],[Class]]="C",WORKDAY(Main[[#This Row],[Tech Start Date]],28),IF(Main[[#This Row],[Class]]="B", WORKDAY(Main[[#This Row],[Tech Start Date]],19),IF(Main[[#This Row],[Class]]="A",WORKDAY(Main[[#This Row],[Tech Start Date]],9),""))))</f>
        <v/>
      </c>
      <c r="Q907" s="129"/>
      <c r="R907" s="129"/>
      <c r="S907" s="139" t="s">
        <v>11</v>
      </c>
      <c r="T907" s="115" t="s">
        <v>4</v>
      </c>
      <c r="U907" s="139" t="s">
        <v>14</v>
      </c>
      <c r="V907" s="139" t="s">
        <v>1914</v>
      </c>
      <c r="W907" s="139" t="s">
        <v>1925</v>
      </c>
      <c r="X907" s="139" t="s">
        <v>2820</v>
      </c>
      <c r="Y907" s="112" t="s">
        <v>3092</v>
      </c>
      <c r="Z907" s="112" t="s">
        <v>4</v>
      </c>
      <c r="AA907" s="139" t="s">
        <v>3432</v>
      </c>
    </row>
    <row r="908" spans="1:27" ht="17.25" customHeight="1">
      <c r="A908" s="69" t="str">
        <f>IF(priority(Main[[#This Row],[Comments]])&lt;&gt;0, priority(Main[[#This Row],[Comments]]),"")</f>
        <v/>
      </c>
      <c r="B908" s="63" t="s">
        <v>1706</v>
      </c>
      <c r="C908" s="148" t="s">
        <v>4</v>
      </c>
      <c r="D908" s="113" t="s">
        <v>767</v>
      </c>
      <c r="E908" s="129"/>
      <c r="F908" s="129"/>
      <c r="G908" s="69" t="str">
        <f>IF(stdProdLT(Main[[#This Row],[Comments]])=0.1,"N/A",IF(stdProdLT(Main[[#This Row],[Comments]])=0,"",stdProdLT(Main[[#This Row],[Comments]])))</f>
        <v/>
      </c>
      <c r="H908" s="138" t="str">
        <f>IF(Main[[#This Row],[In Stock Date]]="N/A", "N/A",IF(AND(Main[[#This Row],[In Stock Date]]&lt;&gt;"",Main[[#This Row],[Revised Due Date]]&lt;&gt;"",Main[[#This Row],[In Stock Date]]&lt;&gt;""),Main[[#This Row],[In Stock Date]]-Main[[#This Row],[Revised Due Date]],""))</f>
        <v/>
      </c>
      <c r="I908" s="139" t="s">
        <v>4</v>
      </c>
      <c r="J908" s="139" t="s">
        <v>4</v>
      </c>
      <c r="K908" s="139" t="s">
        <v>4</v>
      </c>
      <c r="L908" s="129"/>
      <c r="M908" s="114" t="str">
        <f>IF(Main[[#This Row],[Tech Start Date]]&lt;1/1/1990,"",IF(Main[[#This Row],[Class]]="C",WORKDAY(Main[[#This Row],[Tech Start Date]],9),IF(Main[[#This Row],[Class]]="B", WORKDAY(Main[[#This Row],[Tech Start Date]],6),IF(Main[[#This Row],[Class]]="A",WORKDAY(Main[[#This Row],[Tech Start Date]],2),""))))</f>
        <v/>
      </c>
      <c r="N908" s="114" t="str">
        <f>IF(Main[[#This Row],[Tech Start Date]]&lt;1/1/1990,"",IF(Main[[#This Row],[Class]]="C",WORKDAY(Main[[#This Row],[Tech Start Date]],19),IF(Main[[#This Row],[Class]]="B", WORKDAY(Main[[#This Row],[Tech Start Date]],12),IF(Main[[#This Row],[Class]]="A",WORKDAY(Main[[#This Row],[Tech Start Date]],4),""))))</f>
        <v/>
      </c>
      <c r="O908" s="114" t="str">
        <f>IF(Main[[#This Row],[Tech Start Date]]&lt;1/1/1990,"",IF(Main[[#This Row],[Class]]="C",WORKDAY(Main[[#This Row],[Tech Start Date]],23),IF(Main[[#This Row],[Class]]="B", WORKDAY(Main[[#This Row],[Tech Start Date]],15),IF(Main[[#This Row],[Class]]="A",WORKDAY(Main[[#This Row],[Tech Start Date]],5),""))))</f>
        <v/>
      </c>
      <c r="P908" s="114" t="str">
        <f>IF(Main[[#This Row],[Tech Start Date]]&lt;1/1/1990,"",IF(Main[[#This Row],[Class]]="C",WORKDAY(Main[[#This Row],[Tech Start Date]],28),IF(Main[[#This Row],[Class]]="B", WORKDAY(Main[[#This Row],[Tech Start Date]],19),IF(Main[[#This Row],[Class]]="A",WORKDAY(Main[[#This Row],[Tech Start Date]],9),""))))</f>
        <v/>
      </c>
      <c r="Q908" s="129"/>
      <c r="R908" s="129"/>
      <c r="S908" s="139" t="s">
        <v>17</v>
      </c>
      <c r="T908" s="115" t="s">
        <v>4</v>
      </c>
      <c r="U908" s="139" t="s">
        <v>14</v>
      </c>
      <c r="V908" s="139" t="s">
        <v>1917</v>
      </c>
      <c r="W908" s="139" t="s">
        <v>4</v>
      </c>
      <c r="X908" s="139" t="s">
        <v>306</v>
      </c>
      <c r="Y908" s="112" t="s">
        <v>4</v>
      </c>
      <c r="Z908" s="112" t="s">
        <v>4</v>
      </c>
      <c r="AA908" s="139" t="s">
        <v>3437</v>
      </c>
    </row>
    <row r="909" spans="1:27" ht="17.25" customHeight="1">
      <c r="A909" s="69" t="str">
        <f>IF(priority(Main[[#This Row],[Comments]])&lt;&gt;0, priority(Main[[#This Row],[Comments]]),"")</f>
        <v/>
      </c>
      <c r="B909" s="63" t="s">
        <v>1707</v>
      </c>
      <c r="C909" s="148" t="s">
        <v>58</v>
      </c>
      <c r="D909" s="113" t="s">
        <v>202</v>
      </c>
      <c r="E909" s="129"/>
      <c r="F909" s="129">
        <v>40697</v>
      </c>
      <c r="G909" s="69" t="str">
        <f>IF(stdProdLT(Main[[#This Row],[Comments]])=0.1,"N/A",IF(stdProdLT(Main[[#This Row],[Comments]])=0,"",stdProdLT(Main[[#This Row],[Comments]])))</f>
        <v/>
      </c>
      <c r="H909" s="138" t="str">
        <f>IF(Main[[#This Row],[In Stock Date]]="N/A", "N/A",IF(AND(Main[[#This Row],[In Stock Date]]&lt;&gt;"",Main[[#This Row],[Revised Due Date]]&lt;&gt;"",Main[[#This Row],[In Stock Date]]&lt;&gt;""),Main[[#This Row],[In Stock Date]]-Main[[#This Row],[Revised Due Date]],""))</f>
        <v/>
      </c>
      <c r="I909" s="139" t="s">
        <v>4</v>
      </c>
      <c r="J909" s="139" t="s">
        <v>4</v>
      </c>
      <c r="K909" s="139" t="s">
        <v>4</v>
      </c>
      <c r="L909" s="129"/>
      <c r="M909" s="114" t="str">
        <f>IF(Main[[#This Row],[Tech Start Date]]&lt;1/1/1990,"",IF(Main[[#This Row],[Class]]="C",WORKDAY(Main[[#This Row],[Tech Start Date]],9),IF(Main[[#This Row],[Class]]="B", WORKDAY(Main[[#This Row],[Tech Start Date]],6),IF(Main[[#This Row],[Class]]="A",WORKDAY(Main[[#This Row],[Tech Start Date]],2),""))))</f>
        <v/>
      </c>
      <c r="N909" s="114" t="str">
        <f>IF(Main[[#This Row],[Tech Start Date]]&lt;1/1/1990,"",IF(Main[[#This Row],[Class]]="C",WORKDAY(Main[[#This Row],[Tech Start Date]],19),IF(Main[[#This Row],[Class]]="B", WORKDAY(Main[[#This Row],[Tech Start Date]],12),IF(Main[[#This Row],[Class]]="A",WORKDAY(Main[[#This Row],[Tech Start Date]],4),""))))</f>
        <v/>
      </c>
      <c r="O909" s="114" t="str">
        <f>IF(Main[[#This Row],[Tech Start Date]]&lt;1/1/1990,"",IF(Main[[#This Row],[Class]]="C",WORKDAY(Main[[#This Row],[Tech Start Date]],23),IF(Main[[#This Row],[Class]]="B", WORKDAY(Main[[#This Row],[Tech Start Date]],15),IF(Main[[#This Row],[Class]]="A",WORKDAY(Main[[#This Row],[Tech Start Date]],5),""))))</f>
        <v/>
      </c>
      <c r="P909" s="114" t="str">
        <f>IF(Main[[#This Row],[Tech Start Date]]&lt;1/1/1990,"",IF(Main[[#This Row],[Class]]="C",WORKDAY(Main[[#This Row],[Tech Start Date]],28),IF(Main[[#This Row],[Class]]="B", WORKDAY(Main[[#This Row],[Tech Start Date]],19),IF(Main[[#This Row],[Class]]="A",WORKDAY(Main[[#This Row],[Tech Start Date]],9),""))))</f>
        <v/>
      </c>
      <c r="Q909" s="129">
        <v>40539</v>
      </c>
      <c r="R909" s="129"/>
      <c r="S909" s="139" t="s">
        <v>11</v>
      </c>
      <c r="T909" s="115" t="s">
        <v>4</v>
      </c>
      <c r="U909" s="139" t="s">
        <v>14</v>
      </c>
      <c r="V909" s="139" t="s">
        <v>1914</v>
      </c>
      <c r="W909" s="139" t="s">
        <v>1920</v>
      </c>
      <c r="X909" s="139" t="s">
        <v>2829</v>
      </c>
      <c r="Y909" s="112" t="s">
        <v>2951</v>
      </c>
      <c r="Z909" s="112" t="s">
        <v>4</v>
      </c>
      <c r="AA909" s="139" t="s">
        <v>2829</v>
      </c>
    </row>
    <row r="910" spans="1:27" ht="17.25" customHeight="1">
      <c r="A910" s="69" t="str">
        <f>IF(priority(Main[[#This Row],[Comments]])&lt;&gt;0, priority(Main[[#This Row],[Comments]]),"")</f>
        <v/>
      </c>
      <c r="B910" s="63" t="s">
        <v>1724</v>
      </c>
      <c r="C910" s="148" t="s">
        <v>779</v>
      </c>
      <c r="D910" s="113" t="s">
        <v>780</v>
      </c>
      <c r="E910" s="129"/>
      <c r="F910" s="129">
        <v>40591</v>
      </c>
      <c r="G910" s="69" t="str">
        <f>IF(stdProdLT(Main[[#This Row],[Comments]])=0.1,"N/A",IF(stdProdLT(Main[[#This Row],[Comments]])=0,"",stdProdLT(Main[[#This Row],[Comments]])))</f>
        <v/>
      </c>
      <c r="H910" s="138" t="str">
        <f>IF(Main[[#This Row],[In Stock Date]]="N/A", "N/A",IF(AND(Main[[#This Row],[In Stock Date]]&lt;&gt;"",Main[[#This Row],[Revised Due Date]]&lt;&gt;"",Main[[#This Row],[In Stock Date]]&lt;&gt;""),Main[[#This Row],[In Stock Date]]-Main[[#This Row],[Revised Due Date]],""))</f>
        <v/>
      </c>
      <c r="I910" s="139" t="s">
        <v>4</v>
      </c>
      <c r="J910" s="139" t="s">
        <v>4</v>
      </c>
      <c r="K910" s="139" t="s">
        <v>1926</v>
      </c>
      <c r="L910" s="129"/>
      <c r="M910" s="114" t="str">
        <f>IF(Main[[#This Row],[Tech Start Date]]&lt;1/1/1990,"",IF(Main[[#This Row],[Class]]="C",WORKDAY(Main[[#This Row],[Tech Start Date]],9),IF(Main[[#This Row],[Class]]="B", WORKDAY(Main[[#This Row],[Tech Start Date]],6),IF(Main[[#This Row],[Class]]="A",WORKDAY(Main[[#This Row],[Tech Start Date]],2),""))))</f>
        <v/>
      </c>
      <c r="N910" s="114" t="str">
        <f>IF(Main[[#This Row],[Tech Start Date]]&lt;1/1/1990,"",IF(Main[[#This Row],[Class]]="C",WORKDAY(Main[[#This Row],[Tech Start Date]],19),IF(Main[[#This Row],[Class]]="B", WORKDAY(Main[[#This Row],[Tech Start Date]],12),IF(Main[[#This Row],[Class]]="A",WORKDAY(Main[[#This Row],[Tech Start Date]],4),""))))</f>
        <v/>
      </c>
      <c r="O910" s="114" t="str">
        <f>IF(Main[[#This Row],[Tech Start Date]]&lt;1/1/1990,"",IF(Main[[#This Row],[Class]]="C",WORKDAY(Main[[#This Row],[Tech Start Date]],23),IF(Main[[#This Row],[Class]]="B", WORKDAY(Main[[#This Row],[Tech Start Date]],15),IF(Main[[#This Row],[Class]]="A",WORKDAY(Main[[#This Row],[Tech Start Date]],5),""))))</f>
        <v/>
      </c>
      <c r="P910" s="114" t="str">
        <f>IF(Main[[#This Row],[Tech Start Date]]&lt;1/1/1990,"",IF(Main[[#This Row],[Class]]="C",WORKDAY(Main[[#This Row],[Tech Start Date]],28),IF(Main[[#This Row],[Class]]="B", WORKDAY(Main[[#This Row],[Tech Start Date]],19),IF(Main[[#This Row],[Class]]="A",WORKDAY(Main[[#This Row],[Tech Start Date]],9),""))))</f>
        <v/>
      </c>
      <c r="Q910" s="129">
        <v>40514</v>
      </c>
      <c r="R910" s="129"/>
      <c r="S910" s="139" t="s">
        <v>11</v>
      </c>
      <c r="T910" s="115" t="s">
        <v>781</v>
      </c>
      <c r="U910" s="139" t="s">
        <v>14</v>
      </c>
      <c r="V910" s="139" t="s">
        <v>1914</v>
      </c>
      <c r="W910" s="139" t="s">
        <v>1919</v>
      </c>
      <c r="X910" s="139" t="s">
        <v>2904</v>
      </c>
      <c r="Y910" s="112" t="s">
        <v>4</v>
      </c>
      <c r="Z910" s="112" t="s">
        <v>4</v>
      </c>
      <c r="AA910" s="139" t="s">
        <v>2904</v>
      </c>
    </row>
    <row r="911" spans="1:27" ht="17.25" customHeight="1">
      <c r="A911" s="69" t="str">
        <f>IF(priority(Main[[#This Row],[Comments]])&lt;&gt;0, priority(Main[[#This Row],[Comments]]),"")</f>
        <v/>
      </c>
      <c r="B911" s="63" t="s">
        <v>1728</v>
      </c>
      <c r="C911" s="148" t="s">
        <v>4</v>
      </c>
      <c r="D911" s="113" t="s">
        <v>784</v>
      </c>
      <c r="E911" s="129">
        <v>40646.604930555557</v>
      </c>
      <c r="F911" s="129"/>
      <c r="G911" s="69" t="str">
        <f>IF(stdProdLT(Main[[#This Row],[Comments]])=0.1,"N/A",IF(stdProdLT(Main[[#This Row],[Comments]])=0,"",stdProdLT(Main[[#This Row],[Comments]])))</f>
        <v/>
      </c>
      <c r="H911" s="138" t="str">
        <f>IF(Main[[#This Row],[In Stock Date]]="N/A", "N/A",IF(AND(Main[[#This Row],[In Stock Date]]&lt;&gt;"",Main[[#This Row],[Revised Due Date]]&lt;&gt;"",Main[[#This Row],[In Stock Date]]&lt;&gt;""),Main[[#This Row],[In Stock Date]]-Main[[#This Row],[Revised Due Date]],""))</f>
        <v/>
      </c>
      <c r="I911" s="139" t="s">
        <v>4</v>
      </c>
      <c r="J911" s="139" t="s">
        <v>4</v>
      </c>
      <c r="K911" s="140" t="s">
        <v>4</v>
      </c>
      <c r="L911" s="129"/>
      <c r="M911" s="114" t="str">
        <f>IF(Main[[#This Row],[Tech Start Date]]&lt;1/1/1990,"",IF(Main[[#This Row],[Class]]="C",WORKDAY(Main[[#This Row],[Tech Start Date]],9),IF(Main[[#This Row],[Class]]="B", WORKDAY(Main[[#This Row],[Tech Start Date]],6),IF(Main[[#This Row],[Class]]="A",WORKDAY(Main[[#This Row],[Tech Start Date]],2),""))))</f>
        <v/>
      </c>
      <c r="N911" s="114" t="str">
        <f>IF(Main[[#This Row],[Tech Start Date]]&lt;1/1/1990,"",IF(Main[[#This Row],[Class]]="C",WORKDAY(Main[[#This Row],[Tech Start Date]],19),IF(Main[[#This Row],[Class]]="B", WORKDAY(Main[[#This Row],[Tech Start Date]],12),IF(Main[[#This Row],[Class]]="A",WORKDAY(Main[[#This Row],[Tech Start Date]],4),""))))</f>
        <v/>
      </c>
      <c r="O911" s="114" t="str">
        <f>IF(Main[[#This Row],[Tech Start Date]]&lt;1/1/1990,"",IF(Main[[#This Row],[Class]]="C",WORKDAY(Main[[#This Row],[Tech Start Date]],23),IF(Main[[#This Row],[Class]]="B", WORKDAY(Main[[#This Row],[Tech Start Date]],15),IF(Main[[#This Row],[Class]]="A",WORKDAY(Main[[#This Row],[Tech Start Date]],5),""))))</f>
        <v/>
      </c>
      <c r="P911" s="114" t="str">
        <f>IF(Main[[#This Row],[Tech Start Date]]&lt;1/1/1990,"",IF(Main[[#This Row],[Class]]="C",WORKDAY(Main[[#This Row],[Tech Start Date]],28),IF(Main[[#This Row],[Class]]="B", WORKDAY(Main[[#This Row],[Tech Start Date]],19),IF(Main[[#This Row],[Class]]="A",WORKDAY(Main[[#This Row],[Tech Start Date]],9),""))))</f>
        <v/>
      </c>
      <c r="Q911" s="129">
        <v>40683</v>
      </c>
      <c r="R911" s="129"/>
      <c r="S911" s="139" t="s">
        <v>6</v>
      </c>
      <c r="T911" s="115" t="s">
        <v>4</v>
      </c>
      <c r="U911" s="139" t="s">
        <v>7</v>
      </c>
      <c r="V911" s="139" t="s">
        <v>1914</v>
      </c>
      <c r="W911" s="139" t="s">
        <v>4</v>
      </c>
      <c r="X911" s="139" t="s">
        <v>2818</v>
      </c>
      <c r="Y911" s="112" t="s">
        <v>2929</v>
      </c>
      <c r="Z911" s="112" t="s">
        <v>4</v>
      </c>
      <c r="AA911" s="139" t="s">
        <v>2818</v>
      </c>
    </row>
    <row r="912" spans="1:27" ht="17.25" customHeight="1">
      <c r="A912" s="69" t="str">
        <f>IF(priority(Main[[#This Row],[Comments]])&lt;&gt;0, priority(Main[[#This Row],[Comments]]),"")</f>
        <v/>
      </c>
      <c r="B912" s="63" t="s">
        <v>3612</v>
      </c>
      <c r="C912" s="148" t="s">
        <v>4</v>
      </c>
      <c r="D912" s="113" t="s">
        <v>3613</v>
      </c>
      <c r="E912" s="129"/>
      <c r="F912" s="129"/>
      <c r="G912" s="69" t="str">
        <f>IF(stdProdLT(Main[[#This Row],[Comments]])=0.1,"N/A",IF(stdProdLT(Main[[#This Row],[Comments]])=0,"",stdProdLT(Main[[#This Row],[Comments]])))</f>
        <v/>
      </c>
      <c r="H912" s="138" t="str">
        <f>IF(Main[[#This Row],[In Stock Date]]="N/A", "N/A",IF(AND(Main[[#This Row],[In Stock Date]]&lt;&gt;"",Main[[#This Row],[Revised Due Date]]&lt;&gt;"",Main[[#This Row],[In Stock Date]]&lt;&gt;""),Main[[#This Row],[In Stock Date]]-Main[[#This Row],[Revised Due Date]],""))</f>
        <v/>
      </c>
      <c r="I912" s="139" t="s">
        <v>2044</v>
      </c>
      <c r="J912" s="139" t="s">
        <v>28</v>
      </c>
      <c r="K912" s="139" t="s">
        <v>1923</v>
      </c>
      <c r="L912" s="129"/>
      <c r="M912" s="114" t="str">
        <f>IF(Main[[#This Row],[Tech Start Date]]&lt;1/1/1990,"",IF(Main[[#This Row],[Class]]="C",WORKDAY(Main[[#This Row],[Tech Start Date]],9),IF(Main[[#This Row],[Class]]="B", WORKDAY(Main[[#This Row],[Tech Start Date]],6),IF(Main[[#This Row],[Class]]="A",WORKDAY(Main[[#This Row],[Tech Start Date]],2),""))))</f>
        <v/>
      </c>
      <c r="N912" s="114" t="str">
        <f>IF(Main[[#This Row],[Tech Start Date]]&lt;1/1/1990,"",IF(Main[[#This Row],[Class]]="C",WORKDAY(Main[[#This Row],[Tech Start Date]],19),IF(Main[[#This Row],[Class]]="B", WORKDAY(Main[[#This Row],[Tech Start Date]],12),IF(Main[[#This Row],[Class]]="A",WORKDAY(Main[[#This Row],[Tech Start Date]],4),""))))</f>
        <v/>
      </c>
      <c r="O912" s="114" t="str">
        <f>IF(Main[[#This Row],[Tech Start Date]]&lt;1/1/1990,"",IF(Main[[#This Row],[Class]]="C",WORKDAY(Main[[#This Row],[Tech Start Date]],23),IF(Main[[#This Row],[Class]]="B", WORKDAY(Main[[#This Row],[Tech Start Date]],15),IF(Main[[#This Row],[Class]]="A",WORKDAY(Main[[#This Row],[Tech Start Date]],5),""))))</f>
        <v/>
      </c>
      <c r="P912" s="114" t="str">
        <f>IF(Main[[#This Row],[Tech Start Date]]&lt;1/1/1990,"",IF(Main[[#This Row],[Class]]="C",WORKDAY(Main[[#This Row],[Tech Start Date]],28),IF(Main[[#This Row],[Class]]="B", WORKDAY(Main[[#This Row],[Tech Start Date]],19),IF(Main[[#This Row],[Class]]="A",WORKDAY(Main[[#This Row],[Tech Start Date]],9),""))))</f>
        <v/>
      </c>
      <c r="Q912" s="129">
        <v>40964</v>
      </c>
      <c r="R912" s="129"/>
      <c r="S912" s="139" t="s">
        <v>6</v>
      </c>
      <c r="T912" s="115" t="s">
        <v>4</v>
      </c>
      <c r="U912" s="139" t="s">
        <v>14</v>
      </c>
      <c r="V912" s="139" t="s">
        <v>1924</v>
      </c>
      <c r="W912" s="139" t="s">
        <v>1918</v>
      </c>
      <c r="X912" s="139" t="s">
        <v>2044</v>
      </c>
      <c r="Y912" s="112" t="s">
        <v>3156</v>
      </c>
      <c r="Z912" s="112" t="s">
        <v>30</v>
      </c>
      <c r="AA912" s="139" t="s">
        <v>2044</v>
      </c>
    </row>
    <row r="913" spans="1:27" ht="17.25" customHeight="1">
      <c r="A913" s="69" t="str">
        <f>IF(priority(Main[[#This Row],[Comments]])&lt;&gt;0, priority(Main[[#This Row],[Comments]]),"")</f>
        <v/>
      </c>
      <c r="B913" s="63" t="s">
        <v>1730</v>
      </c>
      <c r="C913" s="148" t="s">
        <v>4</v>
      </c>
      <c r="D913" s="113" t="s">
        <v>785</v>
      </c>
      <c r="E913" s="129">
        <v>40584.401712962965</v>
      </c>
      <c r="F913" s="129">
        <v>40602</v>
      </c>
      <c r="G913" s="69" t="str">
        <f>IF(stdProdLT(Main[[#This Row],[Comments]])=0.1,"N/A",IF(stdProdLT(Main[[#This Row],[Comments]])=0,"",stdProdLT(Main[[#This Row],[Comments]])))</f>
        <v/>
      </c>
      <c r="H913" s="138" t="str">
        <f>IF(Main[[#This Row],[In Stock Date]]="N/A", "N/A",IF(AND(Main[[#This Row],[In Stock Date]]&lt;&gt;"",Main[[#This Row],[Revised Due Date]]&lt;&gt;"",Main[[#This Row],[In Stock Date]]&lt;&gt;""),Main[[#This Row],[In Stock Date]]-Main[[#This Row],[Revised Due Date]],""))</f>
        <v/>
      </c>
      <c r="I913" s="139" t="s">
        <v>4</v>
      </c>
      <c r="J913" s="139" t="s">
        <v>28</v>
      </c>
      <c r="K913" s="139" t="s">
        <v>1926</v>
      </c>
      <c r="L913" s="129"/>
      <c r="M913" s="114" t="str">
        <f>IF(Main[[#This Row],[Tech Start Date]]&lt;1/1/1990,"",IF(Main[[#This Row],[Class]]="C",WORKDAY(Main[[#This Row],[Tech Start Date]],9),IF(Main[[#This Row],[Class]]="B", WORKDAY(Main[[#This Row],[Tech Start Date]],6),IF(Main[[#This Row],[Class]]="A",WORKDAY(Main[[#This Row],[Tech Start Date]],2),""))))</f>
        <v/>
      </c>
      <c r="N913" s="114" t="str">
        <f>IF(Main[[#This Row],[Tech Start Date]]&lt;1/1/1990,"",IF(Main[[#This Row],[Class]]="C",WORKDAY(Main[[#This Row],[Tech Start Date]],19),IF(Main[[#This Row],[Class]]="B", WORKDAY(Main[[#This Row],[Tech Start Date]],12),IF(Main[[#This Row],[Class]]="A",WORKDAY(Main[[#This Row],[Tech Start Date]],4),""))))</f>
        <v/>
      </c>
      <c r="O913" s="114" t="str">
        <f>IF(Main[[#This Row],[Tech Start Date]]&lt;1/1/1990,"",IF(Main[[#This Row],[Class]]="C",WORKDAY(Main[[#This Row],[Tech Start Date]],23),IF(Main[[#This Row],[Class]]="B", WORKDAY(Main[[#This Row],[Tech Start Date]],15),IF(Main[[#This Row],[Class]]="A",WORKDAY(Main[[#This Row],[Tech Start Date]],5),""))))</f>
        <v/>
      </c>
      <c r="P913" s="114" t="str">
        <f>IF(Main[[#This Row],[Tech Start Date]]&lt;1/1/1990,"",IF(Main[[#This Row],[Class]]="C",WORKDAY(Main[[#This Row],[Tech Start Date]],28),IF(Main[[#This Row],[Class]]="B", WORKDAY(Main[[#This Row],[Tech Start Date]],19),IF(Main[[#This Row],[Class]]="A",WORKDAY(Main[[#This Row],[Tech Start Date]],9),""))))</f>
        <v/>
      </c>
      <c r="Q913" s="129">
        <v>40602</v>
      </c>
      <c r="R913" s="129"/>
      <c r="S913" s="139" t="s">
        <v>17</v>
      </c>
      <c r="T913" s="115" t="s">
        <v>4</v>
      </c>
      <c r="U913" s="139" t="s">
        <v>7</v>
      </c>
      <c r="V913" s="139" t="s">
        <v>1914</v>
      </c>
      <c r="W913" s="139" t="s">
        <v>1922</v>
      </c>
      <c r="X913" s="139" t="s">
        <v>2828</v>
      </c>
      <c r="Y913" s="112" t="s">
        <v>2950</v>
      </c>
      <c r="Z913" s="112" t="s">
        <v>129</v>
      </c>
      <c r="AA913" s="139" t="s">
        <v>2828</v>
      </c>
    </row>
    <row r="914" spans="1:27" ht="17.25" customHeight="1">
      <c r="A914" s="69" t="str">
        <f>IF(priority(Main[[#This Row],[Comments]])&lt;&gt;0, priority(Main[[#This Row],[Comments]]),"")</f>
        <v/>
      </c>
      <c r="B914" s="63" t="s">
        <v>2085</v>
      </c>
      <c r="C914" s="148" t="s">
        <v>4</v>
      </c>
      <c r="D914" s="113" t="s">
        <v>2396</v>
      </c>
      <c r="E914" s="129">
        <v>40764.689201388886</v>
      </c>
      <c r="F914" s="129"/>
      <c r="G914" s="69" t="str">
        <f>IF(stdProdLT(Main[[#This Row],[Comments]])=0.1,"N/A",IF(stdProdLT(Main[[#This Row],[Comments]])=0,"",stdProdLT(Main[[#This Row],[Comments]])))</f>
        <v/>
      </c>
      <c r="H914" s="138" t="str">
        <f>IF(Main[[#This Row],[In Stock Date]]="N/A", "N/A",IF(AND(Main[[#This Row],[In Stock Date]]&lt;&gt;"",Main[[#This Row],[Revised Due Date]]&lt;&gt;"",Main[[#This Row],[In Stock Date]]&lt;&gt;""),Main[[#This Row],[In Stock Date]]-Main[[#This Row],[Revised Due Date]],""))</f>
        <v/>
      </c>
      <c r="I914" s="139" t="s">
        <v>4</v>
      </c>
      <c r="J914" s="139" t="s">
        <v>4</v>
      </c>
      <c r="K914" s="139" t="s">
        <v>4</v>
      </c>
      <c r="L914" s="129"/>
      <c r="M914" s="114" t="str">
        <f>IF(Main[[#This Row],[Tech Start Date]]&lt;1/1/1990,"",IF(Main[[#This Row],[Class]]="C",WORKDAY(Main[[#This Row],[Tech Start Date]],9),IF(Main[[#This Row],[Class]]="B", WORKDAY(Main[[#This Row],[Tech Start Date]],6),IF(Main[[#This Row],[Class]]="A",WORKDAY(Main[[#This Row],[Tech Start Date]],2),""))))</f>
        <v/>
      </c>
      <c r="N914" s="114" t="str">
        <f>IF(Main[[#This Row],[Tech Start Date]]&lt;1/1/1990,"",IF(Main[[#This Row],[Class]]="C",WORKDAY(Main[[#This Row],[Tech Start Date]],19),IF(Main[[#This Row],[Class]]="B", WORKDAY(Main[[#This Row],[Tech Start Date]],12),IF(Main[[#This Row],[Class]]="A",WORKDAY(Main[[#This Row],[Tech Start Date]],4),""))))</f>
        <v/>
      </c>
      <c r="O914" s="114" t="str">
        <f>IF(Main[[#This Row],[Tech Start Date]]&lt;1/1/1990,"",IF(Main[[#This Row],[Class]]="C",WORKDAY(Main[[#This Row],[Tech Start Date]],23),IF(Main[[#This Row],[Class]]="B", WORKDAY(Main[[#This Row],[Tech Start Date]],15),IF(Main[[#This Row],[Class]]="A",WORKDAY(Main[[#This Row],[Tech Start Date]],5),""))))</f>
        <v/>
      </c>
      <c r="P914" s="114" t="str">
        <f>IF(Main[[#This Row],[Tech Start Date]]&lt;1/1/1990,"",IF(Main[[#This Row],[Class]]="C",WORKDAY(Main[[#This Row],[Tech Start Date]],28),IF(Main[[#This Row],[Class]]="B", WORKDAY(Main[[#This Row],[Tech Start Date]],19),IF(Main[[#This Row],[Class]]="A",WORKDAY(Main[[#This Row],[Tech Start Date]],9),""))))</f>
        <v/>
      </c>
      <c r="Q914" s="129"/>
      <c r="R914" s="129"/>
      <c r="S914" s="139" t="s">
        <v>6</v>
      </c>
      <c r="T914" s="115" t="s">
        <v>4</v>
      </c>
      <c r="U914" s="139" t="s">
        <v>7</v>
      </c>
      <c r="V914" s="139" t="s">
        <v>1915</v>
      </c>
      <c r="W914" s="139" t="s">
        <v>1916</v>
      </c>
      <c r="X914" s="139" t="s">
        <v>306</v>
      </c>
      <c r="Y914" s="112" t="s">
        <v>4</v>
      </c>
      <c r="Z914" s="112" t="s">
        <v>4</v>
      </c>
      <c r="AA914" s="139" t="s">
        <v>4</v>
      </c>
    </row>
    <row r="915" spans="1:27" ht="17.25" customHeight="1">
      <c r="A915" s="69" t="str">
        <f>IF(priority(Main[[#This Row],[Comments]])&lt;&gt;0, priority(Main[[#This Row],[Comments]]),"")</f>
        <v/>
      </c>
      <c r="B915" s="63" t="s">
        <v>1731</v>
      </c>
      <c r="C915" s="148" t="s">
        <v>4</v>
      </c>
      <c r="D915" s="113" t="s">
        <v>786</v>
      </c>
      <c r="E915" s="129">
        <v>40371.351643518516</v>
      </c>
      <c r="F915" s="129"/>
      <c r="G915" s="69" t="str">
        <f>IF(stdProdLT(Main[[#This Row],[Comments]])=0.1,"N/A",IF(stdProdLT(Main[[#This Row],[Comments]])=0,"",stdProdLT(Main[[#This Row],[Comments]])))</f>
        <v/>
      </c>
      <c r="H915" s="138" t="str">
        <f>IF(Main[[#This Row],[In Stock Date]]="N/A", "N/A",IF(AND(Main[[#This Row],[In Stock Date]]&lt;&gt;"",Main[[#This Row],[Revised Due Date]]&lt;&gt;"",Main[[#This Row],[In Stock Date]]&lt;&gt;""),Main[[#This Row],[In Stock Date]]-Main[[#This Row],[Revised Due Date]],""))</f>
        <v/>
      </c>
      <c r="I915" s="139" t="s">
        <v>4</v>
      </c>
      <c r="J915" s="139" t="s">
        <v>4</v>
      </c>
      <c r="K915" s="139" t="s">
        <v>4</v>
      </c>
      <c r="L915" s="129"/>
      <c r="M915" s="114" t="str">
        <f>IF(Main[[#This Row],[Tech Start Date]]&lt;1/1/1990,"",IF(Main[[#This Row],[Class]]="C",WORKDAY(Main[[#This Row],[Tech Start Date]],9),IF(Main[[#This Row],[Class]]="B", WORKDAY(Main[[#This Row],[Tech Start Date]],6),IF(Main[[#This Row],[Class]]="A",WORKDAY(Main[[#This Row],[Tech Start Date]],2),""))))</f>
        <v/>
      </c>
      <c r="N915" s="114" t="str">
        <f>IF(Main[[#This Row],[Tech Start Date]]&lt;1/1/1990,"",IF(Main[[#This Row],[Class]]="C",WORKDAY(Main[[#This Row],[Tech Start Date]],19),IF(Main[[#This Row],[Class]]="B", WORKDAY(Main[[#This Row],[Tech Start Date]],12),IF(Main[[#This Row],[Class]]="A",WORKDAY(Main[[#This Row],[Tech Start Date]],4),""))))</f>
        <v/>
      </c>
      <c r="O915" s="114" t="str">
        <f>IF(Main[[#This Row],[Tech Start Date]]&lt;1/1/1990,"",IF(Main[[#This Row],[Class]]="C",WORKDAY(Main[[#This Row],[Tech Start Date]],23),IF(Main[[#This Row],[Class]]="B", WORKDAY(Main[[#This Row],[Tech Start Date]],15),IF(Main[[#This Row],[Class]]="A",WORKDAY(Main[[#This Row],[Tech Start Date]],5),""))))</f>
        <v/>
      </c>
      <c r="P915" s="114" t="str">
        <f>IF(Main[[#This Row],[Tech Start Date]]&lt;1/1/1990,"",IF(Main[[#This Row],[Class]]="C",WORKDAY(Main[[#This Row],[Tech Start Date]],28),IF(Main[[#This Row],[Class]]="B", WORKDAY(Main[[#This Row],[Tech Start Date]],19),IF(Main[[#This Row],[Class]]="A",WORKDAY(Main[[#This Row],[Tech Start Date]],9),""))))</f>
        <v/>
      </c>
      <c r="Q915" s="129">
        <v>40385</v>
      </c>
      <c r="R915" s="129"/>
      <c r="S915" s="139" t="s">
        <v>6</v>
      </c>
      <c r="T915" s="115" t="s">
        <v>4</v>
      </c>
      <c r="U915" s="139" t="s">
        <v>7</v>
      </c>
      <c r="V915" s="139" t="s">
        <v>1914</v>
      </c>
      <c r="W915" s="139" t="s">
        <v>1916</v>
      </c>
      <c r="X915" s="139" t="s">
        <v>102</v>
      </c>
      <c r="Y915" s="112" t="s">
        <v>3032</v>
      </c>
      <c r="Z915" s="112" t="s">
        <v>4</v>
      </c>
      <c r="AA915" s="139" t="s">
        <v>3396</v>
      </c>
    </row>
    <row r="916" spans="1:27" ht="17.25" customHeight="1">
      <c r="A916" s="69" t="str">
        <f>IF(priority(Main[[#This Row],[Comments]])&lt;&gt;0, priority(Main[[#This Row],[Comments]]),"")</f>
        <v/>
      </c>
      <c r="B916" s="63" t="s">
        <v>1756</v>
      </c>
      <c r="C916" s="148" t="s">
        <v>4</v>
      </c>
      <c r="D916" s="113" t="s">
        <v>794</v>
      </c>
      <c r="E916" s="129"/>
      <c r="F916" s="129"/>
      <c r="G916" s="69" t="str">
        <f>IF(stdProdLT(Main[[#This Row],[Comments]])=0.1,"N/A",IF(stdProdLT(Main[[#This Row],[Comments]])=0,"",stdProdLT(Main[[#This Row],[Comments]])))</f>
        <v/>
      </c>
      <c r="H916" s="138" t="str">
        <f>IF(Main[[#This Row],[In Stock Date]]="N/A", "N/A",IF(AND(Main[[#This Row],[In Stock Date]]&lt;&gt;"",Main[[#This Row],[Revised Due Date]]&lt;&gt;"",Main[[#This Row],[In Stock Date]]&lt;&gt;""),Main[[#This Row],[In Stock Date]]-Main[[#This Row],[Revised Due Date]],""))</f>
        <v/>
      </c>
      <c r="I916" s="139" t="s">
        <v>4</v>
      </c>
      <c r="J916" s="139" t="s">
        <v>4</v>
      </c>
      <c r="K916" s="139" t="s">
        <v>4</v>
      </c>
      <c r="L916" s="129"/>
      <c r="M916" s="114" t="str">
        <f>IF(Main[[#This Row],[Tech Start Date]]&lt;1/1/1990,"",IF(Main[[#This Row],[Class]]="C",WORKDAY(Main[[#This Row],[Tech Start Date]],9),IF(Main[[#This Row],[Class]]="B", WORKDAY(Main[[#This Row],[Tech Start Date]],6),IF(Main[[#This Row],[Class]]="A",WORKDAY(Main[[#This Row],[Tech Start Date]],2),""))))</f>
        <v/>
      </c>
      <c r="N916" s="114" t="str">
        <f>IF(Main[[#This Row],[Tech Start Date]]&lt;1/1/1990,"",IF(Main[[#This Row],[Class]]="C",WORKDAY(Main[[#This Row],[Tech Start Date]],19),IF(Main[[#This Row],[Class]]="B", WORKDAY(Main[[#This Row],[Tech Start Date]],12),IF(Main[[#This Row],[Class]]="A",WORKDAY(Main[[#This Row],[Tech Start Date]],4),""))))</f>
        <v/>
      </c>
      <c r="O916" s="114" t="str">
        <f>IF(Main[[#This Row],[Tech Start Date]]&lt;1/1/1990,"",IF(Main[[#This Row],[Class]]="C",WORKDAY(Main[[#This Row],[Tech Start Date]],23),IF(Main[[#This Row],[Class]]="B", WORKDAY(Main[[#This Row],[Tech Start Date]],15),IF(Main[[#This Row],[Class]]="A",WORKDAY(Main[[#This Row],[Tech Start Date]],5),""))))</f>
        <v/>
      </c>
      <c r="P916" s="114" t="str">
        <f>IF(Main[[#This Row],[Tech Start Date]]&lt;1/1/1990,"",IF(Main[[#This Row],[Class]]="C",WORKDAY(Main[[#This Row],[Tech Start Date]],28),IF(Main[[#This Row],[Class]]="B", WORKDAY(Main[[#This Row],[Tech Start Date]],19),IF(Main[[#This Row],[Class]]="A",WORKDAY(Main[[#This Row],[Tech Start Date]],9),""))))</f>
        <v/>
      </c>
      <c r="Q916" s="129"/>
      <c r="R916" s="129"/>
      <c r="S916" s="139" t="s">
        <v>23</v>
      </c>
      <c r="T916" s="115" t="s">
        <v>4</v>
      </c>
      <c r="U916" s="139" t="s">
        <v>14</v>
      </c>
      <c r="V916" s="139" t="s">
        <v>1917</v>
      </c>
      <c r="W916" s="139" t="s">
        <v>1918</v>
      </c>
      <c r="X916" s="139" t="s">
        <v>306</v>
      </c>
      <c r="Y916" s="112" t="s">
        <v>4</v>
      </c>
      <c r="Z916" s="112" t="s">
        <v>4</v>
      </c>
      <c r="AA916" s="139" t="s">
        <v>4</v>
      </c>
    </row>
    <row r="917" spans="1:27" ht="17.25" customHeight="1">
      <c r="A917" s="69" t="str">
        <f>IF(priority(Main[[#This Row],[Comments]])&lt;&gt;0, priority(Main[[#This Row],[Comments]]),"")</f>
        <v/>
      </c>
      <c r="B917" s="63" t="s">
        <v>1757</v>
      </c>
      <c r="C917" s="148" t="s">
        <v>122</v>
      </c>
      <c r="D917" s="113" t="s">
        <v>795</v>
      </c>
      <c r="E917" s="129"/>
      <c r="F917" s="129"/>
      <c r="G917" s="69" t="str">
        <f>IF(stdProdLT(Main[[#This Row],[Comments]])=0.1,"N/A",IF(stdProdLT(Main[[#This Row],[Comments]])=0,"",stdProdLT(Main[[#This Row],[Comments]])))</f>
        <v/>
      </c>
      <c r="H917" s="138" t="str">
        <f>IF(Main[[#This Row],[In Stock Date]]="N/A", "N/A",IF(AND(Main[[#This Row],[In Stock Date]]&lt;&gt;"",Main[[#This Row],[Revised Due Date]]&lt;&gt;"",Main[[#This Row],[In Stock Date]]&lt;&gt;""),Main[[#This Row],[In Stock Date]]-Main[[#This Row],[Revised Due Date]],""))</f>
        <v/>
      </c>
      <c r="I917" s="139" t="s">
        <v>4</v>
      </c>
      <c r="J917" s="139" t="s">
        <v>4</v>
      </c>
      <c r="K917" s="139" t="s">
        <v>4</v>
      </c>
      <c r="L917" s="129"/>
      <c r="M917" s="114" t="str">
        <f>IF(Main[[#This Row],[Tech Start Date]]&lt;1/1/1990,"",IF(Main[[#This Row],[Class]]="C",WORKDAY(Main[[#This Row],[Tech Start Date]],9),IF(Main[[#This Row],[Class]]="B", WORKDAY(Main[[#This Row],[Tech Start Date]],6),IF(Main[[#This Row],[Class]]="A",WORKDAY(Main[[#This Row],[Tech Start Date]],2),""))))</f>
        <v/>
      </c>
      <c r="N917" s="114" t="str">
        <f>IF(Main[[#This Row],[Tech Start Date]]&lt;1/1/1990,"",IF(Main[[#This Row],[Class]]="C",WORKDAY(Main[[#This Row],[Tech Start Date]],19),IF(Main[[#This Row],[Class]]="B", WORKDAY(Main[[#This Row],[Tech Start Date]],12),IF(Main[[#This Row],[Class]]="A",WORKDAY(Main[[#This Row],[Tech Start Date]],4),""))))</f>
        <v/>
      </c>
      <c r="O917" s="114" t="str">
        <f>IF(Main[[#This Row],[Tech Start Date]]&lt;1/1/1990,"",IF(Main[[#This Row],[Class]]="C",WORKDAY(Main[[#This Row],[Tech Start Date]],23),IF(Main[[#This Row],[Class]]="B", WORKDAY(Main[[#This Row],[Tech Start Date]],15),IF(Main[[#This Row],[Class]]="A",WORKDAY(Main[[#This Row],[Tech Start Date]],5),""))))</f>
        <v/>
      </c>
      <c r="P917" s="114" t="str">
        <f>IF(Main[[#This Row],[Tech Start Date]]&lt;1/1/1990,"",IF(Main[[#This Row],[Class]]="C",WORKDAY(Main[[#This Row],[Tech Start Date]],28),IF(Main[[#This Row],[Class]]="B", WORKDAY(Main[[#This Row],[Tech Start Date]],19),IF(Main[[#This Row],[Class]]="A",WORKDAY(Main[[#This Row],[Tech Start Date]],9),""))))</f>
        <v/>
      </c>
      <c r="Q917" s="129">
        <v>40245</v>
      </c>
      <c r="R917" s="129"/>
      <c r="S917" s="139" t="s">
        <v>11</v>
      </c>
      <c r="T917" s="115" t="s">
        <v>4</v>
      </c>
      <c r="U917" s="139" t="s">
        <v>14</v>
      </c>
      <c r="V917" s="139" t="s">
        <v>1917</v>
      </c>
      <c r="W917" s="139" t="s">
        <v>1916</v>
      </c>
      <c r="X917" s="139" t="s">
        <v>2872</v>
      </c>
      <c r="Y917" s="112" t="s">
        <v>4</v>
      </c>
      <c r="Z917" s="112" t="s">
        <v>4</v>
      </c>
      <c r="AA917" s="139" t="s">
        <v>2872</v>
      </c>
    </row>
    <row r="918" spans="1:27" ht="17.25" customHeight="1">
      <c r="A918" s="69" t="str">
        <f>IF(priority(Main[[#This Row],[Comments]])&lt;&gt;0, priority(Main[[#This Row],[Comments]]),"")</f>
        <v/>
      </c>
      <c r="B918" s="63" t="s">
        <v>1733</v>
      </c>
      <c r="C918" s="148" t="s">
        <v>4</v>
      </c>
      <c r="D918" s="113" t="s">
        <v>787</v>
      </c>
      <c r="E918" s="129"/>
      <c r="F918" s="129"/>
      <c r="G918" s="69" t="str">
        <f>IF(stdProdLT(Main[[#This Row],[Comments]])=0.1,"N/A",IF(stdProdLT(Main[[#This Row],[Comments]])=0,"",stdProdLT(Main[[#This Row],[Comments]])))</f>
        <v/>
      </c>
      <c r="H918" s="138" t="str">
        <f>IF(Main[[#This Row],[In Stock Date]]="N/A", "N/A",IF(AND(Main[[#This Row],[In Stock Date]]&lt;&gt;"",Main[[#This Row],[Revised Due Date]]&lt;&gt;"",Main[[#This Row],[In Stock Date]]&lt;&gt;""),Main[[#This Row],[In Stock Date]]-Main[[#This Row],[Revised Due Date]],""))</f>
        <v/>
      </c>
      <c r="I918" s="139" t="s">
        <v>4</v>
      </c>
      <c r="J918" s="139" t="s">
        <v>28</v>
      </c>
      <c r="K918" s="140" t="s">
        <v>4</v>
      </c>
      <c r="L918" s="129"/>
      <c r="M918" s="114" t="str">
        <f>IF(Main[[#This Row],[Tech Start Date]]&lt;1/1/1990,"",IF(Main[[#This Row],[Class]]="C",WORKDAY(Main[[#This Row],[Tech Start Date]],9),IF(Main[[#This Row],[Class]]="B", WORKDAY(Main[[#This Row],[Tech Start Date]],6),IF(Main[[#This Row],[Class]]="A",WORKDAY(Main[[#This Row],[Tech Start Date]],2),""))))</f>
        <v/>
      </c>
      <c r="N918" s="114" t="str">
        <f>IF(Main[[#This Row],[Tech Start Date]]&lt;1/1/1990,"",IF(Main[[#This Row],[Class]]="C",WORKDAY(Main[[#This Row],[Tech Start Date]],19),IF(Main[[#This Row],[Class]]="B", WORKDAY(Main[[#This Row],[Tech Start Date]],12),IF(Main[[#This Row],[Class]]="A",WORKDAY(Main[[#This Row],[Tech Start Date]],4),""))))</f>
        <v/>
      </c>
      <c r="O918" s="114" t="str">
        <f>IF(Main[[#This Row],[Tech Start Date]]&lt;1/1/1990,"",IF(Main[[#This Row],[Class]]="C",WORKDAY(Main[[#This Row],[Tech Start Date]],23),IF(Main[[#This Row],[Class]]="B", WORKDAY(Main[[#This Row],[Tech Start Date]],15),IF(Main[[#This Row],[Class]]="A",WORKDAY(Main[[#This Row],[Tech Start Date]],5),""))))</f>
        <v/>
      </c>
      <c r="P918" s="114" t="str">
        <f>IF(Main[[#This Row],[Tech Start Date]]&lt;1/1/1990,"",IF(Main[[#This Row],[Class]]="C",WORKDAY(Main[[#This Row],[Tech Start Date]],28),IF(Main[[#This Row],[Class]]="B", WORKDAY(Main[[#This Row],[Tech Start Date]],19),IF(Main[[#This Row],[Class]]="A",WORKDAY(Main[[#This Row],[Tech Start Date]],9),""))))</f>
        <v/>
      </c>
      <c r="Q918" s="129">
        <v>40466</v>
      </c>
      <c r="R918" s="129"/>
      <c r="S918" s="139" t="s">
        <v>6</v>
      </c>
      <c r="T918" s="115" t="s">
        <v>4</v>
      </c>
      <c r="U918" s="139" t="s">
        <v>14</v>
      </c>
      <c r="V918" s="139" t="s">
        <v>1914</v>
      </c>
      <c r="W918" s="139" t="s">
        <v>1918</v>
      </c>
      <c r="X918" s="139" t="s">
        <v>907</v>
      </c>
      <c r="Y918" s="112" t="s">
        <v>3017</v>
      </c>
      <c r="Z918" s="112" t="s">
        <v>129</v>
      </c>
      <c r="AA918" s="139" t="s">
        <v>907</v>
      </c>
    </row>
    <row r="919" spans="1:27" ht="17.25" customHeight="1">
      <c r="A919" s="69" t="str">
        <f>IF(priority(Main[[#This Row],[Comments]])&lt;&gt;0, priority(Main[[#This Row],[Comments]]),"")</f>
        <v/>
      </c>
      <c r="B919" s="63" t="s">
        <v>3333</v>
      </c>
      <c r="C919" s="148" t="s">
        <v>4</v>
      </c>
      <c r="D919" s="113" t="s">
        <v>3614</v>
      </c>
      <c r="E919" s="129">
        <v>40938.727824074071</v>
      </c>
      <c r="F919" s="129"/>
      <c r="G919" s="69" t="str">
        <f>IF(stdProdLT(Main[[#This Row],[Comments]])=0.1,"N/A",IF(stdProdLT(Main[[#This Row],[Comments]])=0,"",stdProdLT(Main[[#This Row],[Comments]])))</f>
        <v/>
      </c>
      <c r="H919" s="138" t="str">
        <f>IF(Main[[#This Row],[In Stock Date]]="N/A", "N/A",IF(AND(Main[[#This Row],[In Stock Date]]&lt;&gt;"",Main[[#This Row],[Revised Due Date]]&lt;&gt;"",Main[[#This Row],[In Stock Date]]&lt;&gt;""),Main[[#This Row],[In Stock Date]]-Main[[#This Row],[Revised Due Date]],""))</f>
        <v/>
      </c>
      <c r="I919" s="139" t="s">
        <v>81</v>
      </c>
      <c r="J919" s="139" t="s">
        <v>52</v>
      </c>
      <c r="K919" s="139" t="s">
        <v>1923</v>
      </c>
      <c r="L919" s="129"/>
      <c r="M919" s="114" t="str">
        <f>IF(Main[[#This Row],[Tech Start Date]]&lt;1/1/1990,"",IF(Main[[#This Row],[Class]]="C",WORKDAY(Main[[#This Row],[Tech Start Date]],9),IF(Main[[#This Row],[Class]]="B", WORKDAY(Main[[#This Row],[Tech Start Date]],6),IF(Main[[#This Row],[Class]]="A",WORKDAY(Main[[#This Row],[Tech Start Date]],2),""))))</f>
        <v/>
      </c>
      <c r="N919" s="114" t="str">
        <f>IF(Main[[#This Row],[Tech Start Date]]&lt;1/1/1990,"",IF(Main[[#This Row],[Class]]="C",WORKDAY(Main[[#This Row],[Tech Start Date]],19),IF(Main[[#This Row],[Class]]="B", WORKDAY(Main[[#This Row],[Tech Start Date]],12),IF(Main[[#This Row],[Class]]="A",WORKDAY(Main[[#This Row],[Tech Start Date]],4),""))))</f>
        <v/>
      </c>
      <c r="O919" s="114" t="str">
        <f>IF(Main[[#This Row],[Tech Start Date]]&lt;1/1/1990,"",IF(Main[[#This Row],[Class]]="C",WORKDAY(Main[[#This Row],[Tech Start Date]],23),IF(Main[[#This Row],[Class]]="B", WORKDAY(Main[[#This Row],[Tech Start Date]],15),IF(Main[[#This Row],[Class]]="A",WORKDAY(Main[[#This Row],[Tech Start Date]],5),""))))</f>
        <v/>
      </c>
      <c r="P919" s="114" t="str">
        <f>IF(Main[[#This Row],[Tech Start Date]]&lt;1/1/1990,"",IF(Main[[#This Row],[Class]]="C",WORKDAY(Main[[#This Row],[Tech Start Date]],28),IF(Main[[#This Row],[Class]]="B", WORKDAY(Main[[#This Row],[Tech Start Date]],19),IF(Main[[#This Row],[Class]]="A",WORKDAY(Main[[#This Row],[Tech Start Date]],9),""))))</f>
        <v/>
      </c>
      <c r="Q919" s="129">
        <v>40970</v>
      </c>
      <c r="R919" s="129"/>
      <c r="S919" s="139" t="s">
        <v>6</v>
      </c>
      <c r="T919" s="115" t="s">
        <v>4</v>
      </c>
      <c r="U919" s="139" t="s">
        <v>29</v>
      </c>
      <c r="V919" s="139" t="s">
        <v>1917</v>
      </c>
      <c r="W919" s="139" t="s">
        <v>1918</v>
      </c>
      <c r="X919" s="139" t="s">
        <v>2819</v>
      </c>
      <c r="Y919" s="112" t="s">
        <v>2932</v>
      </c>
      <c r="Z919" s="112" t="s">
        <v>30</v>
      </c>
      <c r="AA919" s="139" t="s">
        <v>2819</v>
      </c>
    </row>
    <row r="920" spans="1:27" ht="17.25" customHeight="1">
      <c r="A920" s="69" t="str">
        <f>IF(priority(Main[[#This Row],[Comments]])&lt;&gt;0, priority(Main[[#This Row],[Comments]]),"")</f>
        <v/>
      </c>
      <c r="B920" s="63" t="s">
        <v>1736</v>
      </c>
      <c r="C920" s="148" t="s">
        <v>4</v>
      </c>
      <c r="D920" s="113" t="s">
        <v>430</v>
      </c>
      <c r="E920" s="129"/>
      <c r="F920" s="129"/>
      <c r="G920" s="69" t="str">
        <f>IF(stdProdLT(Main[[#This Row],[Comments]])=0.1,"N/A",IF(stdProdLT(Main[[#This Row],[Comments]])=0,"",stdProdLT(Main[[#This Row],[Comments]])))</f>
        <v/>
      </c>
      <c r="H920" s="138" t="str">
        <f>IF(Main[[#This Row],[In Stock Date]]="N/A", "N/A",IF(AND(Main[[#This Row],[In Stock Date]]&lt;&gt;"",Main[[#This Row],[Revised Due Date]]&lt;&gt;"",Main[[#This Row],[In Stock Date]]&lt;&gt;""),Main[[#This Row],[In Stock Date]]-Main[[#This Row],[Revised Due Date]],""))</f>
        <v/>
      </c>
      <c r="I920" s="139" t="s">
        <v>4</v>
      </c>
      <c r="J920" s="139" t="s">
        <v>4</v>
      </c>
      <c r="K920" s="140" t="s">
        <v>4</v>
      </c>
      <c r="L920" s="129"/>
      <c r="M920" s="114" t="str">
        <f>IF(Main[[#This Row],[Tech Start Date]]&lt;1/1/1990,"",IF(Main[[#This Row],[Class]]="C",WORKDAY(Main[[#This Row],[Tech Start Date]],9),IF(Main[[#This Row],[Class]]="B", WORKDAY(Main[[#This Row],[Tech Start Date]],6),IF(Main[[#This Row],[Class]]="A",WORKDAY(Main[[#This Row],[Tech Start Date]],2),""))))</f>
        <v/>
      </c>
      <c r="N920" s="114" t="str">
        <f>IF(Main[[#This Row],[Tech Start Date]]&lt;1/1/1990,"",IF(Main[[#This Row],[Class]]="C",WORKDAY(Main[[#This Row],[Tech Start Date]],19),IF(Main[[#This Row],[Class]]="B", WORKDAY(Main[[#This Row],[Tech Start Date]],12),IF(Main[[#This Row],[Class]]="A",WORKDAY(Main[[#This Row],[Tech Start Date]],4),""))))</f>
        <v/>
      </c>
      <c r="O920" s="114" t="str">
        <f>IF(Main[[#This Row],[Tech Start Date]]&lt;1/1/1990,"",IF(Main[[#This Row],[Class]]="C",WORKDAY(Main[[#This Row],[Tech Start Date]],23),IF(Main[[#This Row],[Class]]="B", WORKDAY(Main[[#This Row],[Tech Start Date]],15),IF(Main[[#This Row],[Class]]="A",WORKDAY(Main[[#This Row],[Tech Start Date]],5),""))))</f>
        <v/>
      </c>
      <c r="P920" s="114" t="str">
        <f>IF(Main[[#This Row],[Tech Start Date]]&lt;1/1/1990,"",IF(Main[[#This Row],[Class]]="C",WORKDAY(Main[[#This Row],[Tech Start Date]],28),IF(Main[[#This Row],[Class]]="B", WORKDAY(Main[[#This Row],[Tech Start Date]],19),IF(Main[[#This Row],[Class]]="A",WORKDAY(Main[[#This Row],[Tech Start Date]],9),""))))</f>
        <v/>
      </c>
      <c r="Q920" s="129"/>
      <c r="R920" s="129"/>
      <c r="S920" s="139" t="s">
        <v>6</v>
      </c>
      <c r="T920" s="115" t="s">
        <v>4</v>
      </c>
      <c r="U920" s="139" t="s">
        <v>14</v>
      </c>
      <c r="V920" s="139" t="s">
        <v>1917</v>
      </c>
      <c r="W920" s="139" t="s">
        <v>1918</v>
      </c>
      <c r="X920" s="139" t="s">
        <v>30</v>
      </c>
      <c r="Y920" s="112" t="s">
        <v>2957</v>
      </c>
      <c r="Z920" s="112" t="s">
        <v>4</v>
      </c>
      <c r="AA920" s="139" t="s">
        <v>30</v>
      </c>
    </row>
    <row r="921" spans="1:27" ht="17.25" customHeight="1">
      <c r="A921" s="69" t="str">
        <f>IF(priority(Main[[#This Row],[Comments]])&lt;&gt;0, priority(Main[[#This Row],[Comments]]),"")</f>
        <v/>
      </c>
      <c r="B921" s="63" t="s">
        <v>1737</v>
      </c>
      <c r="C921" s="148" t="s">
        <v>436</v>
      </c>
      <c r="D921" s="113" t="s">
        <v>789</v>
      </c>
      <c r="E921" s="129"/>
      <c r="F921" s="129"/>
      <c r="G921" s="69" t="str">
        <f>IF(stdProdLT(Main[[#This Row],[Comments]])=0.1,"N/A",IF(stdProdLT(Main[[#This Row],[Comments]])=0,"",stdProdLT(Main[[#This Row],[Comments]])))</f>
        <v/>
      </c>
      <c r="H921" s="138" t="str">
        <f>IF(Main[[#This Row],[In Stock Date]]="N/A", "N/A",IF(AND(Main[[#This Row],[In Stock Date]]&lt;&gt;"",Main[[#This Row],[Revised Due Date]]&lt;&gt;"",Main[[#This Row],[In Stock Date]]&lt;&gt;""),Main[[#This Row],[In Stock Date]]-Main[[#This Row],[Revised Due Date]],""))</f>
        <v/>
      </c>
      <c r="I921" s="139" t="s">
        <v>4</v>
      </c>
      <c r="J921" s="139" t="s">
        <v>4</v>
      </c>
      <c r="K921" s="140" t="s">
        <v>4</v>
      </c>
      <c r="L921" s="129"/>
      <c r="M921" s="114" t="str">
        <f>IF(Main[[#This Row],[Tech Start Date]]&lt;1/1/1990,"",IF(Main[[#This Row],[Class]]="C",WORKDAY(Main[[#This Row],[Tech Start Date]],9),IF(Main[[#This Row],[Class]]="B", WORKDAY(Main[[#This Row],[Tech Start Date]],6),IF(Main[[#This Row],[Class]]="A",WORKDAY(Main[[#This Row],[Tech Start Date]],2),""))))</f>
        <v/>
      </c>
      <c r="N921" s="114" t="str">
        <f>IF(Main[[#This Row],[Tech Start Date]]&lt;1/1/1990,"",IF(Main[[#This Row],[Class]]="C",WORKDAY(Main[[#This Row],[Tech Start Date]],19),IF(Main[[#This Row],[Class]]="B", WORKDAY(Main[[#This Row],[Tech Start Date]],12),IF(Main[[#This Row],[Class]]="A",WORKDAY(Main[[#This Row],[Tech Start Date]],4),""))))</f>
        <v/>
      </c>
      <c r="O921" s="114" t="str">
        <f>IF(Main[[#This Row],[Tech Start Date]]&lt;1/1/1990,"",IF(Main[[#This Row],[Class]]="C",WORKDAY(Main[[#This Row],[Tech Start Date]],23),IF(Main[[#This Row],[Class]]="B", WORKDAY(Main[[#This Row],[Tech Start Date]],15),IF(Main[[#This Row],[Class]]="A",WORKDAY(Main[[#This Row],[Tech Start Date]],5),""))))</f>
        <v/>
      </c>
      <c r="P921" s="114" t="str">
        <f>IF(Main[[#This Row],[Tech Start Date]]&lt;1/1/1990,"",IF(Main[[#This Row],[Class]]="C",WORKDAY(Main[[#This Row],[Tech Start Date]],28),IF(Main[[#This Row],[Class]]="B", WORKDAY(Main[[#This Row],[Tech Start Date]],19),IF(Main[[#This Row],[Class]]="A",WORKDAY(Main[[#This Row],[Tech Start Date]],9),""))))</f>
        <v/>
      </c>
      <c r="Q921" s="129"/>
      <c r="R921" s="129"/>
      <c r="S921" s="139" t="s">
        <v>11</v>
      </c>
      <c r="T921" s="115" t="s">
        <v>4</v>
      </c>
      <c r="U921" s="139" t="s">
        <v>14</v>
      </c>
      <c r="V921" s="139" t="s">
        <v>1914</v>
      </c>
      <c r="W921" s="139" t="s">
        <v>1922</v>
      </c>
      <c r="X921" s="139" t="s">
        <v>2853</v>
      </c>
      <c r="Y921" s="112" t="s">
        <v>2991</v>
      </c>
      <c r="Z921" s="112" t="s">
        <v>4</v>
      </c>
      <c r="AA921" s="139" t="s">
        <v>2853</v>
      </c>
    </row>
    <row r="922" spans="1:27" ht="17.25" customHeight="1">
      <c r="A922" s="69" t="str">
        <f>IF(priority(Main[[#This Row],[Comments]])&lt;&gt;0, priority(Main[[#This Row],[Comments]]),"")</f>
        <v/>
      </c>
      <c r="B922" s="63" t="s">
        <v>1738</v>
      </c>
      <c r="C922" s="148" t="s">
        <v>4</v>
      </c>
      <c r="D922" s="113" t="s">
        <v>790</v>
      </c>
      <c r="E922" s="129">
        <v>40479.428263888891</v>
      </c>
      <c r="F922" s="129"/>
      <c r="G922" s="69" t="str">
        <f>IF(stdProdLT(Main[[#This Row],[Comments]])=0.1,"N/A",IF(stdProdLT(Main[[#This Row],[Comments]])=0,"",stdProdLT(Main[[#This Row],[Comments]])))</f>
        <v/>
      </c>
      <c r="H922" s="138" t="str">
        <f>IF(Main[[#This Row],[In Stock Date]]="N/A", "N/A",IF(AND(Main[[#This Row],[In Stock Date]]&lt;&gt;"",Main[[#This Row],[Revised Due Date]]&lt;&gt;"",Main[[#This Row],[In Stock Date]]&lt;&gt;""),Main[[#This Row],[In Stock Date]]-Main[[#This Row],[Revised Due Date]],""))</f>
        <v/>
      </c>
      <c r="I922" s="139" t="s">
        <v>30</v>
      </c>
      <c r="J922" s="139" t="s">
        <v>28</v>
      </c>
      <c r="K922" s="140" t="s">
        <v>1923</v>
      </c>
      <c r="L922" s="129"/>
      <c r="M922" s="114" t="str">
        <f>IF(Main[[#This Row],[Tech Start Date]]&lt;1/1/1990,"",IF(Main[[#This Row],[Class]]="C",WORKDAY(Main[[#This Row],[Tech Start Date]],9),IF(Main[[#This Row],[Class]]="B", WORKDAY(Main[[#This Row],[Tech Start Date]],6),IF(Main[[#This Row],[Class]]="A",WORKDAY(Main[[#This Row],[Tech Start Date]],2),""))))</f>
        <v/>
      </c>
      <c r="N922" s="114" t="str">
        <f>IF(Main[[#This Row],[Tech Start Date]]&lt;1/1/1990,"",IF(Main[[#This Row],[Class]]="C",WORKDAY(Main[[#This Row],[Tech Start Date]],19),IF(Main[[#This Row],[Class]]="B", WORKDAY(Main[[#This Row],[Tech Start Date]],12),IF(Main[[#This Row],[Class]]="A",WORKDAY(Main[[#This Row],[Tech Start Date]],4),""))))</f>
        <v/>
      </c>
      <c r="O922" s="114" t="str">
        <f>IF(Main[[#This Row],[Tech Start Date]]&lt;1/1/1990,"",IF(Main[[#This Row],[Class]]="C",WORKDAY(Main[[#This Row],[Tech Start Date]],23),IF(Main[[#This Row],[Class]]="B", WORKDAY(Main[[#This Row],[Tech Start Date]],15),IF(Main[[#This Row],[Class]]="A",WORKDAY(Main[[#This Row],[Tech Start Date]],5),""))))</f>
        <v/>
      </c>
      <c r="P922" s="114" t="str">
        <f>IF(Main[[#This Row],[Tech Start Date]]&lt;1/1/1990,"",IF(Main[[#This Row],[Class]]="C",WORKDAY(Main[[#This Row],[Tech Start Date]],28),IF(Main[[#This Row],[Class]]="B", WORKDAY(Main[[#This Row],[Tech Start Date]],19),IF(Main[[#This Row],[Class]]="A",WORKDAY(Main[[#This Row],[Tech Start Date]],9),""))))</f>
        <v/>
      </c>
      <c r="Q922" s="129">
        <v>40512</v>
      </c>
      <c r="R922" s="129"/>
      <c r="S922" s="139" t="s">
        <v>6</v>
      </c>
      <c r="T922" s="115" t="s">
        <v>4</v>
      </c>
      <c r="U922" s="139" t="s">
        <v>534</v>
      </c>
      <c r="V922" s="139" t="s">
        <v>1917</v>
      </c>
      <c r="W922" s="139" t="s">
        <v>1918</v>
      </c>
      <c r="X922" s="139" t="s">
        <v>2891</v>
      </c>
      <c r="Y922" s="112" t="s">
        <v>3102</v>
      </c>
      <c r="Z922" s="112" t="s">
        <v>30</v>
      </c>
      <c r="AA922" s="139" t="s">
        <v>2891</v>
      </c>
    </row>
    <row r="923" spans="1:27" ht="17.25" customHeight="1">
      <c r="A923" s="69" t="str">
        <f>IF(priority(Main[[#This Row],[Comments]])&lt;&gt;0, priority(Main[[#This Row],[Comments]]),"")</f>
        <v/>
      </c>
      <c r="B923" s="63" t="s">
        <v>1739</v>
      </c>
      <c r="C923" s="148" t="s">
        <v>4</v>
      </c>
      <c r="D923" s="113" t="s">
        <v>39</v>
      </c>
      <c r="E923" s="129"/>
      <c r="F923" s="129"/>
      <c r="G923" s="69" t="str">
        <f>IF(stdProdLT(Main[[#This Row],[Comments]])=0.1,"N/A",IF(stdProdLT(Main[[#This Row],[Comments]])=0,"",stdProdLT(Main[[#This Row],[Comments]])))</f>
        <v/>
      </c>
      <c r="H923" s="138" t="str">
        <f>IF(Main[[#This Row],[In Stock Date]]="N/A", "N/A",IF(AND(Main[[#This Row],[In Stock Date]]&lt;&gt;"",Main[[#This Row],[Revised Due Date]]&lt;&gt;"",Main[[#This Row],[In Stock Date]]&lt;&gt;""),Main[[#This Row],[In Stock Date]]-Main[[#This Row],[Revised Due Date]],""))</f>
        <v/>
      </c>
      <c r="I923" s="139" t="s">
        <v>4</v>
      </c>
      <c r="J923" s="139" t="s">
        <v>4</v>
      </c>
      <c r="K923" s="139" t="s">
        <v>4</v>
      </c>
      <c r="L923" s="129"/>
      <c r="M923" s="114" t="str">
        <f>IF(Main[[#This Row],[Tech Start Date]]&lt;1/1/1990,"",IF(Main[[#This Row],[Class]]="C",WORKDAY(Main[[#This Row],[Tech Start Date]],9),IF(Main[[#This Row],[Class]]="B", WORKDAY(Main[[#This Row],[Tech Start Date]],6),IF(Main[[#This Row],[Class]]="A",WORKDAY(Main[[#This Row],[Tech Start Date]],2),""))))</f>
        <v/>
      </c>
      <c r="N923" s="114" t="str">
        <f>IF(Main[[#This Row],[Tech Start Date]]&lt;1/1/1990,"",IF(Main[[#This Row],[Class]]="C",WORKDAY(Main[[#This Row],[Tech Start Date]],19),IF(Main[[#This Row],[Class]]="B", WORKDAY(Main[[#This Row],[Tech Start Date]],12),IF(Main[[#This Row],[Class]]="A",WORKDAY(Main[[#This Row],[Tech Start Date]],4),""))))</f>
        <v/>
      </c>
      <c r="O923" s="114" t="str">
        <f>IF(Main[[#This Row],[Tech Start Date]]&lt;1/1/1990,"",IF(Main[[#This Row],[Class]]="C",WORKDAY(Main[[#This Row],[Tech Start Date]],23),IF(Main[[#This Row],[Class]]="B", WORKDAY(Main[[#This Row],[Tech Start Date]],15),IF(Main[[#This Row],[Class]]="A",WORKDAY(Main[[#This Row],[Tech Start Date]],5),""))))</f>
        <v/>
      </c>
      <c r="P923" s="114" t="str">
        <f>IF(Main[[#This Row],[Tech Start Date]]&lt;1/1/1990,"",IF(Main[[#This Row],[Class]]="C",WORKDAY(Main[[#This Row],[Tech Start Date]],28),IF(Main[[#This Row],[Class]]="B", WORKDAY(Main[[#This Row],[Tech Start Date]],19),IF(Main[[#This Row],[Class]]="A",WORKDAY(Main[[#This Row],[Tech Start Date]],9),""))))</f>
        <v/>
      </c>
      <c r="Q923" s="129">
        <v>40669</v>
      </c>
      <c r="R923" s="129"/>
      <c r="S923" s="139" t="s">
        <v>6</v>
      </c>
      <c r="T923" s="115" t="s">
        <v>4</v>
      </c>
      <c r="U923" s="139" t="s">
        <v>14</v>
      </c>
      <c r="V923" s="139" t="s">
        <v>1917</v>
      </c>
      <c r="W923" s="139" t="s">
        <v>4</v>
      </c>
      <c r="X923" s="139" t="s">
        <v>2818</v>
      </c>
      <c r="Y923" s="112" t="s">
        <v>2929</v>
      </c>
      <c r="Z923" s="112" t="s">
        <v>4</v>
      </c>
      <c r="AA923" s="139" t="s">
        <v>2818</v>
      </c>
    </row>
    <row r="924" spans="1:27" ht="17.25" customHeight="1">
      <c r="A924" s="69" t="str">
        <f>IF(priority(Main[[#This Row],[Comments]])&lt;&gt;0, priority(Main[[#This Row],[Comments]]),"")</f>
        <v/>
      </c>
      <c r="B924" s="63" t="s">
        <v>1740</v>
      </c>
      <c r="C924" s="148" t="s">
        <v>4</v>
      </c>
      <c r="D924" s="113" t="s">
        <v>791</v>
      </c>
      <c r="E924" s="129"/>
      <c r="F924" s="129"/>
      <c r="G924" s="69" t="str">
        <f>IF(stdProdLT(Main[[#This Row],[Comments]])=0.1,"N/A",IF(stdProdLT(Main[[#This Row],[Comments]])=0,"",stdProdLT(Main[[#This Row],[Comments]])))</f>
        <v/>
      </c>
      <c r="H924" s="138" t="str">
        <f>IF(Main[[#This Row],[In Stock Date]]="N/A", "N/A",IF(AND(Main[[#This Row],[In Stock Date]]&lt;&gt;"",Main[[#This Row],[Revised Due Date]]&lt;&gt;"",Main[[#This Row],[In Stock Date]]&lt;&gt;""),Main[[#This Row],[In Stock Date]]-Main[[#This Row],[Revised Due Date]],""))</f>
        <v/>
      </c>
      <c r="I924" s="139" t="s">
        <v>4</v>
      </c>
      <c r="J924" s="139" t="s">
        <v>4</v>
      </c>
      <c r="K924" s="139" t="s">
        <v>4</v>
      </c>
      <c r="L924" s="129"/>
      <c r="M924" s="114" t="str">
        <f>IF(Main[[#This Row],[Tech Start Date]]&lt;1/1/1990,"",IF(Main[[#This Row],[Class]]="C",WORKDAY(Main[[#This Row],[Tech Start Date]],9),IF(Main[[#This Row],[Class]]="B", WORKDAY(Main[[#This Row],[Tech Start Date]],6),IF(Main[[#This Row],[Class]]="A",WORKDAY(Main[[#This Row],[Tech Start Date]],2),""))))</f>
        <v/>
      </c>
      <c r="N924" s="114" t="str">
        <f>IF(Main[[#This Row],[Tech Start Date]]&lt;1/1/1990,"",IF(Main[[#This Row],[Class]]="C",WORKDAY(Main[[#This Row],[Tech Start Date]],19),IF(Main[[#This Row],[Class]]="B", WORKDAY(Main[[#This Row],[Tech Start Date]],12),IF(Main[[#This Row],[Class]]="A",WORKDAY(Main[[#This Row],[Tech Start Date]],4),""))))</f>
        <v/>
      </c>
      <c r="O924" s="114" t="str">
        <f>IF(Main[[#This Row],[Tech Start Date]]&lt;1/1/1990,"",IF(Main[[#This Row],[Class]]="C",WORKDAY(Main[[#This Row],[Tech Start Date]],23),IF(Main[[#This Row],[Class]]="B", WORKDAY(Main[[#This Row],[Tech Start Date]],15),IF(Main[[#This Row],[Class]]="A",WORKDAY(Main[[#This Row],[Tech Start Date]],5),""))))</f>
        <v/>
      </c>
      <c r="P924" s="114" t="str">
        <f>IF(Main[[#This Row],[Tech Start Date]]&lt;1/1/1990,"",IF(Main[[#This Row],[Class]]="C",WORKDAY(Main[[#This Row],[Tech Start Date]],28),IF(Main[[#This Row],[Class]]="B", WORKDAY(Main[[#This Row],[Tech Start Date]],19),IF(Main[[#This Row],[Class]]="A",WORKDAY(Main[[#This Row],[Tech Start Date]],9),""))))</f>
        <v/>
      </c>
      <c r="Q924" s="129"/>
      <c r="R924" s="129"/>
      <c r="S924" s="139" t="s">
        <v>17</v>
      </c>
      <c r="T924" s="115" t="s">
        <v>4</v>
      </c>
      <c r="U924" s="139" t="s">
        <v>14</v>
      </c>
      <c r="V924" s="139" t="s">
        <v>1917</v>
      </c>
      <c r="W924" s="139" t="s">
        <v>4</v>
      </c>
      <c r="X924" s="139" t="s">
        <v>306</v>
      </c>
      <c r="Y924" s="112" t="s">
        <v>4</v>
      </c>
      <c r="Z924" s="112" t="s">
        <v>4</v>
      </c>
      <c r="AA924" s="139" t="s">
        <v>652</v>
      </c>
    </row>
    <row r="925" spans="1:27" ht="17.25" customHeight="1">
      <c r="A925" s="69" t="str">
        <f>IF(priority(Main[[#This Row],[Comments]])&lt;&gt;0, priority(Main[[#This Row],[Comments]]),"")</f>
        <v/>
      </c>
      <c r="B925" s="63" t="s">
        <v>1488</v>
      </c>
      <c r="C925" s="148" t="s">
        <v>37</v>
      </c>
      <c r="D925" s="113" t="s">
        <v>2390</v>
      </c>
      <c r="E925" s="129">
        <v>40682.490115740744</v>
      </c>
      <c r="F925" s="129"/>
      <c r="G925" s="69" t="str">
        <f>IF(stdProdLT(Main[[#This Row],[Comments]])=0.1,"N/A",IF(stdProdLT(Main[[#This Row],[Comments]])=0,"",stdProdLT(Main[[#This Row],[Comments]])))</f>
        <v/>
      </c>
      <c r="H925" s="138" t="str">
        <f>IF(Main[[#This Row],[In Stock Date]]="N/A", "N/A",IF(AND(Main[[#This Row],[In Stock Date]]&lt;&gt;"",Main[[#This Row],[Revised Due Date]]&lt;&gt;"",Main[[#This Row],[In Stock Date]]&lt;&gt;""),Main[[#This Row],[In Stock Date]]-Main[[#This Row],[Revised Due Date]],""))</f>
        <v/>
      </c>
      <c r="I925" s="139" t="s">
        <v>4</v>
      </c>
      <c r="J925" s="139" t="s">
        <v>4</v>
      </c>
      <c r="K925" s="139" t="s">
        <v>4</v>
      </c>
      <c r="L925" s="129"/>
      <c r="M925" s="114" t="str">
        <f>IF(Main[[#This Row],[Tech Start Date]]&lt;1/1/1990,"",IF(Main[[#This Row],[Class]]="C",WORKDAY(Main[[#This Row],[Tech Start Date]],9),IF(Main[[#This Row],[Class]]="B", WORKDAY(Main[[#This Row],[Tech Start Date]],6),IF(Main[[#This Row],[Class]]="A",WORKDAY(Main[[#This Row],[Tech Start Date]],2),""))))</f>
        <v/>
      </c>
      <c r="N925" s="114" t="str">
        <f>IF(Main[[#This Row],[Tech Start Date]]&lt;1/1/1990,"",IF(Main[[#This Row],[Class]]="C",WORKDAY(Main[[#This Row],[Tech Start Date]],19),IF(Main[[#This Row],[Class]]="B", WORKDAY(Main[[#This Row],[Tech Start Date]],12),IF(Main[[#This Row],[Class]]="A",WORKDAY(Main[[#This Row],[Tech Start Date]],4),""))))</f>
        <v/>
      </c>
      <c r="O925" s="114" t="str">
        <f>IF(Main[[#This Row],[Tech Start Date]]&lt;1/1/1990,"",IF(Main[[#This Row],[Class]]="C",WORKDAY(Main[[#This Row],[Tech Start Date]],23),IF(Main[[#This Row],[Class]]="B", WORKDAY(Main[[#This Row],[Tech Start Date]],15),IF(Main[[#This Row],[Class]]="A",WORKDAY(Main[[#This Row],[Tech Start Date]],5),""))))</f>
        <v/>
      </c>
      <c r="P925" s="114" t="str">
        <f>IF(Main[[#This Row],[Tech Start Date]]&lt;1/1/1990,"",IF(Main[[#This Row],[Class]]="C",WORKDAY(Main[[#This Row],[Tech Start Date]],28),IF(Main[[#This Row],[Class]]="B", WORKDAY(Main[[#This Row],[Tech Start Date]],19),IF(Main[[#This Row],[Class]]="A",WORKDAY(Main[[#This Row],[Tech Start Date]],9),""))))</f>
        <v/>
      </c>
      <c r="Q925" s="129">
        <v>40703</v>
      </c>
      <c r="R925" s="129"/>
      <c r="S925" s="139" t="s">
        <v>6</v>
      </c>
      <c r="T925" s="115" t="s">
        <v>4</v>
      </c>
      <c r="U925" s="139" t="s">
        <v>7</v>
      </c>
      <c r="V925" s="139" t="s">
        <v>1914</v>
      </c>
      <c r="W925" s="139" t="s">
        <v>1925</v>
      </c>
      <c r="X925" s="139" t="s">
        <v>970</v>
      </c>
      <c r="Y925" s="112" t="s">
        <v>3097</v>
      </c>
      <c r="Z925" s="112" t="s">
        <v>4</v>
      </c>
      <c r="AA925" s="139" t="s">
        <v>970</v>
      </c>
    </row>
    <row r="926" spans="1:27" ht="17.25" customHeight="1">
      <c r="A926" s="69" t="str">
        <f>IF(priority(Main[[#This Row],[Comments]])&lt;&gt;0, priority(Main[[#This Row],[Comments]]),"")</f>
        <v/>
      </c>
      <c r="B926" s="63" t="s">
        <v>1742</v>
      </c>
      <c r="C926" s="148" t="s">
        <v>4</v>
      </c>
      <c r="D926" s="113" t="s">
        <v>681</v>
      </c>
      <c r="E926" s="129"/>
      <c r="F926" s="129"/>
      <c r="G926" s="69" t="str">
        <f>IF(stdProdLT(Main[[#This Row],[Comments]])=0.1,"N/A",IF(stdProdLT(Main[[#This Row],[Comments]])=0,"",stdProdLT(Main[[#This Row],[Comments]])))</f>
        <v/>
      </c>
      <c r="H926" s="138" t="str">
        <f>IF(Main[[#This Row],[In Stock Date]]="N/A", "N/A",IF(AND(Main[[#This Row],[In Stock Date]]&lt;&gt;"",Main[[#This Row],[Revised Due Date]]&lt;&gt;"",Main[[#This Row],[In Stock Date]]&lt;&gt;""),Main[[#This Row],[In Stock Date]]-Main[[#This Row],[Revised Due Date]],""))</f>
        <v/>
      </c>
      <c r="I926" s="139" t="s">
        <v>4</v>
      </c>
      <c r="J926" s="139" t="s">
        <v>4</v>
      </c>
      <c r="K926" s="139" t="s">
        <v>4</v>
      </c>
      <c r="L926" s="129"/>
      <c r="M926" s="114" t="str">
        <f>IF(Main[[#This Row],[Tech Start Date]]&lt;1/1/1990,"",IF(Main[[#This Row],[Class]]="C",WORKDAY(Main[[#This Row],[Tech Start Date]],9),IF(Main[[#This Row],[Class]]="B", WORKDAY(Main[[#This Row],[Tech Start Date]],6),IF(Main[[#This Row],[Class]]="A",WORKDAY(Main[[#This Row],[Tech Start Date]],2),""))))</f>
        <v/>
      </c>
      <c r="N926" s="114" t="str">
        <f>IF(Main[[#This Row],[Tech Start Date]]&lt;1/1/1990,"",IF(Main[[#This Row],[Class]]="C",WORKDAY(Main[[#This Row],[Tech Start Date]],19),IF(Main[[#This Row],[Class]]="B", WORKDAY(Main[[#This Row],[Tech Start Date]],12),IF(Main[[#This Row],[Class]]="A",WORKDAY(Main[[#This Row],[Tech Start Date]],4),""))))</f>
        <v/>
      </c>
      <c r="O926" s="114" t="str">
        <f>IF(Main[[#This Row],[Tech Start Date]]&lt;1/1/1990,"",IF(Main[[#This Row],[Class]]="C",WORKDAY(Main[[#This Row],[Tech Start Date]],23),IF(Main[[#This Row],[Class]]="B", WORKDAY(Main[[#This Row],[Tech Start Date]],15),IF(Main[[#This Row],[Class]]="A",WORKDAY(Main[[#This Row],[Tech Start Date]],5),""))))</f>
        <v/>
      </c>
      <c r="P926" s="114" t="str">
        <f>IF(Main[[#This Row],[Tech Start Date]]&lt;1/1/1990,"",IF(Main[[#This Row],[Class]]="C",WORKDAY(Main[[#This Row],[Tech Start Date]],28),IF(Main[[#This Row],[Class]]="B", WORKDAY(Main[[#This Row],[Tech Start Date]],19),IF(Main[[#This Row],[Class]]="A",WORKDAY(Main[[#This Row],[Tech Start Date]],9),""))))</f>
        <v/>
      </c>
      <c r="Q926" s="129"/>
      <c r="R926" s="129"/>
      <c r="S926" s="139" t="s">
        <v>23</v>
      </c>
      <c r="T926" s="115" t="s">
        <v>4</v>
      </c>
      <c r="U926" s="139" t="s">
        <v>14</v>
      </c>
      <c r="V926" s="139" t="s">
        <v>1917</v>
      </c>
      <c r="W926" s="139" t="s">
        <v>1918</v>
      </c>
      <c r="X926" s="139" t="s">
        <v>417</v>
      </c>
      <c r="Y926" s="112" t="s">
        <v>3103</v>
      </c>
      <c r="Z926" s="112" t="s">
        <v>4</v>
      </c>
      <c r="AA926" s="139" t="s">
        <v>3428</v>
      </c>
    </row>
    <row r="927" spans="1:27" ht="17.25" customHeight="1">
      <c r="A927" s="69" t="str">
        <f>IF(priority(Main[[#This Row],[Comments]])&lt;&gt;0, priority(Main[[#This Row],[Comments]]),"")</f>
        <v/>
      </c>
      <c r="B927" s="63" t="s">
        <v>1854</v>
      </c>
      <c r="C927" s="148" t="s">
        <v>47</v>
      </c>
      <c r="D927" s="113" t="s">
        <v>910</v>
      </c>
      <c r="E927" s="129">
        <v>39937.598483796297</v>
      </c>
      <c r="F927" s="129"/>
      <c r="G927" s="69" t="str">
        <f>IF(stdProdLT(Main[[#This Row],[Comments]])=0.1,"N/A",IF(stdProdLT(Main[[#This Row],[Comments]])=0,"",stdProdLT(Main[[#This Row],[Comments]])))</f>
        <v/>
      </c>
      <c r="H927" s="138" t="str">
        <f>IF(Main[[#This Row],[In Stock Date]]="N/A", "N/A",IF(AND(Main[[#This Row],[In Stock Date]]&lt;&gt;"",Main[[#This Row],[Revised Due Date]]&lt;&gt;"",Main[[#This Row],[In Stock Date]]&lt;&gt;""),Main[[#This Row],[In Stock Date]]-Main[[#This Row],[Revised Due Date]],""))</f>
        <v/>
      </c>
      <c r="I927" s="139" t="s">
        <v>898</v>
      </c>
      <c r="J927" s="139" t="s">
        <v>4</v>
      </c>
      <c r="K927" s="139" t="s">
        <v>1926</v>
      </c>
      <c r="L927" s="129"/>
      <c r="M927" s="114" t="str">
        <f>IF(Main[[#This Row],[Tech Start Date]]&lt;1/1/1990,"",IF(Main[[#This Row],[Class]]="C",WORKDAY(Main[[#This Row],[Tech Start Date]],9),IF(Main[[#This Row],[Class]]="B", WORKDAY(Main[[#This Row],[Tech Start Date]],6),IF(Main[[#This Row],[Class]]="A",WORKDAY(Main[[#This Row],[Tech Start Date]],2),""))))</f>
        <v/>
      </c>
      <c r="N927" s="114" t="str">
        <f>IF(Main[[#This Row],[Tech Start Date]]&lt;1/1/1990,"",IF(Main[[#This Row],[Class]]="C",WORKDAY(Main[[#This Row],[Tech Start Date]],19),IF(Main[[#This Row],[Class]]="B", WORKDAY(Main[[#This Row],[Tech Start Date]],12),IF(Main[[#This Row],[Class]]="A",WORKDAY(Main[[#This Row],[Tech Start Date]],4),""))))</f>
        <v/>
      </c>
      <c r="O927" s="114" t="str">
        <f>IF(Main[[#This Row],[Tech Start Date]]&lt;1/1/1990,"",IF(Main[[#This Row],[Class]]="C",WORKDAY(Main[[#This Row],[Tech Start Date]],23),IF(Main[[#This Row],[Class]]="B", WORKDAY(Main[[#This Row],[Tech Start Date]],15),IF(Main[[#This Row],[Class]]="A",WORKDAY(Main[[#This Row],[Tech Start Date]],5),""))))</f>
        <v/>
      </c>
      <c r="P927" s="114" t="str">
        <f>IF(Main[[#This Row],[Tech Start Date]]&lt;1/1/1990,"",IF(Main[[#This Row],[Class]]="C",WORKDAY(Main[[#This Row],[Tech Start Date]],28),IF(Main[[#This Row],[Class]]="B", WORKDAY(Main[[#This Row],[Tech Start Date]],19),IF(Main[[#This Row],[Class]]="A",WORKDAY(Main[[#This Row],[Tech Start Date]],9),""))))</f>
        <v/>
      </c>
      <c r="Q927" s="129"/>
      <c r="R927" s="129">
        <v>40945</v>
      </c>
      <c r="S927" s="139" t="s">
        <v>17</v>
      </c>
      <c r="T927" s="115" t="s">
        <v>4</v>
      </c>
      <c r="U927" s="139" t="s">
        <v>29</v>
      </c>
      <c r="V927" s="139" t="s">
        <v>1917</v>
      </c>
      <c r="W927" s="139" t="s">
        <v>1919</v>
      </c>
      <c r="X927" s="139" t="s">
        <v>2827</v>
      </c>
      <c r="Y927" s="112" t="s">
        <v>2948</v>
      </c>
      <c r="Z927" s="112" t="s">
        <v>415</v>
      </c>
      <c r="AA927" s="139" t="s">
        <v>2827</v>
      </c>
    </row>
    <row r="928" spans="1:27" ht="17.25" customHeight="1">
      <c r="A928" s="69" t="str">
        <f>IF(priority(Main[[#This Row],[Comments]])&lt;&gt;0, priority(Main[[#This Row],[Comments]]),"")</f>
        <v/>
      </c>
      <c r="B928" s="63" t="s">
        <v>1743</v>
      </c>
      <c r="C928" s="148" t="s">
        <v>31</v>
      </c>
      <c r="D928" s="113" t="s">
        <v>792</v>
      </c>
      <c r="E928" s="129"/>
      <c r="F928" s="129"/>
      <c r="G928" s="69" t="str">
        <f>IF(stdProdLT(Main[[#This Row],[Comments]])=0.1,"N/A",IF(stdProdLT(Main[[#This Row],[Comments]])=0,"",stdProdLT(Main[[#This Row],[Comments]])))</f>
        <v/>
      </c>
      <c r="H928" s="138" t="str">
        <f>IF(Main[[#This Row],[In Stock Date]]="N/A", "N/A",IF(AND(Main[[#This Row],[In Stock Date]]&lt;&gt;"",Main[[#This Row],[Revised Due Date]]&lt;&gt;"",Main[[#This Row],[In Stock Date]]&lt;&gt;""),Main[[#This Row],[In Stock Date]]-Main[[#This Row],[Revised Due Date]],""))</f>
        <v/>
      </c>
      <c r="I928" s="139" t="s">
        <v>4</v>
      </c>
      <c r="J928" s="139" t="s">
        <v>4</v>
      </c>
      <c r="K928" s="139" t="s">
        <v>4</v>
      </c>
      <c r="L928" s="129"/>
      <c r="M928" s="114" t="str">
        <f>IF(Main[[#This Row],[Tech Start Date]]&lt;1/1/1990,"",IF(Main[[#This Row],[Class]]="C",WORKDAY(Main[[#This Row],[Tech Start Date]],9),IF(Main[[#This Row],[Class]]="B", WORKDAY(Main[[#This Row],[Tech Start Date]],6),IF(Main[[#This Row],[Class]]="A",WORKDAY(Main[[#This Row],[Tech Start Date]],2),""))))</f>
        <v/>
      </c>
      <c r="N928" s="114" t="str">
        <f>IF(Main[[#This Row],[Tech Start Date]]&lt;1/1/1990,"",IF(Main[[#This Row],[Class]]="C",WORKDAY(Main[[#This Row],[Tech Start Date]],19),IF(Main[[#This Row],[Class]]="B", WORKDAY(Main[[#This Row],[Tech Start Date]],12),IF(Main[[#This Row],[Class]]="A",WORKDAY(Main[[#This Row],[Tech Start Date]],4),""))))</f>
        <v/>
      </c>
      <c r="O928" s="114" t="str">
        <f>IF(Main[[#This Row],[Tech Start Date]]&lt;1/1/1990,"",IF(Main[[#This Row],[Class]]="C",WORKDAY(Main[[#This Row],[Tech Start Date]],23),IF(Main[[#This Row],[Class]]="B", WORKDAY(Main[[#This Row],[Tech Start Date]],15),IF(Main[[#This Row],[Class]]="A",WORKDAY(Main[[#This Row],[Tech Start Date]],5),""))))</f>
        <v/>
      </c>
      <c r="P928" s="114" t="str">
        <f>IF(Main[[#This Row],[Tech Start Date]]&lt;1/1/1990,"",IF(Main[[#This Row],[Class]]="C",WORKDAY(Main[[#This Row],[Tech Start Date]],28),IF(Main[[#This Row],[Class]]="B", WORKDAY(Main[[#This Row],[Tech Start Date]],19),IF(Main[[#This Row],[Class]]="A",WORKDAY(Main[[#This Row],[Tech Start Date]],9),""))))</f>
        <v/>
      </c>
      <c r="Q928" s="129">
        <v>40318</v>
      </c>
      <c r="R928" s="129"/>
      <c r="S928" s="139" t="s">
        <v>11</v>
      </c>
      <c r="T928" s="115" t="s">
        <v>4</v>
      </c>
      <c r="U928" s="139" t="s">
        <v>14</v>
      </c>
      <c r="V928" s="139" t="s">
        <v>1924</v>
      </c>
      <c r="W928" s="139" t="s">
        <v>1916</v>
      </c>
      <c r="X928" s="139" t="s">
        <v>2830</v>
      </c>
      <c r="Y928" s="112" t="s">
        <v>4</v>
      </c>
      <c r="Z928" s="112" t="s">
        <v>4</v>
      </c>
      <c r="AA928" s="139" t="s">
        <v>2830</v>
      </c>
    </row>
    <row r="929" spans="1:27" ht="17.25" customHeight="1">
      <c r="A929" s="69" t="str">
        <f>IF(priority(Main[[#This Row],[Comments]])&lt;&gt;0, priority(Main[[#This Row],[Comments]]),"")</f>
        <v/>
      </c>
      <c r="B929" s="63" t="s">
        <v>1769</v>
      </c>
      <c r="C929" s="148" t="s">
        <v>4</v>
      </c>
      <c r="D929" s="113" t="s">
        <v>804</v>
      </c>
      <c r="E929" s="129"/>
      <c r="F929" s="129"/>
      <c r="G929" s="69" t="str">
        <f>IF(stdProdLT(Main[[#This Row],[Comments]])=0.1,"N/A",IF(stdProdLT(Main[[#This Row],[Comments]])=0,"",stdProdLT(Main[[#This Row],[Comments]])))</f>
        <v/>
      </c>
      <c r="H929" s="138" t="str">
        <f>IF(Main[[#This Row],[In Stock Date]]="N/A", "N/A",IF(AND(Main[[#This Row],[In Stock Date]]&lt;&gt;"",Main[[#This Row],[Revised Due Date]]&lt;&gt;"",Main[[#This Row],[In Stock Date]]&lt;&gt;""),Main[[#This Row],[In Stock Date]]-Main[[#This Row],[Revised Due Date]],""))</f>
        <v/>
      </c>
      <c r="I929" s="139" t="s">
        <v>4</v>
      </c>
      <c r="J929" s="139" t="s">
        <v>4</v>
      </c>
      <c r="K929" s="139" t="s">
        <v>4</v>
      </c>
      <c r="L929" s="129"/>
      <c r="M929" s="114" t="str">
        <f>IF(Main[[#This Row],[Tech Start Date]]&lt;1/1/1990,"",IF(Main[[#This Row],[Class]]="C",WORKDAY(Main[[#This Row],[Tech Start Date]],9),IF(Main[[#This Row],[Class]]="B", WORKDAY(Main[[#This Row],[Tech Start Date]],6),IF(Main[[#This Row],[Class]]="A",WORKDAY(Main[[#This Row],[Tech Start Date]],2),""))))</f>
        <v/>
      </c>
      <c r="N929" s="114" t="str">
        <f>IF(Main[[#This Row],[Tech Start Date]]&lt;1/1/1990,"",IF(Main[[#This Row],[Class]]="C",WORKDAY(Main[[#This Row],[Tech Start Date]],19),IF(Main[[#This Row],[Class]]="B", WORKDAY(Main[[#This Row],[Tech Start Date]],12),IF(Main[[#This Row],[Class]]="A",WORKDAY(Main[[#This Row],[Tech Start Date]],4),""))))</f>
        <v/>
      </c>
      <c r="O929" s="114" t="str">
        <f>IF(Main[[#This Row],[Tech Start Date]]&lt;1/1/1990,"",IF(Main[[#This Row],[Class]]="C",WORKDAY(Main[[#This Row],[Tech Start Date]],23),IF(Main[[#This Row],[Class]]="B", WORKDAY(Main[[#This Row],[Tech Start Date]],15),IF(Main[[#This Row],[Class]]="A",WORKDAY(Main[[#This Row],[Tech Start Date]],5),""))))</f>
        <v/>
      </c>
      <c r="P929" s="114" t="str">
        <f>IF(Main[[#This Row],[Tech Start Date]]&lt;1/1/1990,"",IF(Main[[#This Row],[Class]]="C",WORKDAY(Main[[#This Row],[Tech Start Date]],28),IF(Main[[#This Row],[Class]]="B", WORKDAY(Main[[#This Row],[Tech Start Date]],19),IF(Main[[#This Row],[Class]]="A",WORKDAY(Main[[#This Row],[Tech Start Date]],9),""))))</f>
        <v/>
      </c>
      <c r="Q929" s="129"/>
      <c r="R929" s="129"/>
      <c r="S929" s="139" t="s">
        <v>49</v>
      </c>
      <c r="T929" s="115" t="s">
        <v>4</v>
      </c>
      <c r="U929" s="139" t="s">
        <v>14</v>
      </c>
      <c r="V929" s="139" t="s">
        <v>1917</v>
      </c>
      <c r="W929" s="139" t="s">
        <v>1918</v>
      </c>
      <c r="X929" s="139" t="s">
        <v>306</v>
      </c>
      <c r="Y929" s="112" t="s">
        <v>3104</v>
      </c>
      <c r="Z929" s="112" t="s">
        <v>4</v>
      </c>
      <c r="AA929" s="139" t="s">
        <v>306</v>
      </c>
    </row>
    <row r="930" spans="1:27" ht="17.25" customHeight="1">
      <c r="A930" s="69" t="str">
        <f>IF(priority(Main[[#This Row],[Comments]])&lt;&gt;0, priority(Main[[#This Row],[Comments]]),"")</f>
        <v/>
      </c>
      <c r="B930" s="63" t="s">
        <v>3191</v>
      </c>
      <c r="C930" s="148" t="s">
        <v>4</v>
      </c>
      <c r="D930" s="113" t="s">
        <v>3228</v>
      </c>
      <c r="E930" s="129">
        <v>40921.504814814813</v>
      </c>
      <c r="F930" s="129"/>
      <c r="G930" s="69" t="str">
        <f>IF(stdProdLT(Main[[#This Row],[Comments]])=0.1,"N/A",IF(stdProdLT(Main[[#This Row],[Comments]])=0,"",stdProdLT(Main[[#This Row],[Comments]])))</f>
        <v/>
      </c>
      <c r="H930" s="138" t="str">
        <f>IF(Main[[#This Row],[In Stock Date]]="N/A", "N/A",IF(AND(Main[[#This Row],[In Stock Date]]&lt;&gt;"",Main[[#This Row],[Revised Due Date]]&lt;&gt;"",Main[[#This Row],[In Stock Date]]&lt;&gt;""),Main[[#This Row],[In Stock Date]]-Main[[#This Row],[Revised Due Date]],""))</f>
        <v/>
      </c>
      <c r="I930" s="139" t="s">
        <v>2051</v>
      </c>
      <c r="J930" s="139" t="s">
        <v>28</v>
      </c>
      <c r="K930" s="139" t="s">
        <v>1923</v>
      </c>
      <c r="L930" s="129"/>
      <c r="M930" s="114" t="str">
        <f>IF(Main[[#This Row],[Tech Start Date]]&lt;1/1/1990,"",IF(Main[[#This Row],[Class]]="C",WORKDAY(Main[[#This Row],[Tech Start Date]],9),IF(Main[[#This Row],[Class]]="B", WORKDAY(Main[[#This Row],[Tech Start Date]],6),IF(Main[[#This Row],[Class]]="A",WORKDAY(Main[[#This Row],[Tech Start Date]],2),""))))</f>
        <v/>
      </c>
      <c r="N930" s="114" t="str">
        <f>IF(Main[[#This Row],[Tech Start Date]]&lt;1/1/1990,"",IF(Main[[#This Row],[Class]]="C",WORKDAY(Main[[#This Row],[Tech Start Date]],19),IF(Main[[#This Row],[Class]]="B", WORKDAY(Main[[#This Row],[Tech Start Date]],12),IF(Main[[#This Row],[Class]]="A",WORKDAY(Main[[#This Row],[Tech Start Date]],4),""))))</f>
        <v/>
      </c>
      <c r="O930" s="114" t="str">
        <f>IF(Main[[#This Row],[Tech Start Date]]&lt;1/1/1990,"",IF(Main[[#This Row],[Class]]="C",WORKDAY(Main[[#This Row],[Tech Start Date]],23),IF(Main[[#This Row],[Class]]="B", WORKDAY(Main[[#This Row],[Tech Start Date]],15),IF(Main[[#This Row],[Class]]="A",WORKDAY(Main[[#This Row],[Tech Start Date]],5),""))))</f>
        <v/>
      </c>
      <c r="P930" s="114" t="str">
        <f>IF(Main[[#This Row],[Tech Start Date]]&lt;1/1/1990,"",IF(Main[[#This Row],[Class]]="C",WORKDAY(Main[[#This Row],[Tech Start Date]],28),IF(Main[[#This Row],[Class]]="B", WORKDAY(Main[[#This Row],[Tech Start Date]],19),IF(Main[[#This Row],[Class]]="A",WORKDAY(Main[[#This Row],[Tech Start Date]],9),""))))</f>
        <v/>
      </c>
      <c r="Q930" s="129">
        <v>40939</v>
      </c>
      <c r="R930" s="129"/>
      <c r="S930" s="139" t="s">
        <v>6</v>
      </c>
      <c r="T930" s="115" t="s">
        <v>4</v>
      </c>
      <c r="U930" s="139" t="s">
        <v>29</v>
      </c>
      <c r="V930" s="139" t="s">
        <v>1917</v>
      </c>
      <c r="W930" s="139" t="s">
        <v>1918</v>
      </c>
      <c r="X930" s="139" t="s">
        <v>30</v>
      </c>
      <c r="Y930" s="112" t="s">
        <v>3192</v>
      </c>
      <c r="Z930" s="112" t="s">
        <v>30</v>
      </c>
      <c r="AA930" s="139" t="s">
        <v>2903</v>
      </c>
    </row>
    <row r="931" spans="1:27" ht="17.25" customHeight="1">
      <c r="A931" s="69" t="str">
        <f>IF(priority(Main[[#This Row],[Comments]])&lt;&gt;0, priority(Main[[#This Row],[Comments]]),"")</f>
        <v/>
      </c>
      <c r="B931" s="63" t="s">
        <v>3256</v>
      </c>
      <c r="C931" s="148" t="s">
        <v>4</v>
      </c>
      <c r="D931" s="113" t="s">
        <v>3257</v>
      </c>
      <c r="E931" s="129"/>
      <c r="F931" s="129"/>
      <c r="G931" s="69" t="str">
        <f>IF(stdProdLT(Main[[#This Row],[Comments]])=0.1,"N/A",IF(stdProdLT(Main[[#This Row],[Comments]])=0,"",stdProdLT(Main[[#This Row],[Comments]])))</f>
        <v/>
      </c>
      <c r="H931" s="138" t="str">
        <f>IF(Main[[#This Row],[In Stock Date]]="N/A", "N/A",IF(AND(Main[[#This Row],[In Stock Date]]&lt;&gt;"",Main[[#This Row],[Revised Due Date]]&lt;&gt;"",Main[[#This Row],[In Stock Date]]&lt;&gt;""),Main[[#This Row],[In Stock Date]]-Main[[#This Row],[Revised Due Date]],""))</f>
        <v/>
      </c>
      <c r="I931" s="139" t="s">
        <v>4</v>
      </c>
      <c r="J931" s="139" t="s">
        <v>4</v>
      </c>
      <c r="K931" s="139" t="s">
        <v>4</v>
      </c>
      <c r="L931" s="129"/>
      <c r="M931" s="114" t="str">
        <f>IF(Main[[#This Row],[Tech Start Date]]&lt;1/1/1990,"",IF(Main[[#This Row],[Class]]="C",WORKDAY(Main[[#This Row],[Tech Start Date]],9),IF(Main[[#This Row],[Class]]="B", WORKDAY(Main[[#This Row],[Tech Start Date]],6),IF(Main[[#This Row],[Class]]="A",WORKDAY(Main[[#This Row],[Tech Start Date]],2),""))))</f>
        <v/>
      </c>
      <c r="N931" s="114" t="str">
        <f>IF(Main[[#This Row],[Tech Start Date]]&lt;1/1/1990,"",IF(Main[[#This Row],[Class]]="C",WORKDAY(Main[[#This Row],[Tech Start Date]],19),IF(Main[[#This Row],[Class]]="B", WORKDAY(Main[[#This Row],[Tech Start Date]],12),IF(Main[[#This Row],[Class]]="A",WORKDAY(Main[[#This Row],[Tech Start Date]],4),""))))</f>
        <v/>
      </c>
      <c r="O931" s="114" t="str">
        <f>IF(Main[[#This Row],[Tech Start Date]]&lt;1/1/1990,"",IF(Main[[#This Row],[Class]]="C",WORKDAY(Main[[#This Row],[Tech Start Date]],23),IF(Main[[#This Row],[Class]]="B", WORKDAY(Main[[#This Row],[Tech Start Date]],15),IF(Main[[#This Row],[Class]]="A",WORKDAY(Main[[#This Row],[Tech Start Date]],5),""))))</f>
        <v/>
      </c>
      <c r="P931" s="114" t="str">
        <f>IF(Main[[#This Row],[Tech Start Date]]&lt;1/1/1990,"",IF(Main[[#This Row],[Class]]="C",WORKDAY(Main[[#This Row],[Tech Start Date]],28),IF(Main[[#This Row],[Class]]="B", WORKDAY(Main[[#This Row],[Tech Start Date]],19),IF(Main[[#This Row],[Class]]="A",WORKDAY(Main[[#This Row],[Tech Start Date]],9),""))))</f>
        <v/>
      </c>
      <c r="Q931" s="129"/>
      <c r="R931" s="129"/>
      <c r="S931" s="139" t="s">
        <v>17</v>
      </c>
      <c r="T931" s="115" t="s">
        <v>4</v>
      </c>
      <c r="U931" s="139" t="s">
        <v>12</v>
      </c>
      <c r="V931" s="139" t="s">
        <v>1917</v>
      </c>
      <c r="W931" s="139" t="s">
        <v>4</v>
      </c>
      <c r="X931" s="139" t="s">
        <v>1976</v>
      </c>
      <c r="Y931" s="112" t="s">
        <v>4</v>
      </c>
      <c r="Z931" s="112" t="s">
        <v>4</v>
      </c>
      <c r="AA931" s="139" t="s">
        <v>4</v>
      </c>
    </row>
    <row r="932" spans="1:27" ht="17.25" customHeight="1">
      <c r="A932" s="69" t="str">
        <f>IF(priority(Main[[#This Row],[Comments]])&lt;&gt;0, priority(Main[[#This Row],[Comments]]),"")</f>
        <v/>
      </c>
      <c r="B932" s="63" t="s">
        <v>1770</v>
      </c>
      <c r="C932" s="148" t="s">
        <v>4</v>
      </c>
      <c r="D932" s="113" t="s">
        <v>805</v>
      </c>
      <c r="E932" s="129"/>
      <c r="F932" s="129"/>
      <c r="G932" s="69" t="str">
        <f>IF(stdProdLT(Main[[#This Row],[Comments]])=0.1,"N/A",IF(stdProdLT(Main[[#This Row],[Comments]])=0,"",stdProdLT(Main[[#This Row],[Comments]])))</f>
        <v/>
      </c>
      <c r="H932" s="138" t="str">
        <f>IF(Main[[#This Row],[In Stock Date]]="N/A", "N/A",IF(AND(Main[[#This Row],[In Stock Date]]&lt;&gt;"",Main[[#This Row],[Revised Due Date]]&lt;&gt;"",Main[[#This Row],[In Stock Date]]&lt;&gt;""),Main[[#This Row],[In Stock Date]]-Main[[#This Row],[Revised Due Date]],""))</f>
        <v/>
      </c>
      <c r="I932" s="139" t="s">
        <v>4</v>
      </c>
      <c r="J932" s="139" t="s">
        <v>4</v>
      </c>
      <c r="K932" s="139" t="s">
        <v>4</v>
      </c>
      <c r="L932" s="129"/>
      <c r="M932" s="114" t="str">
        <f>IF(Main[[#This Row],[Tech Start Date]]&lt;1/1/1990,"",IF(Main[[#This Row],[Class]]="C",WORKDAY(Main[[#This Row],[Tech Start Date]],9),IF(Main[[#This Row],[Class]]="B", WORKDAY(Main[[#This Row],[Tech Start Date]],6),IF(Main[[#This Row],[Class]]="A",WORKDAY(Main[[#This Row],[Tech Start Date]],2),""))))</f>
        <v/>
      </c>
      <c r="N932" s="114" t="str">
        <f>IF(Main[[#This Row],[Tech Start Date]]&lt;1/1/1990,"",IF(Main[[#This Row],[Class]]="C",WORKDAY(Main[[#This Row],[Tech Start Date]],19),IF(Main[[#This Row],[Class]]="B", WORKDAY(Main[[#This Row],[Tech Start Date]],12),IF(Main[[#This Row],[Class]]="A",WORKDAY(Main[[#This Row],[Tech Start Date]],4),""))))</f>
        <v/>
      </c>
      <c r="O932" s="114" t="str">
        <f>IF(Main[[#This Row],[Tech Start Date]]&lt;1/1/1990,"",IF(Main[[#This Row],[Class]]="C",WORKDAY(Main[[#This Row],[Tech Start Date]],23),IF(Main[[#This Row],[Class]]="B", WORKDAY(Main[[#This Row],[Tech Start Date]],15),IF(Main[[#This Row],[Class]]="A",WORKDAY(Main[[#This Row],[Tech Start Date]],5),""))))</f>
        <v/>
      </c>
      <c r="P932" s="114" t="str">
        <f>IF(Main[[#This Row],[Tech Start Date]]&lt;1/1/1990,"",IF(Main[[#This Row],[Class]]="C",WORKDAY(Main[[#This Row],[Tech Start Date]],28),IF(Main[[#This Row],[Class]]="B", WORKDAY(Main[[#This Row],[Tech Start Date]],19),IF(Main[[#This Row],[Class]]="A",WORKDAY(Main[[#This Row],[Tech Start Date]],9),""))))</f>
        <v/>
      </c>
      <c r="Q932" s="129"/>
      <c r="R932" s="129"/>
      <c r="S932" s="139" t="s">
        <v>6</v>
      </c>
      <c r="T932" s="115" t="s">
        <v>4</v>
      </c>
      <c r="U932" s="139" t="s">
        <v>12</v>
      </c>
      <c r="V932" s="139" t="s">
        <v>1914</v>
      </c>
      <c r="W932" s="139" t="s">
        <v>1918</v>
      </c>
      <c r="X932" s="139" t="s">
        <v>877</v>
      </c>
      <c r="Y932" s="112" t="s">
        <v>3009</v>
      </c>
      <c r="Z932" s="112" t="s">
        <v>4</v>
      </c>
      <c r="AA932" s="139" t="s">
        <v>877</v>
      </c>
    </row>
    <row r="933" spans="1:27" ht="17.25" customHeight="1">
      <c r="A933" s="69" t="str">
        <f>IF(priority(Main[[#This Row],[Comments]])&lt;&gt;0, priority(Main[[#This Row],[Comments]]),"")</f>
        <v/>
      </c>
      <c r="B933" s="63" t="s">
        <v>1745</v>
      </c>
      <c r="C933" s="148" t="s">
        <v>284</v>
      </c>
      <c r="D933" s="113" t="s">
        <v>796</v>
      </c>
      <c r="E933" s="129"/>
      <c r="F933" s="129"/>
      <c r="G933" s="69" t="str">
        <f>IF(stdProdLT(Main[[#This Row],[Comments]])=0.1,"N/A",IF(stdProdLT(Main[[#This Row],[Comments]])=0,"",stdProdLT(Main[[#This Row],[Comments]])))</f>
        <v/>
      </c>
      <c r="H933" s="138" t="str">
        <f>IF(Main[[#This Row],[In Stock Date]]="N/A", "N/A",IF(AND(Main[[#This Row],[In Stock Date]]&lt;&gt;"",Main[[#This Row],[Revised Due Date]]&lt;&gt;"",Main[[#This Row],[In Stock Date]]&lt;&gt;""),Main[[#This Row],[In Stock Date]]-Main[[#This Row],[Revised Due Date]],""))</f>
        <v/>
      </c>
      <c r="I933" s="139" t="s">
        <v>4</v>
      </c>
      <c r="J933" s="139" t="s">
        <v>4</v>
      </c>
      <c r="K933" s="139" t="s">
        <v>4</v>
      </c>
      <c r="L933" s="129"/>
      <c r="M933" s="114" t="str">
        <f>IF(Main[[#This Row],[Tech Start Date]]&lt;1/1/1990,"",IF(Main[[#This Row],[Class]]="C",WORKDAY(Main[[#This Row],[Tech Start Date]],9),IF(Main[[#This Row],[Class]]="B", WORKDAY(Main[[#This Row],[Tech Start Date]],6),IF(Main[[#This Row],[Class]]="A",WORKDAY(Main[[#This Row],[Tech Start Date]],2),""))))</f>
        <v/>
      </c>
      <c r="N933" s="114" t="str">
        <f>IF(Main[[#This Row],[Tech Start Date]]&lt;1/1/1990,"",IF(Main[[#This Row],[Class]]="C",WORKDAY(Main[[#This Row],[Tech Start Date]],19),IF(Main[[#This Row],[Class]]="B", WORKDAY(Main[[#This Row],[Tech Start Date]],12),IF(Main[[#This Row],[Class]]="A",WORKDAY(Main[[#This Row],[Tech Start Date]],4),""))))</f>
        <v/>
      </c>
      <c r="O933" s="114" t="str">
        <f>IF(Main[[#This Row],[Tech Start Date]]&lt;1/1/1990,"",IF(Main[[#This Row],[Class]]="C",WORKDAY(Main[[#This Row],[Tech Start Date]],23),IF(Main[[#This Row],[Class]]="B", WORKDAY(Main[[#This Row],[Tech Start Date]],15),IF(Main[[#This Row],[Class]]="A",WORKDAY(Main[[#This Row],[Tech Start Date]],5),""))))</f>
        <v/>
      </c>
      <c r="P933" s="114" t="str">
        <f>IF(Main[[#This Row],[Tech Start Date]]&lt;1/1/1990,"",IF(Main[[#This Row],[Class]]="C",WORKDAY(Main[[#This Row],[Tech Start Date]],28),IF(Main[[#This Row],[Class]]="B", WORKDAY(Main[[#This Row],[Tech Start Date]],19),IF(Main[[#This Row],[Class]]="A",WORKDAY(Main[[#This Row],[Tech Start Date]],9),""))))</f>
        <v/>
      </c>
      <c r="Q933" s="129">
        <v>40134</v>
      </c>
      <c r="R933" s="129"/>
      <c r="S933" s="139" t="s">
        <v>11</v>
      </c>
      <c r="T933" s="115" t="s">
        <v>4</v>
      </c>
      <c r="U933" s="139" t="s">
        <v>14</v>
      </c>
      <c r="V933" s="139" t="s">
        <v>1924</v>
      </c>
      <c r="W933" s="139" t="s">
        <v>1922</v>
      </c>
      <c r="X933" s="139" t="s">
        <v>2817</v>
      </c>
      <c r="Y933" s="112" t="s">
        <v>4</v>
      </c>
      <c r="Z933" s="112" t="s">
        <v>4</v>
      </c>
      <c r="AA933" s="139" t="s">
        <v>2817</v>
      </c>
    </row>
    <row r="934" spans="1:27" ht="17.25" customHeight="1">
      <c r="A934" s="69" t="str">
        <f>IF(priority(Main[[#This Row],[Comments]])&lt;&gt;0, priority(Main[[#This Row],[Comments]]),"")</f>
        <v/>
      </c>
      <c r="B934" s="63" t="s">
        <v>1746</v>
      </c>
      <c r="C934" s="148" t="s">
        <v>4</v>
      </c>
      <c r="D934" s="113" t="s">
        <v>797</v>
      </c>
      <c r="E934" s="129"/>
      <c r="F934" s="129">
        <v>40598</v>
      </c>
      <c r="G934" s="69" t="str">
        <f>IF(stdProdLT(Main[[#This Row],[Comments]])=0.1,"N/A",IF(stdProdLT(Main[[#This Row],[Comments]])=0,"",stdProdLT(Main[[#This Row],[Comments]])))</f>
        <v/>
      </c>
      <c r="H934" s="138" t="str">
        <f>IF(Main[[#This Row],[In Stock Date]]="N/A", "N/A",IF(AND(Main[[#This Row],[In Stock Date]]&lt;&gt;"",Main[[#This Row],[Revised Due Date]]&lt;&gt;"",Main[[#This Row],[In Stock Date]]&lt;&gt;""),Main[[#This Row],[In Stock Date]]-Main[[#This Row],[Revised Due Date]],""))</f>
        <v/>
      </c>
      <c r="I934" s="139" t="s">
        <v>4</v>
      </c>
      <c r="J934" s="139" t="s">
        <v>4</v>
      </c>
      <c r="K934" s="139" t="s">
        <v>4</v>
      </c>
      <c r="L934" s="129"/>
      <c r="M934" s="114" t="str">
        <f>IF(Main[[#This Row],[Tech Start Date]]&lt;1/1/1990,"",IF(Main[[#This Row],[Class]]="C",WORKDAY(Main[[#This Row],[Tech Start Date]],9),IF(Main[[#This Row],[Class]]="B", WORKDAY(Main[[#This Row],[Tech Start Date]],6),IF(Main[[#This Row],[Class]]="A",WORKDAY(Main[[#This Row],[Tech Start Date]],2),""))))</f>
        <v/>
      </c>
      <c r="N934" s="114" t="str">
        <f>IF(Main[[#This Row],[Tech Start Date]]&lt;1/1/1990,"",IF(Main[[#This Row],[Class]]="C",WORKDAY(Main[[#This Row],[Tech Start Date]],19),IF(Main[[#This Row],[Class]]="B", WORKDAY(Main[[#This Row],[Tech Start Date]],12),IF(Main[[#This Row],[Class]]="A",WORKDAY(Main[[#This Row],[Tech Start Date]],4),""))))</f>
        <v/>
      </c>
      <c r="O934" s="114" t="str">
        <f>IF(Main[[#This Row],[Tech Start Date]]&lt;1/1/1990,"",IF(Main[[#This Row],[Class]]="C",WORKDAY(Main[[#This Row],[Tech Start Date]],23),IF(Main[[#This Row],[Class]]="B", WORKDAY(Main[[#This Row],[Tech Start Date]],15),IF(Main[[#This Row],[Class]]="A",WORKDAY(Main[[#This Row],[Tech Start Date]],5),""))))</f>
        <v/>
      </c>
      <c r="P934" s="114" t="str">
        <f>IF(Main[[#This Row],[Tech Start Date]]&lt;1/1/1990,"",IF(Main[[#This Row],[Class]]="C",WORKDAY(Main[[#This Row],[Tech Start Date]],28),IF(Main[[#This Row],[Class]]="B", WORKDAY(Main[[#This Row],[Tech Start Date]],19),IF(Main[[#This Row],[Class]]="A",WORKDAY(Main[[#This Row],[Tech Start Date]],9),""))))</f>
        <v/>
      </c>
      <c r="Q934" s="129">
        <v>40598</v>
      </c>
      <c r="R934" s="129"/>
      <c r="S934" s="139" t="s">
        <v>11</v>
      </c>
      <c r="T934" s="115" t="s">
        <v>4</v>
      </c>
      <c r="U934" s="139" t="s">
        <v>14</v>
      </c>
      <c r="V934" s="139" t="s">
        <v>1924</v>
      </c>
      <c r="W934" s="139" t="s">
        <v>1920</v>
      </c>
      <c r="X934" s="139" t="s">
        <v>2848</v>
      </c>
      <c r="Y934" s="112" t="s">
        <v>2979</v>
      </c>
      <c r="Z934" s="112" t="s">
        <v>4</v>
      </c>
      <c r="AA934" s="139" t="s">
        <v>2848</v>
      </c>
    </row>
    <row r="935" spans="1:27" ht="17.25" customHeight="1">
      <c r="A935" s="69" t="str">
        <f>IF(priority(Main[[#This Row],[Comments]])&lt;&gt;0, priority(Main[[#This Row],[Comments]]),"")</f>
        <v/>
      </c>
      <c r="B935" s="63" t="s">
        <v>1747</v>
      </c>
      <c r="C935" s="148" t="s">
        <v>436</v>
      </c>
      <c r="D935" s="113" t="s">
        <v>789</v>
      </c>
      <c r="E935" s="129"/>
      <c r="F935" s="129"/>
      <c r="G935" s="69" t="str">
        <f>IF(stdProdLT(Main[[#This Row],[Comments]])=0.1,"N/A",IF(stdProdLT(Main[[#This Row],[Comments]])=0,"",stdProdLT(Main[[#This Row],[Comments]])))</f>
        <v/>
      </c>
      <c r="H935" s="138" t="str">
        <f>IF(Main[[#This Row],[In Stock Date]]="N/A", "N/A",IF(AND(Main[[#This Row],[In Stock Date]]&lt;&gt;"",Main[[#This Row],[Revised Due Date]]&lt;&gt;"",Main[[#This Row],[In Stock Date]]&lt;&gt;""),Main[[#This Row],[In Stock Date]]-Main[[#This Row],[Revised Due Date]],""))</f>
        <v/>
      </c>
      <c r="I935" s="139" t="s">
        <v>4</v>
      </c>
      <c r="J935" s="139" t="s">
        <v>4</v>
      </c>
      <c r="K935" s="139" t="s">
        <v>4</v>
      </c>
      <c r="L935" s="129"/>
      <c r="M935" s="114" t="str">
        <f>IF(Main[[#This Row],[Tech Start Date]]&lt;1/1/1990,"",IF(Main[[#This Row],[Class]]="C",WORKDAY(Main[[#This Row],[Tech Start Date]],9),IF(Main[[#This Row],[Class]]="B", WORKDAY(Main[[#This Row],[Tech Start Date]],6),IF(Main[[#This Row],[Class]]="A",WORKDAY(Main[[#This Row],[Tech Start Date]],2),""))))</f>
        <v/>
      </c>
      <c r="N935" s="114" t="str">
        <f>IF(Main[[#This Row],[Tech Start Date]]&lt;1/1/1990,"",IF(Main[[#This Row],[Class]]="C",WORKDAY(Main[[#This Row],[Tech Start Date]],19),IF(Main[[#This Row],[Class]]="B", WORKDAY(Main[[#This Row],[Tech Start Date]],12),IF(Main[[#This Row],[Class]]="A",WORKDAY(Main[[#This Row],[Tech Start Date]],4),""))))</f>
        <v/>
      </c>
      <c r="O935" s="114" t="str">
        <f>IF(Main[[#This Row],[Tech Start Date]]&lt;1/1/1990,"",IF(Main[[#This Row],[Class]]="C",WORKDAY(Main[[#This Row],[Tech Start Date]],23),IF(Main[[#This Row],[Class]]="B", WORKDAY(Main[[#This Row],[Tech Start Date]],15),IF(Main[[#This Row],[Class]]="A",WORKDAY(Main[[#This Row],[Tech Start Date]],5),""))))</f>
        <v/>
      </c>
      <c r="P935" s="114" t="str">
        <f>IF(Main[[#This Row],[Tech Start Date]]&lt;1/1/1990,"",IF(Main[[#This Row],[Class]]="C",WORKDAY(Main[[#This Row],[Tech Start Date]],28),IF(Main[[#This Row],[Class]]="B", WORKDAY(Main[[#This Row],[Tech Start Date]],19),IF(Main[[#This Row],[Class]]="A",WORKDAY(Main[[#This Row],[Tech Start Date]],9),""))))</f>
        <v/>
      </c>
      <c r="Q935" s="129"/>
      <c r="R935" s="129"/>
      <c r="S935" s="139" t="s">
        <v>11</v>
      </c>
      <c r="T935" s="115" t="s">
        <v>4</v>
      </c>
      <c r="U935" s="139" t="s">
        <v>14</v>
      </c>
      <c r="V935" s="139" t="s">
        <v>1914</v>
      </c>
      <c r="W935" s="139" t="s">
        <v>1922</v>
      </c>
      <c r="X935" s="139" t="s">
        <v>2853</v>
      </c>
      <c r="Y935" s="112" t="s">
        <v>2991</v>
      </c>
      <c r="Z935" s="112" t="s">
        <v>4</v>
      </c>
      <c r="AA935" s="139" t="s">
        <v>2853</v>
      </c>
    </row>
    <row r="936" spans="1:27" ht="17.25" customHeight="1">
      <c r="A936" s="69" t="str">
        <f>IF(priority(Main[[#This Row],[Comments]])&lt;&gt;0, priority(Main[[#This Row],[Comments]]),"")</f>
        <v/>
      </c>
      <c r="B936" s="63" t="s">
        <v>1749</v>
      </c>
      <c r="C936" s="148" t="s">
        <v>4</v>
      </c>
      <c r="D936" s="113" t="s">
        <v>798</v>
      </c>
      <c r="E936" s="129"/>
      <c r="F936" s="129"/>
      <c r="G936" s="69" t="str">
        <f>IF(stdProdLT(Main[[#This Row],[Comments]])=0.1,"N/A",IF(stdProdLT(Main[[#This Row],[Comments]])=0,"",stdProdLT(Main[[#This Row],[Comments]])))</f>
        <v/>
      </c>
      <c r="H936" s="138" t="str">
        <f>IF(Main[[#This Row],[In Stock Date]]="N/A", "N/A",IF(AND(Main[[#This Row],[In Stock Date]]&lt;&gt;"",Main[[#This Row],[Revised Due Date]]&lt;&gt;"",Main[[#This Row],[In Stock Date]]&lt;&gt;""),Main[[#This Row],[In Stock Date]]-Main[[#This Row],[Revised Due Date]],""))</f>
        <v/>
      </c>
      <c r="I936" s="139" t="s">
        <v>4</v>
      </c>
      <c r="J936" s="139" t="s">
        <v>4</v>
      </c>
      <c r="K936" s="140" t="s">
        <v>4</v>
      </c>
      <c r="L936" s="129"/>
      <c r="M936" s="114" t="str">
        <f>IF(Main[[#This Row],[Tech Start Date]]&lt;1/1/1990,"",IF(Main[[#This Row],[Class]]="C",WORKDAY(Main[[#This Row],[Tech Start Date]],9),IF(Main[[#This Row],[Class]]="B", WORKDAY(Main[[#This Row],[Tech Start Date]],6),IF(Main[[#This Row],[Class]]="A",WORKDAY(Main[[#This Row],[Tech Start Date]],2),""))))</f>
        <v/>
      </c>
      <c r="N936" s="114" t="str">
        <f>IF(Main[[#This Row],[Tech Start Date]]&lt;1/1/1990,"",IF(Main[[#This Row],[Class]]="C",WORKDAY(Main[[#This Row],[Tech Start Date]],19),IF(Main[[#This Row],[Class]]="B", WORKDAY(Main[[#This Row],[Tech Start Date]],12),IF(Main[[#This Row],[Class]]="A",WORKDAY(Main[[#This Row],[Tech Start Date]],4),""))))</f>
        <v/>
      </c>
      <c r="O936" s="114" t="str">
        <f>IF(Main[[#This Row],[Tech Start Date]]&lt;1/1/1990,"",IF(Main[[#This Row],[Class]]="C",WORKDAY(Main[[#This Row],[Tech Start Date]],23),IF(Main[[#This Row],[Class]]="B", WORKDAY(Main[[#This Row],[Tech Start Date]],15),IF(Main[[#This Row],[Class]]="A",WORKDAY(Main[[#This Row],[Tech Start Date]],5),""))))</f>
        <v/>
      </c>
      <c r="P936" s="114" t="str">
        <f>IF(Main[[#This Row],[Tech Start Date]]&lt;1/1/1990,"",IF(Main[[#This Row],[Class]]="C",WORKDAY(Main[[#This Row],[Tech Start Date]],28),IF(Main[[#This Row],[Class]]="B", WORKDAY(Main[[#This Row],[Tech Start Date]],19),IF(Main[[#This Row],[Class]]="A",WORKDAY(Main[[#This Row],[Tech Start Date]],9),""))))</f>
        <v/>
      </c>
      <c r="Q936" s="129"/>
      <c r="R936" s="129"/>
      <c r="S936" s="139" t="s">
        <v>23</v>
      </c>
      <c r="T936" s="115" t="s">
        <v>4</v>
      </c>
      <c r="U936" s="139" t="s">
        <v>14</v>
      </c>
      <c r="V936" s="139" t="s">
        <v>1924</v>
      </c>
      <c r="W936" s="139" t="s">
        <v>1918</v>
      </c>
      <c r="X936" s="139" t="s">
        <v>417</v>
      </c>
      <c r="Y936" s="112" t="s">
        <v>3106</v>
      </c>
      <c r="Z936" s="112" t="s">
        <v>4</v>
      </c>
      <c r="AA936" s="139" t="s">
        <v>417</v>
      </c>
    </row>
    <row r="937" spans="1:27" ht="17.25" customHeight="1">
      <c r="A937" s="69" t="str">
        <f>IF(priority(Main[[#This Row],[Comments]])&lt;&gt;0, priority(Main[[#This Row],[Comments]]),"")</f>
        <v/>
      </c>
      <c r="B937" s="63" t="s">
        <v>1096</v>
      </c>
      <c r="C937" s="148" t="s">
        <v>4</v>
      </c>
      <c r="D937" s="113" t="s">
        <v>145</v>
      </c>
      <c r="E937" s="129"/>
      <c r="F937" s="129"/>
      <c r="G937" s="69" t="str">
        <f>IF(stdProdLT(Main[[#This Row],[Comments]])=0.1,"N/A",IF(stdProdLT(Main[[#This Row],[Comments]])=0,"",stdProdLT(Main[[#This Row],[Comments]])))</f>
        <v/>
      </c>
      <c r="H937" s="138" t="str">
        <f>IF(Main[[#This Row],[In Stock Date]]="N/A", "N/A",IF(AND(Main[[#This Row],[In Stock Date]]&lt;&gt;"",Main[[#This Row],[Revised Due Date]]&lt;&gt;"",Main[[#This Row],[In Stock Date]]&lt;&gt;""),Main[[#This Row],[In Stock Date]]-Main[[#This Row],[Revised Due Date]],""))</f>
        <v/>
      </c>
      <c r="I937" s="139" t="s">
        <v>4</v>
      </c>
      <c r="J937" s="139" t="s">
        <v>4</v>
      </c>
      <c r="K937" s="139" t="s">
        <v>4</v>
      </c>
      <c r="L937" s="129"/>
      <c r="M937" s="114" t="str">
        <f>IF(Main[[#This Row],[Tech Start Date]]&lt;1/1/1990,"",IF(Main[[#This Row],[Class]]="C",WORKDAY(Main[[#This Row],[Tech Start Date]],9),IF(Main[[#This Row],[Class]]="B", WORKDAY(Main[[#This Row],[Tech Start Date]],6),IF(Main[[#This Row],[Class]]="A",WORKDAY(Main[[#This Row],[Tech Start Date]],2),""))))</f>
        <v/>
      </c>
      <c r="N937" s="114" t="str">
        <f>IF(Main[[#This Row],[Tech Start Date]]&lt;1/1/1990,"",IF(Main[[#This Row],[Class]]="C",WORKDAY(Main[[#This Row],[Tech Start Date]],19),IF(Main[[#This Row],[Class]]="B", WORKDAY(Main[[#This Row],[Tech Start Date]],12),IF(Main[[#This Row],[Class]]="A",WORKDAY(Main[[#This Row],[Tech Start Date]],4),""))))</f>
        <v/>
      </c>
      <c r="O937" s="114" t="str">
        <f>IF(Main[[#This Row],[Tech Start Date]]&lt;1/1/1990,"",IF(Main[[#This Row],[Class]]="C",WORKDAY(Main[[#This Row],[Tech Start Date]],23),IF(Main[[#This Row],[Class]]="B", WORKDAY(Main[[#This Row],[Tech Start Date]],15),IF(Main[[#This Row],[Class]]="A",WORKDAY(Main[[#This Row],[Tech Start Date]],5),""))))</f>
        <v/>
      </c>
      <c r="P937" s="114" t="str">
        <f>IF(Main[[#This Row],[Tech Start Date]]&lt;1/1/1990,"",IF(Main[[#This Row],[Class]]="C",WORKDAY(Main[[#This Row],[Tech Start Date]],28),IF(Main[[#This Row],[Class]]="B", WORKDAY(Main[[#This Row],[Tech Start Date]],19),IF(Main[[#This Row],[Class]]="A",WORKDAY(Main[[#This Row],[Tech Start Date]],9),""))))</f>
        <v/>
      </c>
      <c r="Q937" s="129"/>
      <c r="R937" s="129"/>
      <c r="S937" s="139" t="s">
        <v>17</v>
      </c>
      <c r="T937" s="115" t="s">
        <v>4</v>
      </c>
      <c r="U937" s="139" t="s">
        <v>14</v>
      </c>
      <c r="V937" s="139" t="s">
        <v>1929</v>
      </c>
      <c r="W937" s="139" t="s">
        <v>1916</v>
      </c>
      <c r="X937" s="139" t="s">
        <v>2907</v>
      </c>
      <c r="Y937" s="112" t="s">
        <v>3105</v>
      </c>
      <c r="Z937" s="112" t="s">
        <v>4</v>
      </c>
      <c r="AA937" s="139" t="s">
        <v>2907</v>
      </c>
    </row>
    <row r="938" spans="1:27" ht="17.25" customHeight="1">
      <c r="A938" s="69" t="str">
        <f>IF(priority(Main[[#This Row],[Comments]])&lt;&gt;0, priority(Main[[#This Row],[Comments]]),"")</f>
        <v/>
      </c>
      <c r="B938" s="63" t="s">
        <v>1681</v>
      </c>
      <c r="C938" s="148" t="s">
        <v>37</v>
      </c>
      <c r="D938" s="113" t="s">
        <v>2391</v>
      </c>
      <c r="E938" s="129">
        <v>40682.483831018515</v>
      </c>
      <c r="F938" s="129"/>
      <c r="G938" s="69" t="str">
        <f>IF(stdProdLT(Main[[#This Row],[Comments]])=0.1,"N/A",IF(stdProdLT(Main[[#This Row],[Comments]])=0,"",stdProdLT(Main[[#This Row],[Comments]])))</f>
        <v/>
      </c>
      <c r="H938" s="138" t="str">
        <f>IF(Main[[#This Row],[In Stock Date]]="N/A", "N/A",IF(AND(Main[[#This Row],[In Stock Date]]&lt;&gt;"",Main[[#This Row],[Revised Due Date]]&lt;&gt;"",Main[[#This Row],[In Stock Date]]&lt;&gt;""),Main[[#This Row],[In Stock Date]]-Main[[#This Row],[Revised Due Date]],""))</f>
        <v/>
      </c>
      <c r="I938" s="139" t="s">
        <v>4</v>
      </c>
      <c r="J938" s="139" t="s">
        <v>4</v>
      </c>
      <c r="K938" s="140" t="s">
        <v>4</v>
      </c>
      <c r="L938" s="129"/>
      <c r="M938" s="114" t="str">
        <f>IF(Main[[#This Row],[Tech Start Date]]&lt;1/1/1990,"",IF(Main[[#This Row],[Class]]="C",WORKDAY(Main[[#This Row],[Tech Start Date]],9),IF(Main[[#This Row],[Class]]="B", WORKDAY(Main[[#This Row],[Tech Start Date]],6),IF(Main[[#This Row],[Class]]="A",WORKDAY(Main[[#This Row],[Tech Start Date]],2),""))))</f>
        <v/>
      </c>
      <c r="N938" s="114" t="str">
        <f>IF(Main[[#This Row],[Tech Start Date]]&lt;1/1/1990,"",IF(Main[[#This Row],[Class]]="C",WORKDAY(Main[[#This Row],[Tech Start Date]],19),IF(Main[[#This Row],[Class]]="B", WORKDAY(Main[[#This Row],[Tech Start Date]],12),IF(Main[[#This Row],[Class]]="A",WORKDAY(Main[[#This Row],[Tech Start Date]],4),""))))</f>
        <v/>
      </c>
      <c r="O938" s="114" t="str">
        <f>IF(Main[[#This Row],[Tech Start Date]]&lt;1/1/1990,"",IF(Main[[#This Row],[Class]]="C",WORKDAY(Main[[#This Row],[Tech Start Date]],23),IF(Main[[#This Row],[Class]]="B", WORKDAY(Main[[#This Row],[Tech Start Date]],15),IF(Main[[#This Row],[Class]]="A",WORKDAY(Main[[#This Row],[Tech Start Date]],5),""))))</f>
        <v/>
      </c>
      <c r="P938" s="114" t="str">
        <f>IF(Main[[#This Row],[Tech Start Date]]&lt;1/1/1990,"",IF(Main[[#This Row],[Class]]="C",WORKDAY(Main[[#This Row],[Tech Start Date]],28),IF(Main[[#This Row],[Class]]="B", WORKDAY(Main[[#This Row],[Tech Start Date]],19),IF(Main[[#This Row],[Class]]="A",WORKDAY(Main[[#This Row],[Tech Start Date]],9),""))))</f>
        <v/>
      </c>
      <c r="Q938" s="129">
        <v>40700</v>
      </c>
      <c r="R938" s="129"/>
      <c r="S938" s="139" t="s">
        <v>6</v>
      </c>
      <c r="T938" s="115" t="s">
        <v>4</v>
      </c>
      <c r="U938" s="139" t="s">
        <v>534</v>
      </c>
      <c r="V938" s="139" t="s">
        <v>1914</v>
      </c>
      <c r="W938" s="139" t="s">
        <v>1925</v>
      </c>
      <c r="X938" s="139" t="s">
        <v>970</v>
      </c>
      <c r="Y938" s="112" t="s">
        <v>3097</v>
      </c>
      <c r="Z938" s="112" t="s">
        <v>4</v>
      </c>
      <c r="AA938" s="139" t="s">
        <v>970</v>
      </c>
    </row>
    <row r="939" spans="1:27" ht="17.25" customHeight="1">
      <c r="A939" s="69" t="str">
        <f>IF(priority(Main[[#This Row],[Comments]])&lt;&gt;0, priority(Main[[#This Row],[Comments]]),"")</f>
        <v/>
      </c>
      <c r="B939" s="63" t="s">
        <v>1750</v>
      </c>
      <c r="C939" s="148" t="s">
        <v>692</v>
      </c>
      <c r="D939" s="113" t="s">
        <v>693</v>
      </c>
      <c r="E939" s="129"/>
      <c r="F939" s="129"/>
      <c r="G939" s="69" t="str">
        <f>IF(stdProdLT(Main[[#This Row],[Comments]])=0.1,"N/A",IF(stdProdLT(Main[[#This Row],[Comments]])=0,"",stdProdLT(Main[[#This Row],[Comments]])))</f>
        <v/>
      </c>
      <c r="H939" s="138" t="str">
        <f>IF(Main[[#This Row],[In Stock Date]]="N/A", "N/A",IF(AND(Main[[#This Row],[In Stock Date]]&lt;&gt;"",Main[[#This Row],[Revised Due Date]]&lt;&gt;"",Main[[#This Row],[In Stock Date]]&lt;&gt;""),Main[[#This Row],[In Stock Date]]-Main[[#This Row],[Revised Due Date]],""))</f>
        <v/>
      </c>
      <c r="I939" s="139" t="s">
        <v>4</v>
      </c>
      <c r="J939" s="139" t="s">
        <v>4</v>
      </c>
      <c r="K939" s="139" t="s">
        <v>4</v>
      </c>
      <c r="L939" s="129"/>
      <c r="M939" s="114" t="str">
        <f>IF(Main[[#This Row],[Tech Start Date]]&lt;1/1/1990,"",IF(Main[[#This Row],[Class]]="C",WORKDAY(Main[[#This Row],[Tech Start Date]],9),IF(Main[[#This Row],[Class]]="B", WORKDAY(Main[[#This Row],[Tech Start Date]],6),IF(Main[[#This Row],[Class]]="A",WORKDAY(Main[[#This Row],[Tech Start Date]],2),""))))</f>
        <v/>
      </c>
      <c r="N939" s="114" t="str">
        <f>IF(Main[[#This Row],[Tech Start Date]]&lt;1/1/1990,"",IF(Main[[#This Row],[Class]]="C",WORKDAY(Main[[#This Row],[Tech Start Date]],19),IF(Main[[#This Row],[Class]]="B", WORKDAY(Main[[#This Row],[Tech Start Date]],12),IF(Main[[#This Row],[Class]]="A",WORKDAY(Main[[#This Row],[Tech Start Date]],4),""))))</f>
        <v/>
      </c>
      <c r="O939" s="114" t="str">
        <f>IF(Main[[#This Row],[Tech Start Date]]&lt;1/1/1990,"",IF(Main[[#This Row],[Class]]="C",WORKDAY(Main[[#This Row],[Tech Start Date]],23),IF(Main[[#This Row],[Class]]="B", WORKDAY(Main[[#This Row],[Tech Start Date]],15),IF(Main[[#This Row],[Class]]="A",WORKDAY(Main[[#This Row],[Tech Start Date]],5),""))))</f>
        <v/>
      </c>
      <c r="P939" s="114" t="str">
        <f>IF(Main[[#This Row],[Tech Start Date]]&lt;1/1/1990,"",IF(Main[[#This Row],[Class]]="C",WORKDAY(Main[[#This Row],[Tech Start Date]],28),IF(Main[[#This Row],[Class]]="B", WORKDAY(Main[[#This Row],[Tech Start Date]],19),IF(Main[[#This Row],[Class]]="A",WORKDAY(Main[[#This Row],[Tech Start Date]],9),""))))</f>
        <v/>
      </c>
      <c r="Q939" s="129">
        <v>40672</v>
      </c>
      <c r="R939" s="129"/>
      <c r="S939" s="139" t="s">
        <v>11</v>
      </c>
      <c r="T939" s="115" t="s">
        <v>4</v>
      </c>
      <c r="U939" s="139" t="s">
        <v>12</v>
      </c>
      <c r="V939" s="139" t="s">
        <v>1914</v>
      </c>
      <c r="W939" s="139" t="s">
        <v>1916</v>
      </c>
      <c r="X939" s="139" t="s">
        <v>2908</v>
      </c>
      <c r="Y939" s="112" t="s">
        <v>4</v>
      </c>
      <c r="Z939" s="112" t="s">
        <v>4</v>
      </c>
      <c r="AA939" s="139" t="s">
        <v>2908</v>
      </c>
    </row>
    <row r="940" spans="1:27" ht="17.25" customHeight="1">
      <c r="A940" s="69" t="str">
        <f>IF(priority(Main[[#This Row],[Comments]])&lt;&gt;0, priority(Main[[#This Row],[Comments]]),"")</f>
        <v/>
      </c>
      <c r="B940" s="63" t="s">
        <v>1751</v>
      </c>
      <c r="C940" s="148" t="s">
        <v>4</v>
      </c>
      <c r="D940" s="113" t="s">
        <v>799</v>
      </c>
      <c r="E940" s="129"/>
      <c r="F940" s="129"/>
      <c r="G940" s="69" t="str">
        <f>IF(stdProdLT(Main[[#This Row],[Comments]])=0.1,"N/A",IF(stdProdLT(Main[[#This Row],[Comments]])=0,"",stdProdLT(Main[[#This Row],[Comments]])))</f>
        <v/>
      </c>
      <c r="H940" s="138" t="str">
        <f>IF(Main[[#This Row],[In Stock Date]]="N/A", "N/A",IF(AND(Main[[#This Row],[In Stock Date]]&lt;&gt;"",Main[[#This Row],[Revised Due Date]]&lt;&gt;"",Main[[#This Row],[In Stock Date]]&lt;&gt;""),Main[[#This Row],[In Stock Date]]-Main[[#This Row],[Revised Due Date]],""))</f>
        <v/>
      </c>
      <c r="I940" s="139" t="s">
        <v>4</v>
      </c>
      <c r="J940" s="139" t="s">
        <v>28</v>
      </c>
      <c r="K940" s="140" t="s">
        <v>1923</v>
      </c>
      <c r="L940" s="129"/>
      <c r="M940" s="114" t="str">
        <f>IF(Main[[#This Row],[Tech Start Date]]&lt;1/1/1990,"",IF(Main[[#This Row],[Class]]="C",WORKDAY(Main[[#This Row],[Tech Start Date]],9),IF(Main[[#This Row],[Class]]="B", WORKDAY(Main[[#This Row],[Tech Start Date]],6),IF(Main[[#This Row],[Class]]="A",WORKDAY(Main[[#This Row],[Tech Start Date]],2),""))))</f>
        <v/>
      </c>
      <c r="N940" s="114" t="str">
        <f>IF(Main[[#This Row],[Tech Start Date]]&lt;1/1/1990,"",IF(Main[[#This Row],[Class]]="C",WORKDAY(Main[[#This Row],[Tech Start Date]],19),IF(Main[[#This Row],[Class]]="B", WORKDAY(Main[[#This Row],[Tech Start Date]],12),IF(Main[[#This Row],[Class]]="A",WORKDAY(Main[[#This Row],[Tech Start Date]],4),""))))</f>
        <v/>
      </c>
      <c r="O940" s="114" t="str">
        <f>IF(Main[[#This Row],[Tech Start Date]]&lt;1/1/1990,"",IF(Main[[#This Row],[Class]]="C",WORKDAY(Main[[#This Row],[Tech Start Date]],23),IF(Main[[#This Row],[Class]]="B", WORKDAY(Main[[#This Row],[Tech Start Date]],15),IF(Main[[#This Row],[Class]]="A",WORKDAY(Main[[#This Row],[Tech Start Date]],5),""))))</f>
        <v/>
      </c>
      <c r="P940" s="114" t="str">
        <f>IF(Main[[#This Row],[Tech Start Date]]&lt;1/1/1990,"",IF(Main[[#This Row],[Class]]="C",WORKDAY(Main[[#This Row],[Tech Start Date]],28),IF(Main[[#This Row],[Class]]="B", WORKDAY(Main[[#This Row],[Tech Start Date]],19),IF(Main[[#This Row],[Class]]="A",WORKDAY(Main[[#This Row],[Tech Start Date]],9),""))))</f>
        <v/>
      </c>
      <c r="Q940" s="129">
        <v>40672</v>
      </c>
      <c r="R940" s="129"/>
      <c r="S940" s="139" t="s">
        <v>6</v>
      </c>
      <c r="T940" s="115" t="s">
        <v>4</v>
      </c>
      <c r="U940" s="139" t="s">
        <v>14</v>
      </c>
      <c r="V940" s="139" t="s">
        <v>1917</v>
      </c>
      <c r="W940" s="139" t="s">
        <v>1916</v>
      </c>
      <c r="X940" s="139" t="s">
        <v>2822</v>
      </c>
      <c r="Y940" s="112" t="s">
        <v>2938</v>
      </c>
      <c r="Z940" s="112" t="s">
        <v>530</v>
      </c>
      <c r="AA940" s="139" t="s">
        <v>2822</v>
      </c>
    </row>
    <row r="941" spans="1:27" ht="17.25" customHeight="1">
      <c r="A941" s="69" t="str">
        <f>IF(priority(Main[[#This Row],[Comments]])&lt;&gt;0, priority(Main[[#This Row],[Comments]]),"")</f>
        <v/>
      </c>
      <c r="B941" s="63" t="s">
        <v>2706</v>
      </c>
      <c r="C941" s="148" t="s">
        <v>47</v>
      </c>
      <c r="D941" s="113" t="s">
        <v>3327</v>
      </c>
      <c r="E941" s="129">
        <v>40893.759675925925</v>
      </c>
      <c r="F941" s="129"/>
      <c r="G941" s="69" t="str">
        <f>IF(stdProdLT(Main[[#This Row],[Comments]])=0.1,"N/A",IF(stdProdLT(Main[[#This Row],[Comments]])=0,"",stdProdLT(Main[[#This Row],[Comments]])))</f>
        <v/>
      </c>
      <c r="H941" s="138" t="str">
        <f>IF(Main[[#This Row],[In Stock Date]]="N/A", "N/A",IF(AND(Main[[#This Row],[In Stock Date]]&lt;&gt;"",Main[[#This Row],[Revised Due Date]]&lt;&gt;"",Main[[#This Row],[In Stock Date]]&lt;&gt;""),Main[[#This Row],[In Stock Date]]-Main[[#This Row],[Revised Due Date]],""))</f>
        <v/>
      </c>
      <c r="I941" s="139" t="s">
        <v>4</v>
      </c>
      <c r="J941" s="139" t="s">
        <v>4</v>
      </c>
      <c r="K941" s="139" t="s">
        <v>4</v>
      </c>
      <c r="L941" s="129"/>
      <c r="M941" s="114" t="str">
        <f>IF(Main[[#This Row],[Tech Start Date]]&lt;1/1/1990,"",IF(Main[[#This Row],[Class]]="C",WORKDAY(Main[[#This Row],[Tech Start Date]],9),IF(Main[[#This Row],[Class]]="B", WORKDAY(Main[[#This Row],[Tech Start Date]],6),IF(Main[[#This Row],[Class]]="A",WORKDAY(Main[[#This Row],[Tech Start Date]],2),""))))</f>
        <v/>
      </c>
      <c r="N941" s="114" t="str">
        <f>IF(Main[[#This Row],[Tech Start Date]]&lt;1/1/1990,"",IF(Main[[#This Row],[Class]]="C",WORKDAY(Main[[#This Row],[Tech Start Date]],19),IF(Main[[#This Row],[Class]]="B", WORKDAY(Main[[#This Row],[Tech Start Date]],12),IF(Main[[#This Row],[Class]]="A",WORKDAY(Main[[#This Row],[Tech Start Date]],4),""))))</f>
        <v/>
      </c>
      <c r="O941" s="114" t="str">
        <f>IF(Main[[#This Row],[Tech Start Date]]&lt;1/1/1990,"",IF(Main[[#This Row],[Class]]="C",WORKDAY(Main[[#This Row],[Tech Start Date]],23),IF(Main[[#This Row],[Class]]="B", WORKDAY(Main[[#This Row],[Tech Start Date]],15),IF(Main[[#This Row],[Class]]="A",WORKDAY(Main[[#This Row],[Tech Start Date]],5),""))))</f>
        <v/>
      </c>
      <c r="P941" s="114" t="str">
        <f>IF(Main[[#This Row],[Tech Start Date]]&lt;1/1/1990,"",IF(Main[[#This Row],[Class]]="C",WORKDAY(Main[[#This Row],[Tech Start Date]],28),IF(Main[[#This Row],[Class]]="B", WORKDAY(Main[[#This Row],[Tech Start Date]],19),IF(Main[[#This Row],[Class]]="A",WORKDAY(Main[[#This Row],[Tech Start Date]],9),""))))</f>
        <v/>
      </c>
      <c r="Q941" s="129">
        <v>40924</v>
      </c>
      <c r="R941" s="129"/>
      <c r="S941" s="139" t="s">
        <v>6</v>
      </c>
      <c r="T941" s="115" t="s">
        <v>4</v>
      </c>
      <c r="U941" s="139" t="s">
        <v>29</v>
      </c>
      <c r="V941" s="139" t="s">
        <v>2283</v>
      </c>
      <c r="W941" s="139" t="s">
        <v>4</v>
      </c>
      <c r="X941" s="139" t="s">
        <v>2865</v>
      </c>
      <c r="Y941" s="112" t="s">
        <v>3010</v>
      </c>
      <c r="Z941" s="112" t="s">
        <v>4</v>
      </c>
      <c r="AA941" s="139" t="s">
        <v>2865</v>
      </c>
    </row>
    <row r="942" spans="1:27" ht="17.25" customHeight="1">
      <c r="A942" s="69" t="str">
        <f>IF(priority(Main[[#This Row],[Comments]])&lt;&gt;0, priority(Main[[#This Row],[Comments]]),"")</f>
        <v/>
      </c>
      <c r="B942" s="63" t="s">
        <v>3328</v>
      </c>
      <c r="C942" s="148" t="s">
        <v>47</v>
      </c>
      <c r="D942" s="113" t="s">
        <v>3329</v>
      </c>
      <c r="E942" s="129">
        <v>40938.416261574072</v>
      </c>
      <c r="F942" s="129"/>
      <c r="G942" s="69" t="str">
        <f>IF(stdProdLT(Main[[#This Row],[Comments]])=0.1,"N/A",IF(stdProdLT(Main[[#This Row],[Comments]])=0,"",stdProdLT(Main[[#This Row],[Comments]])))</f>
        <v/>
      </c>
      <c r="H942" s="138" t="str">
        <f>IF(Main[[#This Row],[In Stock Date]]="N/A", "N/A",IF(AND(Main[[#This Row],[In Stock Date]]&lt;&gt;"",Main[[#This Row],[Revised Due Date]]&lt;&gt;"",Main[[#This Row],[In Stock Date]]&lt;&gt;""),Main[[#This Row],[In Stock Date]]-Main[[#This Row],[Revised Due Date]],""))</f>
        <v/>
      </c>
      <c r="I942" s="139" t="s">
        <v>4</v>
      </c>
      <c r="J942" s="139" t="s">
        <v>4</v>
      </c>
      <c r="K942" s="139" t="s">
        <v>4</v>
      </c>
      <c r="L942" s="129"/>
      <c r="M942" s="114" t="str">
        <f>IF(Main[[#This Row],[Tech Start Date]]&lt;1/1/1990,"",IF(Main[[#This Row],[Class]]="C",WORKDAY(Main[[#This Row],[Tech Start Date]],9),IF(Main[[#This Row],[Class]]="B", WORKDAY(Main[[#This Row],[Tech Start Date]],6),IF(Main[[#This Row],[Class]]="A",WORKDAY(Main[[#This Row],[Tech Start Date]],2),""))))</f>
        <v/>
      </c>
      <c r="N942" s="114" t="str">
        <f>IF(Main[[#This Row],[Tech Start Date]]&lt;1/1/1990,"",IF(Main[[#This Row],[Class]]="C",WORKDAY(Main[[#This Row],[Tech Start Date]],19),IF(Main[[#This Row],[Class]]="B", WORKDAY(Main[[#This Row],[Tech Start Date]],12),IF(Main[[#This Row],[Class]]="A",WORKDAY(Main[[#This Row],[Tech Start Date]],4),""))))</f>
        <v/>
      </c>
      <c r="O942" s="114" t="str">
        <f>IF(Main[[#This Row],[Tech Start Date]]&lt;1/1/1990,"",IF(Main[[#This Row],[Class]]="C",WORKDAY(Main[[#This Row],[Tech Start Date]],23),IF(Main[[#This Row],[Class]]="B", WORKDAY(Main[[#This Row],[Tech Start Date]],15),IF(Main[[#This Row],[Class]]="A",WORKDAY(Main[[#This Row],[Tech Start Date]],5),""))))</f>
        <v/>
      </c>
      <c r="P942" s="114" t="str">
        <f>IF(Main[[#This Row],[Tech Start Date]]&lt;1/1/1990,"",IF(Main[[#This Row],[Class]]="C",WORKDAY(Main[[#This Row],[Tech Start Date]],28),IF(Main[[#This Row],[Class]]="B", WORKDAY(Main[[#This Row],[Tech Start Date]],19),IF(Main[[#This Row],[Class]]="A",WORKDAY(Main[[#This Row],[Tech Start Date]],9),""))))</f>
        <v/>
      </c>
      <c r="Q942" s="129">
        <v>40575</v>
      </c>
      <c r="R942" s="129"/>
      <c r="S942" s="139" t="s">
        <v>6</v>
      </c>
      <c r="T942" s="115" t="s">
        <v>4</v>
      </c>
      <c r="U942" s="139" t="s">
        <v>7</v>
      </c>
      <c r="V942" s="139" t="s">
        <v>2283</v>
      </c>
      <c r="W942" s="139" t="s">
        <v>4</v>
      </c>
      <c r="X942" s="139" t="s">
        <v>2865</v>
      </c>
      <c r="Y942" s="112" t="s">
        <v>3010</v>
      </c>
      <c r="Z942" s="112" t="s">
        <v>4</v>
      </c>
      <c r="AA942" s="139" t="s">
        <v>2865</v>
      </c>
    </row>
    <row r="943" spans="1:27" ht="17.25" customHeight="1">
      <c r="A943" s="69" t="str">
        <f>IF(priority(Main[[#This Row],[Comments]])&lt;&gt;0, priority(Main[[#This Row],[Comments]]),"")</f>
        <v/>
      </c>
      <c r="B943" s="63" t="s">
        <v>1752</v>
      </c>
      <c r="C943" s="148" t="s">
        <v>72</v>
      </c>
      <c r="D943" s="113" t="s">
        <v>800</v>
      </c>
      <c r="E943" s="129"/>
      <c r="F943" s="129"/>
      <c r="G943" s="69" t="str">
        <f>IF(stdProdLT(Main[[#This Row],[Comments]])=0.1,"N/A",IF(stdProdLT(Main[[#This Row],[Comments]])=0,"",stdProdLT(Main[[#This Row],[Comments]])))</f>
        <v/>
      </c>
      <c r="H943" s="138" t="str">
        <f>IF(Main[[#This Row],[In Stock Date]]="N/A", "N/A",IF(AND(Main[[#This Row],[In Stock Date]]&lt;&gt;"",Main[[#This Row],[Revised Due Date]]&lt;&gt;"",Main[[#This Row],[In Stock Date]]&lt;&gt;""),Main[[#This Row],[In Stock Date]]-Main[[#This Row],[Revised Due Date]],""))</f>
        <v/>
      </c>
      <c r="I943" s="139" t="s">
        <v>4</v>
      </c>
      <c r="J943" s="139" t="s">
        <v>52</v>
      </c>
      <c r="K943" s="139" t="s">
        <v>4</v>
      </c>
      <c r="L943" s="129"/>
      <c r="M943" s="114" t="str">
        <f>IF(Main[[#This Row],[Tech Start Date]]&lt;1/1/1990,"",IF(Main[[#This Row],[Class]]="C",WORKDAY(Main[[#This Row],[Tech Start Date]],9),IF(Main[[#This Row],[Class]]="B", WORKDAY(Main[[#This Row],[Tech Start Date]],6),IF(Main[[#This Row],[Class]]="A",WORKDAY(Main[[#This Row],[Tech Start Date]],2),""))))</f>
        <v/>
      </c>
      <c r="N943" s="114" t="str">
        <f>IF(Main[[#This Row],[Tech Start Date]]&lt;1/1/1990,"",IF(Main[[#This Row],[Class]]="C",WORKDAY(Main[[#This Row],[Tech Start Date]],19),IF(Main[[#This Row],[Class]]="B", WORKDAY(Main[[#This Row],[Tech Start Date]],12),IF(Main[[#This Row],[Class]]="A",WORKDAY(Main[[#This Row],[Tech Start Date]],4),""))))</f>
        <v/>
      </c>
      <c r="O943" s="114" t="str">
        <f>IF(Main[[#This Row],[Tech Start Date]]&lt;1/1/1990,"",IF(Main[[#This Row],[Class]]="C",WORKDAY(Main[[#This Row],[Tech Start Date]],23),IF(Main[[#This Row],[Class]]="B", WORKDAY(Main[[#This Row],[Tech Start Date]],15),IF(Main[[#This Row],[Class]]="A",WORKDAY(Main[[#This Row],[Tech Start Date]],5),""))))</f>
        <v/>
      </c>
      <c r="P943" s="114" t="str">
        <f>IF(Main[[#This Row],[Tech Start Date]]&lt;1/1/1990,"",IF(Main[[#This Row],[Class]]="C",WORKDAY(Main[[#This Row],[Tech Start Date]],28),IF(Main[[#This Row],[Class]]="B", WORKDAY(Main[[#This Row],[Tech Start Date]],19),IF(Main[[#This Row],[Class]]="A",WORKDAY(Main[[#This Row],[Tech Start Date]],9),""))))</f>
        <v/>
      </c>
      <c r="Q943" s="129">
        <v>40482</v>
      </c>
      <c r="R943" s="129"/>
      <c r="S943" s="139" t="s">
        <v>11</v>
      </c>
      <c r="T943" s="115" t="s">
        <v>4</v>
      </c>
      <c r="U943" s="139" t="s">
        <v>14</v>
      </c>
      <c r="V943" s="139" t="s">
        <v>1917</v>
      </c>
      <c r="W943" s="139" t="s">
        <v>1922</v>
      </c>
      <c r="X943" s="139" t="s">
        <v>2901</v>
      </c>
      <c r="Y943" s="112" t="s">
        <v>2978</v>
      </c>
      <c r="Z943" s="112" t="s">
        <v>2051</v>
      </c>
      <c r="AA943" s="139" t="s">
        <v>2847</v>
      </c>
    </row>
    <row r="944" spans="1:27" ht="17.25" customHeight="1">
      <c r="A944" s="69" t="str">
        <f>IF(priority(Main[[#This Row],[Comments]])&lt;&gt;0, priority(Main[[#This Row],[Comments]]),"")</f>
        <v/>
      </c>
      <c r="B944" s="63" t="s">
        <v>1753</v>
      </c>
      <c r="C944" s="148" t="s">
        <v>4</v>
      </c>
      <c r="D944" s="113" t="s">
        <v>801</v>
      </c>
      <c r="E944" s="129"/>
      <c r="F944" s="129"/>
      <c r="G944" s="69" t="str">
        <f>IF(stdProdLT(Main[[#This Row],[Comments]])=0.1,"N/A",IF(stdProdLT(Main[[#This Row],[Comments]])=0,"",stdProdLT(Main[[#This Row],[Comments]])))</f>
        <v/>
      </c>
      <c r="H944" s="138" t="str">
        <f>IF(Main[[#This Row],[In Stock Date]]="N/A", "N/A",IF(AND(Main[[#This Row],[In Stock Date]]&lt;&gt;"",Main[[#This Row],[Revised Due Date]]&lt;&gt;"",Main[[#This Row],[In Stock Date]]&lt;&gt;""),Main[[#This Row],[In Stock Date]]-Main[[#This Row],[Revised Due Date]],""))</f>
        <v/>
      </c>
      <c r="I944" s="139" t="s">
        <v>399</v>
      </c>
      <c r="J944" s="139" t="s">
        <v>4</v>
      </c>
      <c r="K944" s="139" t="s">
        <v>4</v>
      </c>
      <c r="L944" s="129"/>
      <c r="M944" s="114" t="str">
        <f>IF(Main[[#This Row],[Tech Start Date]]&lt;1/1/1990,"",IF(Main[[#This Row],[Class]]="C",WORKDAY(Main[[#This Row],[Tech Start Date]],9),IF(Main[[#This Row],[Class]]="B", WORKDAY(Main[[#This Row],[Tech Start Date]],6),IF(Main[[#This Row],[Class]]="A",WORKDAY(Main[[#This Row],[Tech Start Date]],2),""))))</f>
        <v/>
      </c>
      <c r="N944" s="114" t="str">
        <f>IF(Main[[#This Row],[Tech Start Date]]&lt;1/1/1990,"",IF(Main[[#This Row],[Class]]="C",WORKDAY(Main[[#This Row],[Tech Start Date]],19),IF(Main[[#This Row],[Class]]="B", WORKDAY(Main[[#This Row],[Tech Start Date]],12),IF(Main[[#This Row],[Class]]="A",WORKDAY(Main[[#This Row],[Tech Start Date]],4),""))))</f>
        <v/>
      </c>
      <c r="O944" s="114" t="str">
        <f>IF(Main[[#This Row],[Tech Start Date]]&lt;1/1/1990,"",IF(Main[[#This Row],[Class]]="C",WORKDAY(Main[[#This Row],[Tech Start Date]],23),IF(Main[[#This Row],[Class]]="B", WORKDAY(Main[[#This Row],[Tech Start Date]],15),IF(Main[[#This Row],[Class]]="A",WORKDAY(Main[[#This Row],[Tech Start Date]],5),""))))</f>
        <v/>
      </c>
      <c r="P944" s="114" t="str">
        <f>IF(Main[[#This Row],[Tech Start Date]]&lt;1/1/1990,"",IF(Main[[#This Row],[Class]]="C",WORKDAY(Main[[#This Row],[Tech Start Date]],28),IF(Main[[#This Row],[Class]]="B", WORKDAY(Main[[#This Row],[Tech Start Date]],19),IF(Main[[#This Row],[Class]]="A",WORKDAY(Main[[#This Row],[Tech Start Date]],9),""))))</f>
        <v/>
      </c>
      <c r="Q944" s="129">
        <v>40359</v>
      </c>
      <c r="R944" s="129"/>
      <c r="S944" s="139" t="s">
        <v>11</v>
      </c>
      <c r="T944" s="115" t="s">
        <v>4</v>
      </c>
      <c r="U944" s="139" t="s">
        <v>14</v>
      </c>
      <c r="V944" s="139" t="s">
        <v>1917</v>
      </c>
      <c r="W944" s="139" t="s">
        <v>1920</v>
      </c>
      <c r="X944" s="139" t="s">
        <v>2881</v>
      </c>
      <c r="Y944" s="112" t="s">
        <v>3030</v>
      </c>
      <c r="Z944" s="112" t="s">
        <v>306</v>
      </c>
      <c r="AA944" s="139" t="s">
        <v>2881</v>
      </c>
    </row>
    <row r="945" spans="1:27" ht="17.25" customHeight="1">
      <c r="A945" s="69" t="str">
        <f>IF(priority(Main[[#This Row],[Comments]])&lt;&gt;0, priority(Main[[#This Row],[Comments]]),"")</f>
        <v/>
      </c>
      <c r="B945" s="63" t="s">
        <v>1754</v>
      </c>
      <c r="C945" s="148" t="s">
        <v>42</v>
      </c>
      <c r="D945" s="113" t="s">
        <v>802</v>
      </c>
      <c r="E945" s="129">
        <v>39932.448611111111</v>
      </c>
      <c r="F945" s="129"/>
      <c r="G945" s="69" t="str">
        <f>IF(stdProdLT(Main[[#This Row],[Comments]])=0.1,"N/A",IF(stdProdLT(Main[[#This Row],[Comments]])=0,"",stdProdLT(Main[[#This Row],[Comments]])))</f>
        <v/>
      </c>
      <c r="H945" s="138" t="str">
        <f>IF(Main[[#This Row],[In Stock Date]]="N/A", "N/A",IF(AND(Main[[#This Row],[In Stock Date]]&lt;&gt;"",Main[[#This Row],[Revised Due Date]]&lt;&gt;"",Main[[#This Row],[In Stock Date]]&lt;&gt;""),Main[[#This Row],[In Stock Date]]-Main[[#This Row],[Revised Due Date]],""))</f>
        <v/>
      </c>
      <c r="I945" s="139" t="s">
        <v>4</v>
      </c>
      <c r="J945" s="139" t="s">
        <v>4</v>
      </c>
      <c r="K945" s="139" t="s">
        <v>4</v>
      </c>
      <c r="L945" s="129"/>
      <c r="M945" s="114" t="str">
        <f>IF(Main[[#This Row],[Tech Start Date]]&lt;1/1/1990,"",IF(Main[[#This Row],[Class]]="C",WORKDAY(Main[[#This Row],[Tech Start Date]],9),IF(Main[[#This Row],[Class]]="B", WORKDAY(Main[[#This Row],[Tech Start Date]],6),IF(Main[[#This Row],[Class]]="A",WORKDAY(Main[[#This Row],[Tech Start Date]],2),""))))</f>
        <v/>
      </c>
      <c r="N945" s="114" t="str">
        <f>IF(Main[[#This Row],[Tech Start Date]]&lt;1/1/1990,"",IF(Main[[#This Row],[Class]]="C",WORKDAY(Main[[#This Row],[Tech Start Date]],19),IF(Main[[#This Row],[Class]]="B", WORKDAY(Main[[#This Row],[Tech Start Date]],12),IF(Main[[#This Row],[Class]]="A",WORKDAY(Main[[#This Row],[Tech Start Date]],4),""))))</f>
        <v/>
      </c>
      <c r="O945" s="114" t="str">
        <f>IF(Main[[#This Row],[Tech Start Date]]&lt;1/1/1990,"",IF(Main[[#This Row],[Class]]="C",WORKDAY(Main[[#This Row],[Tech Start Date]],23),IF(Main[[#This Row],[Class]]="B", WORKDAY(Main[[#This Row],[Tech Start Date]],15),IF(Main[[#This Row],[Class]]="A",WORKDAY(Main[[#This Row],[Tech Start Date]],5),""))))</f>
        <v/>
      </c>
      <c r="P945" s="114" t="str">
        <f>IF(Main[[#This Row],[Tech Start Date]]&lt;1/1/1990,"",IF(Main[[#This Row],[Class]]="C",WORKDAY(Main[[#This Row],[Tech Start Date]],28),IF(Main[[#This Row],[Class]]="B", WORKDAY(Main[[#This Row],[Tech Start Date]],19),IF(Main[[#This Row],[Class]]="A",WORKDAY(Main[[#This Row],[Tech Start Date]],9),""))))</f>
        <v/>
      </c>
      <c r="Q945" s="129"/>
      <c r="R945" s="129"/>
      <c r="S945" s="139" t="s">
        <v>17</v>
      </c>
      <c r="T945" s="115" t="s">
        <v>4</v>
      </c>
      <c r="U945" s="139" t="s">
        <v>7</v>
      </c>
      <c r="V945" s="139" t="s">
        <v>1917</v>
      </c>
      <c r="W945" s="139" t="s">
        <v>4</v>
      </c>
      <c r="X945" s="139" t="s">
        <v>399</v>
      </c>
      <c r="Y945" s="112" t="s">
        <v>4</v>
      </c>
      <c r="Z945" s="112" t="s">
        <v>4</v>
      </c>
      <c r="AA945" s="139" t="s">
        <v>4</v>
      </c>
    </row>
    <row r="946" spans="1:27" ht="17.25" customHeight="1">
      <c r="A946" s="69" t="str">
        <f>IF(priority(Main[[#This Row],[Comments]])&lt;&gt;0, priority(Main[[#This Row],[Comments]]),"")</f>
        <v/>
      </c>
      <c r="B946" s="63" t="s">
        <v>1713</v>
      </c>
      <c r="C946" s="148" t="s">
        <v>4</v>
      </c>
      <c r="D946" s="113" t="s">
        <v>764</v>
      </c>
      <c r="E946" s="129"/>
      <c r="F946" s="129"/>
      <c r="G946" s="69" t="str">
        <f>IF(stdProdLT(Main[[#This Row],[Comments]])=0.1,"N/A",IF(stdProdLT(Main[[#This Row],[Comments]])=0,"",stdProdLT(Main[[#This Row],[Comments]])))</f>
        <v/>
      </c>
      <c r="H946" s="138" t="str">
        <f>IF(Main[[#This Row],[In Stock Date]]="N/A", "N/A",IF(AND(Main[[#This Row],[In Stock Date]]&lt;&gt;"",Main[[#This Row],[Revised Due Date]]&lt;&gt;"",Main[[#This Row],[In Stock Date]]&lt;&gt;""),Main[[#This Row],[In Stock Date]]-Main[[#This Row],[Revised Due Date]],""))</f>
        <v/>
      </c>
      <c r="I946" s="139" t="s">
        <v>399</v>
      </c>
      <c r="J946" s="139" t="s">
        <v>75</v>
      </c>
      <c r="K946" s="139" t="s">
        <v>4</v>
      </c>
      <c r="L946" s="129"/>
      <c r="M946" s="114" t="str">
        <f>IF(Main[[#This Row],[Tech Start Date]]&lt;1/1/1990,"",IF(Main[[#This Row],[Class]]="C",WORKDAY(Main[[#This Row],[Tech Start Date]],9),IF(Main[[#This Row],[Class]]="B", WORKDAY(Main[[#This Row],[Tech Start Date]],6),IF(Main[[#This Row],[Class]]="A",WORKDAY(Main[[#This Row],[Tech Start Date]],2),""))))</f>
        <v/>
      </c>
      <c r="N946" s="114" t="str">
        <f>IF(Main[[#This Row],[Tech Start Date]]&lt;1/1/1990,"",IF(Main[[#This Row],[Class]]="C",WORKDAY(Main[[#This Row],[Tech Start Date]],19),IF(Main[[#This Row],[Class]]="B", WORKDAY(Main[[#This Row],[Tech Start Date]],12),IF(Main[[#This Row],[Class]]="A",WORKDAY(Main[[#This Row],[Tech Start Date]],4),""))))</f>
        <v/>
      </c>
      <c r="O946" s="114" t="str">
        <f>IF(Main[[#This Row],[Tech Start Date]]&lt;1/1/1990,"",IF(Main[[#This Row],[Class]]="C",WORKDAY(Main[[#This Row],[Tech Start Date]],23),IF(Main[[#This Row],[Class]]="B", WORKDAY(Main[[#This Row],[Tech Start Date]],15),IF(Main[[#This Row],[Class]]="A",WORKDAY(Main[[#This Row],[Tech Start Date]],5),""))))</f>
        <v/>
      </c>
      <c r="P946" s="114" t="str">
        <f>IF(Main[[#This Row],[Tech Start Date]]&lt;1/1/1990,"",IF(Main[[#This Row],[Class]]="C",WORKDAY(Main[[#This Row],[Tech Start Date]],28),IF(Main[[#This Row],[Class]]="B", WORKDAY(Main[[#This Row],[Tech Start Date]],19),IF(Main[[#This Row],[Class]]="A",WORKDAY(Main[[#This Row],[Tech Start Date]],9),""))))</f>
        <v/>
      </c>
      <c r="Q946" s="129">
        <v>40401</v>
      </c>
      <c r="R946" s="129"/>
      <c r="S946" s="139" t="s">
        <v>6</v>
      </c>
      <c r="T946" s="115" t="s">
        <v>4</v>
      </c>
      <c r="U946" s="139" t="s">
        <v>14</v>
      </c>
      <c r="V946" s="139" t="s">
        <v>1917</v>
      </c>
      <c r="W946" s="139" t="s">
        <v>1918</v>
      </c>
      <c r="X946" s="139" t="s">
        <v>399</v>
      </c>
      <c r="Y946" s="112" t="s">
        <v>4</v>
      </c>
      <c r="Z946" s="112" t="s">
        <v>306</v>
      </c>
      <c r="AA946" s="139" t="s">
        <v>4</v>
      </c>
    </row>
    <row r="947" spans="1:27" ht="17.25" customHeight="1">
      <c r="A947" s="69" t="str">
        <f>IF(priority(Main[[#This Row],[Comments]])&lt;&gt;0, priority(Main[[#This Row],[Comments]]),"")</f>
        <v/>
      </c>
      <c r="B947" s="63" t="s">
        <v>1714</v>
      </c>
      <c r="C947" s="148" t="s">
        <v>4</v>
      </c>
      <c r="D947" s="113" t="s">
        <v>766</v>
      </c>
      <c r="E947" s="129">
        <v>40647.40420138889</v>
      </c>
      <c r="F947" s="129"/>
      <c r="G947" s="69" t="str">
        <f>IF(stdProdLT(Main[[#This Row],[Comments]])=0.1,"N/A",IF(stdProdLT(Main[[#This Row],[Comments]])=0,"",stdProdLT(Main[[#This Row],[Comments]])))</f>
        <v/>
      </c>
      <c r="H947" s="138" t="str">
        <f>IF(Main[[#This Row],[In Stock Date]]="N/A", "N/A",IF(AND(Main[[#This Row],[In Stock Date]]&lt;&gt;"",Main[[#This Row],[Revised Due Date]]&lt;&gt;"",Main[[#This Row],[In Stock Date]]&lt;&gt;""),Main[[#This Row],[In Stock Date]]-Main[[#This Row],[Revised Due Date]],""))</f>
        <v/>
      </c>
      <c r="I947" s="139" t="s">
        <v>4</v>
      </c>
      <c r="J947" s="139" t="s">
        <v>4</v>
      </c>
      <c r="K947" s="139" t="s">
        <v>4</v>
      </c>
      <c r="L947" s="129"/>
      <c r="M947" s="114" t="str">
        <f>IF(Main[[#This Row],[Tech Start Date]]&lt;1/1/1990,"",IF(Main[[#This Row],[Class]]="C",WORKDAY(Main[[#This Row],[Tech Start Date]],9),IF(Main[[#This Row],[Class]]="B", WORKDAY(Main[[#This Row],[Tech Start Date]],6),IF(Main[[#This Row],[Class]]="A",WORKDAY(Main[[#This Row],[Tech Start Date]],2),""))))</f>
        <v/>
      </c>
      <c r="N947" s="114" t="str">
        <f>IF(Main[[#This Row],[Tech Start Date]]&lt;1/1/1990,"",IF(Main[[#This Row],[Class]]="C",WORKDAY(Main[[#This Row],[Tech Start Date]],19),IF(Main[[#This Row],[Class]]="B", WORKDAY(Main[[#This Row],[Tech Start Date]],12),IF(Main[[#This Row],[Class]]="A",WORKDAY(Main[[#This Row],[Tech Start Date]],4),""))))</f>
        <v/>
      </c>
      <c r="O947" s="114" t="str">
        <f>IF(Main[[#This Row],[Tech Start Date]]&lt;1/1/1990,"",IF(Main[[#This Row],[Class]]="C",WORKDAY(Main[[#This Row],[Tech Start Date]],23),IF(Main[[#This Row],[Class]]="B", WORKDAY(Main[[#This Row],[Tech Start Date]],15),IF(Main[[#This Row],[Class]]="A",WORKDAY(Main[[#This Row],[Tech Start Date]],5),""))))</f>
        <v/>
      </c>
      <c r="P947" s="114" t="str">
        <f>IF(Main[[#This Row],[Tech Start Date]]&lt;1/1/1990,"",IF(Main[[#This Row],[Class]]="C",WORKDAY(Main[[#This Row],[Tech Start Date]],28),IF(Main[[#This Row],[Class]]="B", WORKDAY(Main[[#This Row],[Tech Start Date]],19),IF(Main[[#This Row],[Class]]="A",WORKDAY(Main[[#This Row],[Tech Start Date]],9),""))))</f>
        <v/>
      </c>
      <c r="Q947" s="129">
        <v>40676</v>
      </c>
      <c r="R947" s="129"/>
      <c r="S947" s="139" t="s">
        <v>6</v>
      </c>
      <c r="T947" s="115" t="s">
        <v>4</v>
      </c>
      <c r="U947" s="139" t="s">
        <v>7</v>
      </c>
      <c r="V947" s="139" t="s">
        <v>1914</v>
      </c>
      <c r="W947" s="139" t="s">
        <v>4</v>
      </c>
      <c r="X947" s="139" t="s">
        <v>2822</v>
      </c>
      <c r="Y947" s="112" t="s">
        <v>2938</v>
      </c>
      <c r="Z947" s="112" t="s">
        <v>4</v>
      </c>
      <c r="AA947" s="139" t="s">
        <v>2822</v>
      </c>
    </row>
    <row r="948" spans="1:27" ht="17.25" customHeight="1">
      <c r="A948" s="69" t="str">
        <f>IF(priority(Main[[#This Row],[Comments]])&lt;&gt;0, priority(Main[[#This Row],[Comments]]),"")</f>
        <v/>
      </c>
      <c r="B948" s="63" t="s">
        <v>1825</v>
      </c>
      <c r="C948" s="148" t="s">
        <v>47</v>
      </c>
      <c r="D948" s="113" t="s">
        <v>876</v>
      </c>
      <c r="E948" s="129">
        <v>39937.613564814812</v>
      </c>
      <c r="F948" s="129"/>
      <c r="G948" s="69" t="str">
        <f>IF(stdProdLT(Main[[#This Row],[Comments]])=0.1,"N/A",IF(stdProdLT(Main[[#This Row],[Comments]])=0,"",stdProdLT(Main[[#This Row],[Comments]])))</f>
        <v/>
      </c>
      <c r="H948" s="138" t="str">
        <f>IF(Main[[#This Row],[In Stock Date]]="N/A", "N/A",IF(AND(Main[[#This Row],[In Stock Date]]&lt;&gt;"",Main[[#This Row],[Revised Due Date]]&lt;&gt;"",Main[[#This Row],[In Stock Date]]&lt;&gt;""),Main[[#This Row],[In Stock Date]]-Main[[#This Row],[Revised Due Date]],""))</f>
        <v/>
      </c>
      <c r="I948" s="139" t="s">
        <v>877</v>
      </c>
      <c r="J948" s="139" t="s">
        <v>4</v>
      </c>
      <c r="K948" s="139" t="s">
        <v>1926</v>
      </c>
      <c r="L948" s="129"/>
      <c r="M948" s="114" t="str">
        <f>IF(Main[[#This Row],[Tech Start Date]]&lt;1/1/1990,"",IF(Main[[#This Row],[Class]]="C",WORKDAY(Main[[#This Row],[Tech Start Date]],9),IF(Main[[#This Row],[Class]]="B", WORKDAY(Main[[#This Row],[Tech Start Date]],6),IF(Main[[#This Row],[Class]]="A",WORKDAY(Main[[#This Row],[Tech Start Date]],2),""))))</f>
        <v/>
      </c>
      <c r="N948" s="114" t="str">
        <f>IF(Main[[#This Row],[Tech Start Date]]&lt;1/1/1990,"",IF(Main[[#This Row],[Class]]="C",WORKDAY(Main[[#This Row],[Tech Start Date]],19),IF(Main[[#This Row],[Class]]="B", WORKDAY(Main[[#This Row],[Tech Start Date]],12),IF(Main[[#This Row],[Class]]="A",WORKDAY(Main[[#This Row],[Tech Start Date]],4),""))))</f>
        <v/>
      </c>
      <c r="O948" s="114" t="str">
        <f>IF(Main[[#This Row],[Tech Start Date]]&lt;1/1/1990,"",IF(Main[[#This Row],[Class]]="C",WORKDAY(Main[[#This Row],[Tech Start Date]],23),IF(Main[[#This Row],[Class]]="B", WORKDAY(Main[[#This Row],[Tech Start Date]],15),IF(Main[[#This Row],[Class]]="A",WORKDAY(Main[[#This Row],[Tech Start Date]],5),""))))</f>
        <v/>
      </c>
      <c r="P948" s="114" t="str">
        <f>IF(Main[[#This Row],[Tech Start Date]]&lt;1/1/1990,"",IF(Main[[#This Row],[Class]]="C",WORKDAY(Main[[#This Row],[Tech Start Date]],28),IF(Main[[#This Row],[Class]]="B", WORKDAY(Main[[#This Row],[Tech Start Date]],19),IF(Main[[#This Row],[Class]]="A",WORKDAY(Main[[#This Row],[Tech Start Date]],9),""))))</f>
        <v/>
      </c>
      <c r="Q948" s="129">
        <v>40267</v>
      </c>
      <c r="R948" s="129">
        <v>40359</v>
      </c>
      <c r="S948" s="139" t="s">
        <v>17</v>
      </c>
      <c r="T948" s="115" t="s">
        <v>4</v>
      </c>
      <c r="U948" s="139" t="s">
        <v>29</v>
      </c>
      <c r="V948" s="139" t="s">
        <v>1914</v>
      </c>
      <c r="W948" s="139" t="s">
        <v>1918</v>
      </c>
      <c r="X948" s="139" t="s">
        <v>306</v>
      </c>
      <c r="Y948" s="112" t="s">
        <v>2941</v>
      </c>
      <c r="Z948" s="112" t="s">
        <v>4</v>
      </c>
      <c r="AA948" s="139" t="s">
        <v>3376</v>
      </c>
    </row>
    <row r="949" spans="1:27" ht="17.25" customHeight="1">
      <c r="A949" s="69" t="str">
        <f>IF(priority(Main[[#This Row],[Comments]])&lt;&gt;0, priority(Main[[#This Row],[Comments]]),"")</f>
        <v/>
      </c>
      <c r="B949" s="63" t="s">
        <v>1715</v>
      </c>
      <c r="C949" s="148" t="s">
        <v>4</v>
      </c>
      <c r="D949" s="113" t="s">
        <v>509</v>
      </c>
      <c r="E949" s="129"/>
      <c r="F949" s="129"/>
      <c r="G949" s="69" t="str">
        <f>IF(stdProdLT(Main[[#This Row],[Comments]])=0.1,"N/A",IF(stdProdLT(Main[[#This Row],[Comments]])=0,"",stdProdLT(Main[[#This Row],[Comments]])))</f>
        <v/>
      </c>
      <c r="H949" s="138" t="str">
        <f>IF(Main[[#This Row],[In Stock Date]]="N/A", "N/A",IF(AND(Main[[#This Row],[In Stock Date]]&lt;&gt;"",Main[[#This Row],[Revised Due Date]]&lt;&gt;"",Main[[#This Row],[In Stock Date]]&lt;&gt;""),Main[[#This Row],[In Stock Date]]-Main[[#This Row],[Revised Due Date]],""))</f>
        <v/>
      </c>
      <c r="I949" s="139" t="s">
        <v>4</v>
      </c>
      <c r="J949" s="139" t="s">
        <v>4</v>
      </c>
      <c r="K949" s="140" t="s">
        <v>4</v>
      </c>
      <c r="L949" s="129"/>
      <c r="M949" s="114" t="str">
        <f>IF(Main[[#This Row],[Tech Start Date]]&lt;1/1/1990,"",IF(Main[[#This Row],[Class]]="C",WORKDAY(Main[[#This Row],[Tech Start Date]],9),IF(Main[[#This Row],[Class]]="B", WORKDAY(Main[[#This Row],[Tech Start Date]],6),IF(Main[[#This Row],[Class]]="A",WORKDAY(Main[[#This Row],[Tech Start Date]],2),""))))</f>
        <v/>
      </c>
      <c r="N949" s="114" t="str">
        <f>IF(Main[[#This Row],[Tech Start Date]]&lt;1/1/1990,"",IF(Main[[#This Row],[Class]]="C",WORKDAY(Main[[#This Row],[Tech Start Date]],19),IF(Main[[#This Row],[Class]]="B", WORKDAY(Main[[#This Row],[Tech Start Date]],12),IF(Main[[#This Row],[Class]]="A",WORKDAY(Main[[#This Row],[Tech Start Date]],4),""))))</f>
        <v/>
      </c>
      <c r="O949" s="114" t="str">
        <f>IF(Main[[#This Row],[Tech Start Date]]&lt;1/1/1990,"",IF(Main[[#This Row],[Class]]="C",WORKDAY(Main[[#This Row],[Tech Start Date]],23),IF(Main[[#This Row],[Class]]="B", WORKDAY(Main[[#This Row],[Tech Start Date]],15),IF(Main[[#This Row],[Class]]="A",WORKDAY(Main[[#This Row],[Tech Start Date]],5),""))))</f>
        <v/>
      </c>
      <c r="P949" s="114" t="str">
        <f>IF(Main[[#This Row],[Tech Start Date]]&lt;1/1/1990,"",IF(Main[[#This Row],[Class]]="C",WORKDAY(Main[[#This Row],[Tech Start Date]],28),IF(Main[[#This Row],[Class]]="B", WORKDAY(Main[[#This Row],[Tech Start Date]],19),IF(Main[[#This Row],[Class]]="A",WORKDAY(Main[[#This Row],[Tech Start Date]],9),""))))</f>
        <v/>
      </c>
      <c r="Q949" s="129"/>
      <c r="R949" s="129"/>
      <c r="S949" s="139" t="s">
        <v>4</v>
      </c>
      <c r="T949" s="115" t="s">
        <v>4</v>
      </c>
      <c r="U949" s="139" t="s">
        <v>14</v>
      </c>
      <c r="V949" s="139" t="s">
        <v>1917</v>
      </c>
      <c r="W949" s="139" t="s">
        <v>4</v>
      </c>
      <c r="X949" s="139" t="s">
        <v>2878</v>
      </c>
      <c r="Y949" s="112" t="s">
        <v>3026</v>
      </c>
      <c r="Z949" s="112" t="s">
        <v>4</v>
      </c>
      <c r="AA949" s="139" t="s">
        <v>2878</v>
      </c>
    </row>
    <row r="950" spans="1:27" ht="17.25" customHeight="1">
      <c r="A950" s="69" t="str">
        <f>IF(priority(Main[[#This Row],[Comments]])&lt;&gt;0, priority(Main[[#This Row],[Comments]]),"")</f>
        <v/>
      </c>
      <c r="B950" s="63" t="s">
        <v>1716</v>
      </c>
      <c r="C950" s="148" t="s">
        <v>277</v>
      </c>
      <c r="D950" s="113" t="s">
        <v>770</v>
      </c>
      <c r="E950" s="129"/>
      <c r="F950" s="129">
        <v>40602</v>
      </c>
      <c r="G950" s="69" t="str">
        <f>IF(stdProdLT(Main[[#This Row],[Comments]])=0.1,"N/A",IF(stdProdLT(Main[[#This Row],[Comments]])=0,"",stdProdLT(Main[[#This Row],[Comments]])))</f>
        <v/>
      </c>
      <c r="H950" s="138" t="str">
        <f>IF(Main[[#This Row],[In Stock Date]]="N/A", "N/A",IF(AND(Main[[#This Row],[In Stock Date]]&lt;&gt;"",Main[[#This Row],[Revised Due Date]]&lt;&gt;"",Main[[#This Row],[In Stock Date]]&lt;&gt;""),Main[[#This Row],[In Stock Date]]-Main[[#This Row],[Revised Due Date]],""))</f>
        <v/>
      </c>
      <c r="I950" s="139" t="s">
        <v>4</v>
      </c>
      <c r="J950" s="139" t="s">
        <v>4</v>
      </c>
      <c r="K950" s="140" t="s">
        <v>4</v>
      </c>
      <c r="L950" s="129"/>
      <c r="M950" s="114" t="str">
        <f>IF(Main[[#This Row],[Tech Start Date]]&lt;1/1/1990,"",IF(Main[[#This Row],[Class]]="C",WORKDAY(Main[[#This Row],[Tech Start Date]],9),IF(Main[[#This Row],[Class]]="B", WORKDAY(Main[[#This Row],[Tech Start Date]],6),IF(Main[[#This Row],[Class]]="A",WORKDAY(Main[[#This Row],[Tech Start Date]],2),""))))</f>
        <v/>
      </c>
      <c r="N950" s="114" t="str">
        <f>IF(Main[[#This Row],[Tech Start Date]]&lt;1/1/1990,"",IF(Main[[#This Row],[Class]]="C",WORKDAY(Main[[#This Row],[Tech Start Date]],19),IF(Main[[#This Row],[Class]]="B", WORKDAY(Main[[#This Row],[Tech Start Date]],12),IF(Main[[#This Row],[Class]]="A",WORKDAY(Main[[#This Row],[Tech Start Date]],4),""))))</f>
        <v/>
      </c>
      <c r="O950" s="114" t="str">
        <f>IF(Main[[#This Row],[Tech Start Date]]&lt;1/1/1990,"",IF(Main[[#This Row],[Class]]="C",WORKDAY(Main[[#This Row],[Tech Start Date]],23),IF(Main[[#This Row],[Class]]="B", WORKDAY(Main[[#This Row],[Tech Start Date]],15),IF(Main[[#This Row],[Class]]="A",WORKDAY(Main[[#This Row],[Tech Start Date]],5),""))))</f>
        <v/>
      </c>
      <c r="P950" s="114" t="str">
        <f>IF(Main[[#This Row],[Tech Start Date]]&lt;1/1/1990,"",IF(Main[[#This Row],[Class]]="C",WORKDAY(Main[[#This Row],[Tech Start Date]],28),IF(Main[[#This Row],[Class]]="B", WORKDAY(Main[[#This Row],[Tech Start Date]],19),IF(Main[[#This Row],[Class]]="A",WORKDAY(Main[[#This Row],[Tech Start Date]],9),""))))</f>
        <v/>
      </c>
      <c r="Q950" s="129">
        <v>40602</v>
      </c>
      <c r="R950" s="129"/>
      <c r="S950" s="139" t="s">
        <v>11</v>
      </c>
      <c r="T950" s="115" t="s">
        <v>4</v>
      </c>
      <c r="U950" s="139" t="s">
        <v>12</v>
      </c>
      <c r="V950" s="139" t="s">
        <v>1915</v>
      </c>
      <c r="W950" s="139" t="s">
        <v>1919</v>
      </c>
      <c r="X950" s="139" t="s">
        <v>2860</v>
      </c>
      <c r="Y950" s="112" t="s">
        <v>4</v>
      </c>
      <c r="Z950" s="112" t="s">
        <v>4</v>
      </c>
      <c r="AA950" s="139" t="s">
        <v>2860</v>
      </c>
    </row>
    <row r="951" spans="1:27" ht="17.25" customHeight="1">
      <c r="A951" s="69" t="str">
        <f>IF(priority(Main[[#This Row],[Comments]])&lt;&gt;0, priority(Main[[#This Row],[Comments]]),"")</f>
        <v/>
      </c>
      <c r="B951" s="63" t="s">
        <v>1717</v>
      </c>
      <c r="C951" s="148" t="s">
        <v>277</v>
      </c>
      <c r="D951" s="113" t="s">
        <v>771</v>
      </c>
      <c r="E951" s="129"/>
      <c r="F951" s="129">
        <v>40602</v>
      </c>
      <c r="G951" s="69" t="str">
        <f>IF(stdProdLT(Main[[#This Row],[Comments]])=0.1,"N/A",IF(stdProdLT(Main[[#This Row],[Comments]])=0,"",stdProdLT(Main[[#This Row],[Comments]])))</f>
        <v/>
      </c>
      <c r="H951" s="138" t="str">
        <f>IF(Main[[#This Row],[In Stock Date]]="N/A", "N/A",IF(AND(Main[[#This Row],[In Stock Date]]&lt;&gt;"",Main[[#This Row],[Revised Due Date]]&lt;&gt;"",Main[[#This Row],[In Stock Date]]&lt;&gt;""),Main[[#This Row],[In Stock Date]]-Main[[#This Row],[Revised Due Date]],""))</f>
        <v/>
      </c>
      <c r="I951" s="139" t="s">
        <v>4</v>
      </c>
      <c r="J951" s="139" t="s">
        <v>4</v>
      </c>
      <c r="K951" s="139" t="s">
        <v>4</v>
      </c>
      <c r="L951" s="129"/>
      <c r="M951" s="114" t="str">
        <f>IF(Main[[#This Row],[Tech Start Date]]&lt;1/1/1990,"",IF(Main[[#This Row],[Class]]="C",WORKDAY(Main[[#This Row],[Tech Start Date]],9),IF(Main[[#This Row],[Class]]="B", WORKDAY(Main[[#This Row],[Tech Start Date]],6),IF(Main[[#This Row],[Class]]="A",WORKDAY(Main[[#This Row],[Tech Start Date]],2),""))))</f>
        <v/>
      </c>
      <c r="N951" s="114" t="str">
        <f>IF(Main[[#This Row],[Tech Start Date]]&lt;1/1/1990,"",IF(Main[[#This Row],[Class]]="C",WORKDAY(Main[[#This Row],[Tech Start Date]],19),IF(Main[[#This Row],[Class]]="B", WORKDAY(Main[[#This Row],[Tech Start Date]],12),IF(Main[[#This Row],[Class]]="A",WORKDAY(Main[[#This Row],[Tech Start Date]],4),""))))</f>
        <v/>
      </c>
      <c r="O951" s="114" t="str">
        <f>IF(Main[[#This Row],[Tech Start Date]]&lt;1/1/1990,"",IF(Main[[#This Row],[Class]]="C",WORKDAY(Main[[#This Row],[Tech Start Date]],23),IF(Main[[#This Row],[Class]]="B", WORKDAY(Main[[#This Row],[Tech Start Date]],15),IF(Main[[#This Row],[Class]]="A",WORKDAY(Main[[#This Row],[Tech Start Date]],5),""))))</f>
        <v/>
      </c>
      <c r="P951" s="114" t="str">
        <f>IF(Main[[#This Row],[Tech Start Date]]&lt;1/1/1990,"",IF(Main[[#This Row],[Class]]="C",WORKDAY(Main[[#This Row],[Tech Start Date]],28),IF(Main[[#This Row],[Class]]="B", WORKDAY(Main[[#This Row],[Tech Start Date]],19),IF(Main[[#This Row],[Class]]="A",WORKDAY(Main[[#This Row],[Tech Start Date]],9),""))))</f>
        <v/>
      </c>
      <c r="Q951" s="129">
        <v>40602</v>
      </c>
      <c r="R951" s="129"/>
      <c r="S951" s="139" t="s">
        <v>11</v>
      </c>
      <c r="T951" s="115" t="s">
        <v>4</v>
      </c>
      <c r="U951" s="139" t="s">
        <v>12</v>
      </c>
      <c r="V951" s="139" t="s">
        <v>1917</v>
      </c>
      <c r="W951" s="139" t="s">
        <v>1919</v>
      </c>
      <c r="X951" s="139" t="s">
        <v>2860</v>
      </c>
      <c r="Y951" s="112" t="s">
        <v>4</v>
      </c>
      <c r="Z951" s="112" t="s">
        <v>4</v>
      </c>
      <c r="AA951" s="139" t="s">
        <v>2860</v>
      </c>
    </row>
    <row r="952" spans="1:27" ht="17.25" customHeight="1">
      <c r="A952" s="69" t="str">
        <f>IF(priority(Main[[#This Row],[Comments]])&lt;&gt;0, priority(Main[[#This Row],[Comments]]),"")</f>
        <v/>
      </c>
      <c r="B952" s="63" t="s">
        <v>3616</v>
      </c>
      <c r="C952" s="148" t="s">
        <v>95</v>
      </c>
      <c r="D952" s="113" t="s">
        <v>3617</v>
      </c>
      <c r="E952" s="129">
        <v>40959.540810185186</v>
      </c>
      <c r="F952" s="129"/>
      <c r="G952" s="69" t="str">
        <f>IF(stdProdLT(Main[[#This Row],[Comments]])=0.1,"N/A",IF(stdProdLT(Main[[#This Row],[Comments]])=0,"",stdProdLT(Main[[#This Row],[Comments]])))</f>
        <v/>
      </c>
      <c r="H952" s="138" t="str">
        <f>IF(Main[[#This Row],[In Stock Date]]="N/A", "N/A",IF(AND(Main[[#This Row],[In Stock Date]]&lt;&gt;"",Main[[#This Row],[Revised Due Date]]&lt;&gt;"",Main[[#This Row],[In Stock Date]]&lt;&gt;""),Main[[#This Row],[In Stock Date]]-Main[[#This Row],[Revised Due Date]],""))</f>
        <v/>
      </c>
      <c r="I952" s="139" t="s">
        <v>4</v>
      </c>
      <c r="J952" s="139" t="s">
        <v>4</v>
      </c>
      <c r="K952" s="139" t="s">
        <v>4</v>
      </c>
      <c r="L952" s="129"/>
      <c r="M952" s="114" t="str">
        <f>IF(Main[[#This Row],[Tech Start Date]]&lt;1/1/1990,"",IF(Main[[#This Row],[Class]]="C",WORKDAY(Main[[#This Row],[Tech Start Date]],9),IF(Main[[#This Row],[Class]]="B", WORKDAY(Main[[#This Row],[Tech Start Date]],6),IF(Main[[#This Row],[Class]]="A",WORKDAY(Main[[#This Row],[Tech Start Date]],2),""))))</f>
        <v/>
      </c>
      <c r="N952" s="114" t="str">
        <f>IF(Main[[#This Row],[Tech Start Date]]&lt;1/1/1990,"",IF(Main[[#This Row],[Class]]="C",WORKDAY(Main[[#This Row],[Tech Start Date]],19),IF(Main[[#This Row],[Class]]="B", WORKDAY(Main[[#This Row],[Tech Start Date]],12),IF(Main[[#This Row],[Class]]="A",WORKDAY(Main[[#This Row],[Tech Start Date]],4),""))))</f>
        <v/>
      </c>
      <c r="O952" s="114" t="str">
        <f>IF(Main[[#This Row],[Tech Start Date]]&lt;1/1/1990,"",IF(Main[[#This Row],[Class]]="C",WORKDAY(Main[[#This Row],[Tech Start Date]],23),IF(Main[[#This Row],[Class]]="B", WORKDAY(Main[[#This Row],[Tech Start Date]],15),IF(Main[[#This Row],[Class]]="A",WORKDAY(Main[[#This Row],[Tech Start Date]],5),""))))</f>
        <v/>
      </c>
      <c r="P952" s="114" t="str">
        <f>IF(Main[[#This Row],[Tech Start Date]]&lt;1/1/1990,"",IF(Main[[#This Row],[Class]]="C",WORKDAY(Main[[#This Row],[Tech Start Date]],28),IF(Main[[#This Row],[Class]]="B", WORKDAY(Main[[#This Row],[Tech Start Date]],19),IF(Main[[#This Row],[Class]]="A",WORKDAY(Main[[#This Row],[Tech Start Date]],9),""))))</f>
        <v/>
      </c>
      <c r="Q952" s="129">
        <v>40999</v>
      </c>
      <c r="R952" s="129"/>
      <c r="S952" s="139" t="s">
        <v>17</v>
      </c>
      <c r="T952" s="115" t="s">
        <v>4</v>
      </c>
      <c r="U952" s="139" t="s">
        <v>7</v>
      </c>
      <c r="V952" s="139" t="s">
        <v>1914</v>
      </c>
      <c r="W952" s="139" t="s">
        <v>1916</v>
      </c>
      <c r="X952" s="139" t="s">
        <v>2852</v>
      </c>
      <c r="Y952" s="112" t="s">
        <v>2990</v>
      </c>
      <c r="Z952" s="112" t="s">
        <v>4</v>
      </c>
      <c r="AA952" s="139" t="s">
        <v>2852</v>
      </c>
    </row>
    <row r="953" spans="1:27" ht="17.25" customHeight="1">
      <c r="A953" s="69" t="str">
        <f>IF(priority(Main[[#This Row],[Comments]])&lt;&gt;0, priority(Main[[#This Row],[Comments]]),"")</f>
        <v/>
      </c>
      <c r="B953" s="63" t="s">
        <v>1861</v>
      </c>
      <c r="C953" s="148" t="s">
        <v>31</v>
      </c>
      <c r="D953" s="113" t="s">
        <v>919</v>
      </c>
      <c r="E953" s="129"/>
      <c r="F953" s="129">
        <v>40664</v>
      </c>
      <c r="G953" s="69" t="str">
        <f>IF(stdProdLT(Main[[#This Row],[Comments]])=0.1,"N/A",IF(stdProdLT(Main[[#This Row],[Comments]])=0,"",stdProdLT(Main[[#This Row],[Comments]])))</f>
        <v/>
      </c>
      <c r="H953" s="138">
        <f>IF(Main[[#This Row],[In Stock Date]]="N/A", "N/A",IF(AND(Main[[#This Row],[In Stock Date]]&lt;&gt;"",Main[[#This Row],[Revised Due Date]]&lt;&gt;"",Main[[#This Row],[In Stock Date]]&lt;&gt;""),Main[[#This Row],[In Stock Date]]-Main[[#This Row],[Revised Due Date]],""))</f>
        <v>87</v>
      </c>
      <c r="I953" s="139" t="s">
        <v>102</v>
      </c>
      <c r="J953" s="139" t="s">
        <v>75</v>
      </c>
      <c r="K953" s="139" t="s">
        <v>1923</v>
      </c>
      <c r="L953" s="129"/>
      <c r="M953" s="114" t="str">
        <f>IF(Main[[#This Row],[Tech Start Date]]&lt;1/1/1990,"",IF(Main[[#This Row],[Class]]="C",WORKDAY(Main[[#This Row],[Tech Start Date]],9),IF(Main[[#This Row],[Class]]="B", WORKDAY(Main[[#This Row],[Tech Start Date]],6),IF(Main[[#This Row],[Class]]="A",WORKDAY(Main[[#This Row],[Tech Start Date]],2),""))))</f>
        <v/>
      </c>
      <c r="N953" s="114" t="str">
        <f>IF(Main[[#This Row],[Tech Start Date]]&lt;1/1/1990,"",IF(Main[[#This Row],[Class]]="C",WORKDAY(Main[[#This Row],[Tech Start Date]],19),IF(Main[[#This Row],[Class]]="B", WORKDAY(Main[[#This Row],[Tech Start Date]],12),IF(Main[[#This Row],[Class]]="A",WORKDAY(Main[[#This Row],[Tech Start Date]],4),""))))</f>
        <v/>
      </c>
      <c r="O953" s="114" t="str">
        <f>IF(Main[[#This Row],[Tech Start Date]]&lt;1/1/1990,"",IF(Main[[#This Row],[Class]]="C",WORKDAY(Main[[#This Row],[Tech Start Date]],23),IF(Main[[#This Row],[Class]]="B", WORKDAY(Main[[#This Row],[Tech Start Date]],15),IF(Main[[#This Row],[Class]]="A",WORKDAY(Main[[#This Row],[Tech Start Date]],5),""))))</f>
        <v/>
      </c>
      <c r="P953" s="114" t="str">
        <f>IF(Main[[#This Row],[Tech Start Date]]&lt;1/1/1990,"",IF(Main[[#This Row],[Class]]="C",WORKDAY(Main[[#This Row],[Tech Start Date]],28),IF(Main[[#This Row],[Class]]="B", WORKDAY(Main[[#This Row],[Tech Start Date]],19),IF(Main[[#This Row],[Class]]="A",WORKDAY(Main[[#This Row],[Tech Start Date]],9),""))))</f>
        <v/>
      </c>
      <c r="Q953" s="129">
        <v>40589</v>
      </c>
      <c r="R953" s="129">
        <v>40577</v>
      </c>
      <c r="S953" s="139" t="s">
        <v>11</v>
      </c>
      <c r="T953" s="115" t="s">
        <v>4</v>
      </c>
      <c r="U953" s="139" t="s">
        <v>14</v>
      </c>
      <c r="V953" s="139" t="s">
        <v>1917</v>
      </c>
      <c r="W953" s="139" t="s">
        <v>1920</v>
      </c>
      <c r="X953" s="139" t="s">
        <v>2825</v>
      </c>
      <c r="Y953" s="112" t="s">
        <v>2967</v>
      </c>
      <c r="Z953" s="112" t="s">
        <v>530</v>
      </c>
      <c r="AA953" s="139" t="s">
        <v>2825</v>
      </c>
    </row>
    <row r="954" spans="1:27" ht="17.25" customHeight="1">
      <c r="A954" s="69" t="str">
        <f>IF(priority(Main[[#This Row],[Comments]])&lt;&gt;0, priority(Main[[#This Row],[Comments]]),"")</f>
        <v/>
      </c>
      <c r="B954" s="63" t="s">
        <v>1721</v>
      </c>
      <c r="C954" s="148" t="s">
        <v>4</v>
      </c>
      <c r="D954" s="113" t="s">
        <v>776</v>
      </c>
      <c r="E954" s="129"/>
      <c r="F954" s="129">
        <v>40025</v>
      </c>
      <c r="G954" s="69" t="str">
        <f>IF(stdProdLT(Main[[#This Row],[Comments]])=0.1,"N/A",IF(stdProdLT(Main[[#This Row],[Comments]])=0,"",stdProdLT(Main[[#This Row],[Comments]])))</f>
        <v/>
      </c>
      <c r="H954" s="138" t="str">
        <f>IF(Main[[#This Row],[In Stock Date]]="N/A", "N/A",IF(AND(Main[[#This Row],[In Stock Date]]&lt;&gt;"",Main[[#This Row],[Revised Due Date]]&lt;&gt;"",Main[[#This Row],[In Stock Date]]&lt;&gt;""),Main[[#This Row],[In Stock Date]]-Main[[#This Row],[Revised Due Date]],""))</f>
        <v/>
      </c>
      <c r="I954" s="139" t="s">
        <v>4</v>
      </c>
      <c r="J954" s="139" t="s">
        <v>4</v>
      </c>
      <c r="K954" s="139" t="s">
        <v>4</v>
      </c>
      <c r="L954" s="129"/>
      <c r="M954" s="114" t="str">
        <f>IF(Main[[#This Row],[Tech Start Date]]&lt;1/1/1990,"",IF(Main[[#This Row],[Class]]="C",WORKDAY(Main[[#This Row],[Tech Start Date]],9),IF(Main[[#This Row],[Class]]="B", WORKDAY(Main[[#This Row],[Tech Start Date]],6),IF(Main[[#This Row],[Class]]="A",WORKDAY(Main[[#This Row],[Tech Start Date]],2),""))))</f>
        <v/>
      </c>
      <c r="N954" s="114" t="str">
        <f>IF(Main[[#This Row],[Tech Start Date]]&lt;1/1/1990,"",IF(Main[[#This Row],[Class]]="C",WORKDAY(Main[[#This Row],[Tech Start Date]],19),IF(Main[[#This Row],[Class]]="B", WORKDAY(Main[[#This Row],[Tech Start Date]],12),IF(Main[[#This Row],[Class]]="A",WORKDAY(Main[[#This Row],[Tech Start Date]],4),""))))</f>
        <v/>
      </c>
      <c r="O954" s="114" t="str">
        <f>IF(Main[[#This Row],[Tech Start Date]]&lt;1/1/1990,"",IF(Main[[#This Row],[Class]]="C",WORKDAY(Main[[#This Row],[Tech Start Date]],23),IF(Main[[#This Row],[Class]]="B", WORKDAY(Main[[#This Row],[Tech Start Date]],15),IF(Main[[#This Row],[Class]]="A",WORKDAY(Main[[#This Row],[Tech Start Date]],5),""))))</f>
        <v/>
      </c>
      <c r="P954" s="114" t="str">
        <f>IF(Main[[#This Row],[Tech Start Date]]&lt;1/1/1990,"",IF(Main[[#This Row],[Class]]="C",WORKDAY(Main[[#This Row],[Tech Start Date]],28),IF(Main[[#This Row],[Class]]="B", WORKDAY(Main[[#This Row],[Tech Start Date]],19),IF(Main[[#This Row],[Class]]="A",WORKDAY(Main[[#This Row],[Tech Start Date]],9),""))))</f>
        <v/>
      </c>
      <c r="Q954" s="129">
        <v>39963</v>
      </c>
      <c r="R954" s="129"/>
      <c r="S954" s="139" t="s">
        <v>11</v>
      </c>
      <c r="T954" s="115" t="s">
        <v>4</v>
      </c>
      <c r="U954" s="139" t="s">
        <v>14</v>
      </c>
      <c r="V954" s="139" t="s">
        <v>1924</v>
      </c>
      <c r="W954" s="139" t="s">
        <v>1922</v>
      </c>
      <c r="X954" s="139" t="s">
        <v>2863</v>
      </c>
      <c r="Y954" s="112" t="s">
        <v>3069</v>
      </c>
      <c r="Z954" s="112" t="s">
        <v>4</v>
      </c>
      <c r="AA954" s="139" t="s">
        <v>2863</v>
      </c>
    </row>
    <row r="955" spans="1:27" ht="17.25" customHeight="1">
      <c r="A955" s="69" t="str">
        <f>IF(priority(Main[[#This Row],[Comments]])&lt;&gt;0, priority(Main[[#This Row],[Comments]]),"")</f>
        <v/>
      </c>
      <c r="B955" s="63" t="s">
        <v>1722</v>
      </c>
      <c r="C955" s="148" t="s">
        <v>4</v>
      </c>
      <c r="D955" s="113" t="s">
        <v>777</v>
      </c>
      <c r="E955" s="129">
        <v>40506.439513888887</v>
      </c>
      <c r="F955" s="129"/>
      <c r="G955" s="69" t="str">
        <f>IF(stdProdLT(Main[[#This Row],[Comments]])=0.1,"N/A",IF(stdProdLT(Main[[#This Row],[Comments]])=0,"",stdProdLT(Main[[#This Row],[Comments]])))</f>
        <v/>
      </c>
      <c r="H955" s="138" t="str">
        <f>IF(Main[[#This Row],[In Stock Date]]="N/A", "N/A",IF(AND(Main[[#This Row],[In Stock Date]]&lt;&gt;"",Main[[#This Row],[Revised Due Date]]&lt;&gt;"",Main[[#This Row],[In Stock Date]]&lt;&gt;""),Main[[#This Row],[In Stock Date]]-Main[[#This Row],[Revised Due Date]],""))</f>
        <v/>
      </c>
      <c r="I955" s="139" t="s">
        <v>4</v>
      </c>
      <c r="J955" s="139" t="s">
        <v>28</v>
      </c>
      <c r="K955" s="139" t="s">
        <v>1921</v>
      </c>
      <c r="L955" s="129"/>
      <c r="M955" s="114" t="str">
        <f>IF(Main[[#This Row],[Tech Start Date]]&lt;1/1/1990,"",IF(Main[[#This Row],[Class]]="C",WORKDAY(Main[[#This Row],[Tech Start Date]],9),IF(Main[[#This Row],[Class]]="B", WORKDAY(Main[[#This Row],[Tech Start Date]],6),IF(Main[[#This Row],[Class]]="A",WORKDAY(Main[[#This Row],[Tech Start Date]],2),""))))</f>
        <v/>
      </c>
      <c r="N955" s="114" t="str">
        <f>IF(Main[[#This Row],[Tech Start Date]]&lt;1/1/1990,"",IF(Main[[#This Row],[Class]]="C",WORKDAY(Main[[#This Row],[Tech Start Date]],19),IF(Main[[#This Row],[Class]]="B", WORKDAY(Main[[#This Row],[Tech Start Date]],12),IF(Main[[#This Row],[Class]]="A",WORKDAY(Main[[#This Row],[Tech Start Date]],4),""))))</f>
        <v/>
      </c>
      <c r="O955" s="114" t="str">
        <f>IF(Main[[#This Row],[Tech Start Date]]&lt;1/1/1990,"",IF(Main[[#This Row],[Class]]="C",WORKDAY(Main[[#This Row],[Tech Start Date]],23),IF(Main[[#This Row],[Class]]="B", WORKDAY(Main[[#This Row],[Tech Start Date]],15),IF(Main[[#This Row],[Class]]="A",WORKDAY(Main[[#This Row],[Tech Start Date]],5),""))))</f>
        <v/>
      </c>
      <c r="P955" s="114" t="str">
        <f>IF(Main[[#This Row],[Tech Start Date]]&lt;1/1/1990,"",IF(Main[[#This Row],[Class]]="C",WORKDAY(Main[[#This Row],[Tech Start Date]],28),IF(Main[[#This Row],[Class]]="B", WORKDAY(Main[[#This Row],[Tech Start Date]],19),IF(Main[[#This Row],[Class]]="A",WORKDAY(Main[[#This Row],[Tech Start Date]],9),""))))</f>
        <v/>
      </c>
      <c r="Q955" s="129">
        <v>40555</v>
      </c>
      <c r="R955" s="129"/>
      <c r="S955" s="139" t="s">
        <v>6</v>
      </c>
      <c r="T955" s="115" t="s">
        <v>4</v>
      </c>
      <c r="U955" s="139" t="s">
        <v>7</v>
      </c>
      <c r="V955" s="139" t="s">
        <v>1914</v>
      </c>
      <c r="W955" s="139" t="s">
        <v>1918</v>
      </c>
      <c r="X955" s="139" t="s">
        <v>2821</v>
      </c>
      <c r="Y955" s="112" t="s">
        <v>2936</v>
      </c>
      <c r="Z955" s="112" t="s">
        <v>129</v>
      </c>
      <c r="AA955" s="139" t="s">
        <v>2821</v>
      </c>
    </row>
    <row r="956" spans="1:27" ht="17.25" customHeight="1">
      <c r="A956" s="69" t="str">
        <f>IF(priority(Main[[#This Row],[Comments]])&lt;&gt;0, priority(Main[[#This Row],[Comments]]),"")</f>
        <v/>
      </c>
      <c r="B956" s="63" t="s">
        <v>1708</v>
      </c>
      <c r="C956" s="148" t="s">
        <v>4</v>
      </c>
      <c r="D956" s="113" t="s">
        <v>710</v>
      </c>
      <c r="E956" s="129"/>
      <c r="F956" s="129"/>
      <c r="G956" s="69" t="str">
        <f>IF(stdProdLT(Main[[#This Row],[Comments]])=0.1,"N/A",IF(stdProdLT(Main[[#This Row],[Comments]])=0,"",stdProdLT(Main[[#This Row],[Comments]])))</f>
        <v/>
      </c>
      <c r="H956" s="138" t="str">
        <f>IF(Main[[#This Row],[In Stock Date]]="N/A", "N/A",IF(AND(Main[[#This Row],[In Stock Date]]&lt;&gt;"",Main[[#This Row],[Revised Due Date]]&lt;&gt;"",Main[[#This Row],[In Stock Date]]&lt;&gt;""),Main[[#This Row],[In Stock Date]]-Main[[#This Row],[Revised Due Date]],""))</f>
        <v/>
      </c>
      <c r="I956" s="139" t="s">
        <v>4</v>
      </c>
      <c r="J956" s="139" t="s">
        <v>28</v>
      </c>
      <c r="K956" s="139" t="s">
        <v>1923</v>
      </c>
      <c r="L956" s="129"/>
      <c r="M956" s="114" t="str">
        <f>IF(Main[[#This Row],[Tech Start Date]]&lt;1/1/1990,"",IF(Main[[#This Row],[Class]]="C",WORKDAY(Main[[#This Row],[Tech Start Date]],9),IF(Main[[#This Row],[Class]]="B", WORKDAY(Main[[#This Row],[Tech Start Date]],6),IF(Main[[#This Row],[Class]]="A",WORKDAY(Main[[#This Row],[Tech Start Date]],2),""))))</f>
        <v/>
      </c>
      <c r="N956" s="114" t="str">
        <f>IF(Main[[#This Row],[Tech Start Date]]&lt;1/1/1990,"",IF(Main[[#This Row],[Class]]="C",WORKDAY(Main[[#This Row],[Tech Start Date]],19),IF(Main[[#This Row],[Class]]="B", WORKDAY(Main[[#This Row],[Tech Start Date]],12),IF(Main[[#This Row],[Class]]="A",WORKDAY(Main[[#This Row],[Tech Start Date]],4),""))))</f>
        <v/>
      </c>
      <c r="O956" s="114" t="str">
        <f>IF(Main[[#This Row],[Tech Start Date]]&lt;1/1/1990,"",IF(Main[[#This Row],[Class]]="C",WORKDAY(Main[[#This Row],[Tech Start Date]],23),IF(Main[[#This Row],[Class]]="B", WORKDAY(Main[[#This Row],[Tech Start Date]],15),IF(Main[[#This Row],[Class]]="A",WORKDAY(Main[[#This Row],[Tech Start Date]],5),""))))</f>
        <v/>
      </c>
      <c r="P956" s="114" t="str">
        <f>IF(Main[[#This Row],[Tech Start Date]]&lt;1/1/1990,"",IF(Main[[#This Row],[Class]]="C",WORKDAY(Main[[#This Row],[Tech Start Date]],28),IF(Main[[#This Row],[Class]]="B", WORKDAY(Main[[#This Row],[Tech Start Date]],19),IF(Main[[#This Row],[Class]]="A",WORKDAY(Main[[#This Row],[Tech Start Date]],9),""))))</f>
        <v/>
      </c>
      <c r="Q956" s="129">
        <v>40647</v>
      </c>
      <c r="R956" s="129"/>
      <c r="S956" s="139" t="s">
        <v>6</v>
      </c>
      <c r="T956" s="115" t="s">
        <v>4</v>
      </c>
      <c r="U956" s="139" t="s">
        <v>14</v>
      </c>
      <c r="V956" s="139" t="s">
        <v>1914</v>
      </c>
      <c r="W956" s="139" t="s">
        <v>1918</v>
      </c>
      <c r="X956" s="139" t="s">
        <v>2821</v>
      </c>
      <c r="Y956" s="112" t="s">
        <v>2936</v>
      </c>
      <c r="Z956" s="112" t="s">
        <v>129</v>
      </c>
      <c r="AA956" s="139" t="s">
        <v>2821</v>
      </c>
    </row>
    <row r="957" spans="1:27" ht="17.25" customHeight="1">
      <c r="A957" s="69" t="str">
        <f>IF(priority(Main[[#This Row],[Comments]])&lt;&gt;0, priority(Main[[#This Row],[Comments]]),"")</f>
        <v/>
      </c>
      <c r="B957" s="63" t="s">
        <v>2073</v>
      </c>
      <c r="C957" s="148" t="s">
        <v>4</v>
      </c>
      <c r="D957" s="113" t="s">
        <v>2388</v>
      </c>
      <c r="E957" s="129">
        <v>40760.555381944447</v>
      </c>
      <c r="F957" s="129"/>
      <c r="G957" s="69" t="str">
        <f>IF(stdProdLT(Main[[#This Row],[Comments]])=0.1,"N/A",IF(stdProdLT(Main[[#This Row],[Comments]])=0,"",stdProdLT(Main[[#This Row],[Comments]])))</f>
        <v/>
      </c>
      <c r="H957" s="138" t="str">
        <f>IF(Main[[#This Row],[In Stock Date]]="N/A", "N/A",IF(AND(Main[[#This Row],[In Stock Date]]&lt;&gt;"",Main[[#This Row],[Revised Due Date]]&lt;&gt;"",Main[[#This Row],[In Stock Date]]&lt;&gt;""),Main[[#This Row],[In Stock Date]]-Main[[#This Row],[Revised Due Date]],""))</f>
        <v/>
      </c>
      <c r="I957" s="139" t="s">
        <v>4</v>
      </c>
      <c r="J957" s="139" t="s">
        <v>4</v>
      </c>
      <c r="K957" s="139" t="s">
        <v>4</v>
      </c>
      <c r="L957" s="129"/>
      <c r="M957" s="114" t="str">
        <f>IF(Main[[#This Row],[Tech Start Date]]&lt;1/1/1990,"",IF(Main[[#This Row],[Class]]="C",WORKDAY(Main[[#This Row],[Tech Start Date]],9),IF(Main[[#This Row],[Class]]="B", WORKDAY(Main[[#This Row],[Tech Start Date]],6),IF(Main[[#This Row],[Class]]="A",WORKDAY(Main[[#This Row],[Tech Start Date]],2),""))))</f>
        <v/>
      </c>
      <c r="N957" s="114" t="str">
        <f>IF(Main[[#This Row],[Tech Start Date]]&lt;1/1/1990,"",IF(Main[[#This Row],[Class]]="C",WORKDAY(Main[[#This Row],[Tech Start Date]],19),IF(Main[[#This Row],[Class]]="B", WORKDAY(Main[[#This Row],[Tech Start Date]],12),IF(Main[[#This Row],[Class]]="A",WORKDAY(Main[[#This Row],[Tech Start Date]],4),""))))</f>
        <v/>
      </c>
      <c r="O957" s="114" t="str">
        <f>IF(Main[[#This Row],[Tech Start Date]]&lt;1/1/1990,"",IF(Main[[#This Row],[Class]]="C",WORKDAY(Main[[#This Row],[Tech Start Date]],23),IF(Main[[#This Row],[Class]]="B", WORKDAY(Main[[#This Row],[Tech Start Date]],15),IF(Main[[#This Row],[Class]]="A",WORKDAY(Main[[#This Row],[Tech Start Date]],5),""))))</f>
        <v/>
      </c>
      <c r="P957" s="114" t="str">
        <f>IF(Main[[#This Row],[Tech Start Date]]&lt;1/1/1990,"",IF(Main[[#This Row],[Class]]="C",WORKDAY(Main[[#This Row],[Tech Start Date]],28),IF(Main[[#This Row],[Class]]="B", WORKDAY(Main[[#This Row],[Tech Start Date]],19),IF(Main[[#This Row],[Class]]="A",WORKDAY(Main[[#This Row],[Tech Start Date]],9),""))))</f>
        <v/>
      </c>
      <c r="Q957" s="129"/>
      <c r="R957" s="129"/>
      <c r="S957" s="139" t="s">
        <v>6</v>
      </c>
      <c r="T957" s="115" t="s">
        <v>4</v>
      </c>
      <c r="U957" s="139" t="s">
        <v>7</v>
      </c>
      <c r="V957" s="139" t="s">
        <v>1914</v>
      </c>
      <c r="W957" s="139" t="s">
        <v>1918</v>
      </c>
      <c r="X957" s="139" t="s">
        <v>306</v>
      </c>
      <c r="Y957" s="112" t="s">
        <v>4</v>
      </c>
      <c r="Z957" s="112" t="s">
        <v>4</v>
      </c>
      <c r="AA957" s="139" t="s">
        <v>4</v>
      </c>
    </row>
    <row r="958" spans="1:27" ht="17.25" customHeight="1">
      <c r="A958" s="69" t="str">
        <f>IF(priority(Main[[#This Row],[Comments]])&lt;&gt;0, priority(Main[[#This Row],[Comments]]),"")</f>
        <v/>
      </c>
      <c r="B958" s="63" t="s">
        <v>1633</v>
      </c>
      <c r="C958" s="148" t="s">
        <v>4</v>
      </c>
      <c r="D958" s="113" t="s">
        <v>2389</v>
      </c>
      <c r="E958" s="129">
        <v>40567.655532407407</v>
      </c>
      <c r="F958" s="129">
        <v>40602</v>
      </c>
      <c r="G958" s="69" t="str">
        <f>IF(stdProdLT(Main[[#This Row],[Comments]])=0.1,"N/A",IF(stdProdLT(Main[[#This Row],[Comments]])=0,"",stdProdLT(Main[[#This Row],[Comments]])))</f>
        <v/>
      </c>
      <c r="H958" s="138" t="str">
        <f>IF(Main[[#This Row],[In Stock Date]]="N/A", "N/A",IF(AND(Main[[#This Row],[In Stock Date]]&lt;&gt;"",Main[[#This Row],[Revised Due Date]]&lt;&gt;"",Main[[#This Row],[In Stock Date]]&lt;&gt;""),Main[[#This Row],[In Stock Date]]-Main[[#This Row],[Revised Due Date]],""))</f>
        <v/>
      </c>
      <c r="I958" s="139" t="s">
        <v>912</v>
      </c>
      <c r="J958" s="139" t="s">
        <v>52</v>
      </c>
      <c r="K958" s="139" t="s">
        <v>1923</v>
      </c>
      <c r="L958" s="129"/>
      <c r="M958" s="114" t="str">
        <f>IF(Main[[#This Row],[Tech Start Date]]&lt;1/1/1990,"",IF(Main[[#This Row],[Class]]="C",WORKDAY(Main[[#This Row],[Tech Start Date]],9),IF(Main[[#This Row],[Class]]="B", WORKDAY(Main[[#This Row],[Tech Start Date]],6),IF(Main[[#This Row],[Class]]="A",WORKDAY(Main[[#This Row],[Tech Start Date]],2),""))))</f>
        <v/>
      </c>
      <c r="N958" s="114" t="str">
        <f>IF(Main[[#This Row],[Tech Start Date]]&lt;1/1/1990,"",IF(Main[[#This Row],[Class]]="C",WORKDAY(Main[[#This Row],[Tech Start Date]],19),IF(Main[[#This Row],[Class]]="B", WORKDAY(Main[[#This Row],[Tech Start Date]],12),IF(Main[[#This Row],[Class]]="A",WORKDAY(Main[[#This Row],[Tech Start Date]],4),""))))</f>
        <v/>
      </c>
      <c r="O958" s="114" t="str">
        <f>IF(Main[[#This Row],[Tech Start Date]]&lt;1/1/1990,"",IF(Main[[#This Row],[Class]]="C",WORKDAY(Main[[#This Row],[Tech Start Date]],23),IF(Main[[#This Row],[Class]]="B", WORKDAY(Main[[#This Row],[Tech Start Date]],15),IF(Main[[#This Row],[Class]]="A",WORKDAY(Main[[#This Row],[Tech Start Date]],5),""))))</f>
        <v/>
      </c>
      <c r="P958" s="114" t="str">
        <f>IF(Main[[#This Row],[Tech Start Date]]&lt;1/1/1990,"",IF(Main[[#This Row],[Class]]="C",WORKDAY(Main[[#This Row],[Tech Start Date]],28),IF(Main[[#This Row],[Class]]="B", WORKDAY(Main[[#This Row],[Tech Start Date]],19),IF(Main[[#This Row],[Class]]="A",WORKDAY(Main[[#This Row],[Tech Start Date]],9),""))))</f>
        <v/>
      </c>
      <c r="Q958" s="129">
        <v>40602</v>
      </c>
      <c r="R958" s="129"/>
      <c r="S958" s="139" t="s">
        <v>6</v>
      </c>
      <c r="T958" s="115" t="s">
        <v>4</v>
      </c>
      <c r="U958" s="139" t="s">
        <v>29</v>
      </c>
      <c r="V958" s="139" t="s">
        <v>1914</v>
      </c>
      <c r="W958" s="139" t="s">
        <v>1916</v>
      </c>
      <c r="X958" s="139" t="s">
        <v>2818</v>
      </c>
      <c r="Y958" s="112" t="s">
        <v>2929</v>
      </c>
      <c r="Z958" s="112" t="s">
        <v>129</v>
      </c>
      <c r="AA958" s="139" t="s">
        <v>2818</v>
      </c>
    </row>
    <row r="959" spans="1:27" ht="17.25" customHeight="1">
      <c r="A959" s="69" t="str">
        <f>IF(priority(Main[[#This Row],[Comments]])&lt;&gt;0, priority(Main[[#This Row],[Comments]]),"")</f>
        <v/>
      </c>
      <c r="B959" s="63" t="s">
        <v>1710</v>
      </c>
      <c r="C959" s="148" t="s">
        <v>4</v>
      </c>
      <c r="D959" s="113" t="s">
        <v>769</v>
      </c>
      <c r="E959" s="129"/>
      <c r="F959" s="129"/>
      <c r="G959" s="69" t="str">
        <f>IF(stdProdLT(Main[[#This Row],[Comments]])=0.1,"N/A",IF(stdProdLT(Main[[#This Row],[Comments]])=0,"",stdProdLT(Main[[#This Row],[Comments]])))</f>
        <v/>
      </c>
      <c r="H959" s="138" t="str">
        <f>IF(Main[[#This Row],[In Stock Date]]="N/A", "N/A",IF(AND(Main[[#This Row],[In Stock Date]]&lt;&gt;"",Main[[#This Row],[Revised Due Date]]&lt;&gt;"",Main[[#This Row],[In Stock Date]]&lt;&gt;""),Main[[#This Row],[In Stock Date]]-Main[[#This Row],[Revised Due Date]],""))</f>
        <v/>
      </c>
      <c r="I959" s="139" t="s">
        <v>4</v>
      </c>
      <c r="J959" s="139" t="s">
        <v>4</v>
      </c>
      <c r="K959" s="139" t="s">
        <v>4</v>
      </c>
      <c r="L959" s="129"/>
      <c r="M959" s="114" t="str">
        <f>IF(Main[[#This Row],[Tech Start Date]]&lt;1/1/1990,"",IF(Main[[#This Row],[Class]]="C",WORKDAY(Main[[#This Row],[Tech Start Date]],9),IF(Main[[#This Row],[Class]]="B", WORKDAY(Main[[#This Row],[Tech Start Date]],6),IF(Main[[#This Row],[Class]]="A",WORKDAY(Main[[#This Row],[Tech Start Date]],2),""))))</f>
        <v/>
      </c>
      <c r="N959" s="114" t="str">
        <f>IF(Main[[#This Row],[Tech Start Date]]&lt;1/1/1990,"",IF(Main[[#This Row],[Class]]="C",WORKDAY(Main[[#This Row],[Tech Start Date]],19),IF(Main[[#This Row],[Class]]="B", WORKDAY(Main[[#This Row],[Tech Start Date]],12),IF(Main[[#This Row],[Class]]="A",WORKDAY(Main[[#This Row],[Tech Start Date]],4),""))))</f>
        <v/>
      </c>
      <c r="O959" s="114" t="str">
        <f>IF(Main[[#This Row],[Tech Start Date]]&lt;1/1/1990,"",IF(Main[[#This Row],[Class]]="C",WORKDAY(Main[[#This Row],[Tech Start Date]],23),IF(Main[[#This Row],[Class]]="B", WORKDAY(Main[[#This Row],[Tech Start Date]],15),IF(Main[[#This Row],[Class]]="A",WORKDAY(Main[[#This Row],[Tech Start Date]],5),""))))</f>
        <v/>
      </c>
      <c r="P959" s="114" t="str">
        <f>IF(Main[[#This Row],[Tech Start Date]]&lt;1/1/1990,"",IF(Main[[#This Row],[Class]]="C",WORKDAY(Main[[#This Row],[Tech Start Date]],28),IF(Main[[#This Row],[Class]]="B", WORKDAY(Main[[#This Row],[Tech Start Date]],19),IF(Main[[#This Row],[Class]]="A",WORKDAY(Main[[#This Row],[Tech Start Date]],9),""))))</f>
        <v/>
      </c>
      <c r="Q959" s="129"/>
      <c r="R959" s="129"/>
      <c r="S959" s="139" t="s">
        <v>6</v>
      </c>
      <c r="T959" s="115" t="s">
        <v>4</v>
      </c>
      <c r="U959" s="139" t="s">
        <v>12</v>
      </c>
      <c r="V959" s="139" t="s">
        <v>1914</v>
      </c>
      <c r="W959" s="139" t="s">
        <v>1918</v>
      </c>
      <c r="X959" s="139" t="s">
        <v>922</v>
      </c>
      <c r="Y959" s="112" t="s">
        <v>2982</v>
      </c>
      <c r="Z959" s="112" t="s">
        <v>4</v>
      </c>
      <c r="AA959" s="139" t="s">
        <v>922</v>
      </c>
    </row>
    <row r="960" spans="1:27" ht="17.25" customHeight="1">
      <c r="A960" s="69" t="str">
        <f>IF(priority(Main[[#This Row],[Comments]])&lt;&gt;0, priority(Main[[#This Row],[Comments]]),"")</f>
        <v/>
      </c>
      <c r="B960" s="63" t="s">
        <v>1205</v>
      </c>
      <c r="C960" s="148" t="s">
        <v>116</v>
      </c>
      <c r="D960" s="113" t="s">
        <v>263</v>
      </c>
      <c r="E960" s="129">
        <v>40681.362476851849</v>
      </c>
      <c r="F960" s="129">
        <v>40734</v>
      </c>
      <c r="G960" s="69" t="str">
        <f>IF(stdProdLT(Main[[#This Row],[Comments]])=0.1,"N/A",IF(stdProdLT(Main[[#This Row],[Comments]])=0,"",stdProdLT(Main[[#This Row],[Comments]])))</f>
        <v/>
      </c>
      <c r="H960" s="138" t="str">
        <f>IF(Main[[#This Row],[In Stock Date]]="N/A", "N/A",IF(AND(Main[[#This Row],[In Stock Date]]&lt;&gt;"",Main[[#This Row],[Revised Due Date]]&lt;&gt;"",Main[[#This Row],[In Stock Date]]&lt;&gt;""),Main[[#This Row],[In Stock Date]]-Main[[#This Row],[Revised Due Date]],""))</f>
        <v/>
      </c>
      <c r="I960" s="139" t="s">
        <v>4</v>
      </c>
      <c r="J960" s="139" t="s">
        <v>4</v>
      </c>
      <c r="K960" s="139" t="s">
        <v>4</v>
      </c>
      <c r="L960" s="129"/>
      <c r="M960" s="114" t="str">
        <f>IF(Main[[#This Row],[Tech Start Date]]&lt;1/1/1990,"",IF(Main[[#This Row],[Class]]="C",WORKDAY(Main[[#This Row],[Tech Start Date]],9),IF(Main[[#This Row],[Class]]="B", WORKDAY(Main[[#This Row],[Tech Start Date]],6),IF(Main[[#This Row],[Class]]="A",WORKDAY(Main[[#This Row],[Tech Start Date]],2),""))))</f>
        <v/>
      </c>
      <c r="N960" s="114" t="str">
        <f>IF(Main[[#This Row],[Tech Start Date]]&lt;1/1/1990,"",IF(Main[[#This Row],[Class]]="C",WORKDAY(Main[[#This Row],[Tech Start Date]],19),IF(Main[[#This Row],[Class]]="B", WORKDAY(Main[[#This Row],[Tech Start Date]],12),IF(Main[[#This Row],[Class]]="A",WORKDAY(Main[[#This Row],[Tech Start Date]],4),""))))</f>
        <v/>
      </c>
      <c r="O960" s="114" t="str">
        <f>IF(Main[[#This Row],[Tech Start Date]]&lt;1/1/1990,"",IF(Main[[#This Row],[Class]]="C",WORKDAY(Main[[#This Row],[Tech Start Date]],23),IF(Main[[#This Row],[Class]]="B", WORKDAY(Main[[#This Row],[Tech Start Date]],15),IF(Main[[#This Row],[Class]]="A",WORKDAY(Main[[#This Row],[Tech Start Date]],5),""))))</f>
        <v/>
      </c>
      <c r="P960" s="114" t="str">
        <f>IF(Main[[#This Row],[Tech Start Date]]&lt;1/1/1990,"",IF(Main[[#This Row],[Class]]="C",WORKDAY(Main[[#This Row],[Tech Start Date]],28),IF(Main[[#This Row],[Class]]="B", WORKDAY(Main[[#This Row],[Tech Start Date]],19),IF(Main[[#This Row],[Class]]="A",WORKDAY(Main[[#This Row],[Tech Start Date]],9),""))))</f>
        <v/>
      </c>
      <c r="Q960" s="129">
        <v>40724</v>
      </c>
      <c r="R960" s="129"/>
      <c r="S960" s="139" t="s">
        <v>17</v>
      </c>
      <c r="T960" s="115" t="s">
        <v>4</v>
      </c>
      <c r="U960" s="139" t="s">
        <v>7</v>
      </c>
      <c r="V960" s="139" t="s">
        <v>1917</v>
      </c>
      <c r="W960" s="139" t="s">
        <v>1918</v>
      </c>
      <c r="X960" s="139" t="s">
        <v>50</v>
      </c>
      <c r="Y960" s="112" t="s">
        <v>2961</v>
      </c>
      <c r="Z960" s="112" t="s">
        <v>4</v>
      </c>
      <c r="AA960" s="139" t="s">
        <v>50</v>
      </c>
    </row>
    <row r="961" spans="1:27" ht="17.25" customHeight="1">
      <c r="A961" s="69" t="str">
        <f>IF(priority(Main[[#This Row],[Comments]])&lt;&gt;0, priority(Main[[#This Row],[Comments]]),"")</f>
        <v/>
      </c>
      <c r="B961" s="63" t="s">
        <v>2394</v>
      </c>
      <c r="C961" s="148" t="s">
        <v>4</v>
      </c>
      <c r="D961" s="113" t="s">
        <v>2395</v>
      </c>
      <c r="E961" s="129"/>
      <c r="F961" s="129"/>
      <c r="G961" s="69" t="str">
        <f>IF(stdProdLT(Main[[#This Row],[Comments]])=0.1,"N/A",IF(stdProdLT(Main[[#This Row],[Comments]])=0,"",stdProdLT(Main[[#This Row],[Comments]])))</f>
        <v/>
      </c>
      <c r="H961" s="138" t="str">
        <f>IF(Main[[#This Row],[In Stock Date]]="N/A", "N/A",IF(AND(Main[[#This Row],[In Stock Date]]&lt;&gt;"",Main[[#This Row],[Revised Due Date]]&lt;&gt;"",Main[[#This Row],[In Stock Date]]&lt;&gt;""),Main[[#This Row],[In Stock Date]]-Main[[#This Row],[Revised Due Date]],""))</f>
        <v/>
      </c>
      <c r="I961" s="139" t="s">
        <v>4</v>
      </c>
      <c r="J961" s="139" t="s">
        <v>4</v>
      </c>
      <c r="K961" s="139" t="s">
        <v>4</v>
      </c>
      <c r="L961" s="129"/>
      <c r="M961" s="114" t="str">
        <f>IF(Main[[#This Row],[Tech Start Date]]&lt;1/1/1990,"",IF(Main[[#This Row],[Class]]="C",WORKDAY(Main[[#This Row],[Tech Start Date]],9),IF(Main[[#This Row],[Class]]="B", WORKDAY(Main[[#This Row],[Tech Start Date]],6),IF(Main[[#This Row],[Class]]="A",WORKDAY(Main[[#This Row],[Tech Start Date]],2),""))))</f>
        <v/>
      </c>
      <c r="N961" s="114" t="str">
        <f>IF(Main[[#This Row],[Tech Start Date]]&lt;1/1/1990,"",IF(Main[[#This Row],[Class]]="C",WORKDAY(Main[[#This Row],[Tech Start Date]],19),IF(Main[[#This Row],[Class]]="B", WORKDAY(Main[[#This Row],[Tech Start Date]],12),IF(Main[[#This Row],[Class]]="A",WORKDAY(Main[[#This Row],[Tech Start Date]],4),""))))</f>
        <v/>
      </c>
      <c r="O961" s="114" t="str">
        <f>IF(Main[[#This Row],[Tech Start Date]]&lt;1/1/1990,"",IF(Main[[#This Row],[Class]]="C",WORKDAY(Main[[#This Row],[Tech Start Date]],23),IF(Main[[#This Row],[Class]]="B", WORKDAY(Main[[#This Row],[Tech Start Date]],15),IF(Main[[#This Row],[Class]]="A",WORKDAY(Main[[#This Row],[Tech Start Date]],5),""))))</f>
        <v/>
      </c>
      <c r="P961" s="114" t="str">
        <f>IF(Main[[#This Row],[Tech Start Date]]&lt;1/1/1990,"",IF(Main[[#This Row],[Class]]="C",WORKDAY(Main[[#This Row],[Tech Start Date]],28),IF(Main[[#This Row],[Class]]="B", WORKDAY(Main[[#This Row],[Tech Start Date]],19),IF(Main[[#This Row],[Class]]="A",WORKDAY(Main[[#This Row],[Tech Start Date]],9),""))))</f>
        <v/>
      </c>
      <c r="Q961" s="129"/>
      <c r="R961" s="129"/>
      <c r="S961" s="139" t="s">
        <v>11</v>
      </c>
      <c r="T961" s="115" t="s">
        <v>4</v>
      </c>
      <c r="U961" s="139" t="s">
        <v>14</v>
      </c>
      <c r="V961" s="139" t="s">
        <v>1915</v>
      </c>
      <c r="W961" s="139" t="s">
        <v>4</v>
      </c>
      <c r="X961" s="139" t="s">
        <v>2249</v>
      </c>
      <c r="Y961" s="112" t="s">
        <v>4</v>
      </c>
      <c r="Z961" s="112" t="s">
        <v>4</v>
      </c>
      <c r="AA961" s="139" t="s">
        <v>4</v>
      </c>
    </row>
    <row r="962" spans="1:27" ht="17.25" customHeight="1">
      <c r="A962" s="69" t="str">
        <f>IF(priority(Main[[#This Row],[Comments]])&lt;&gt;0, priority(Main[[#This Row],[Comments]]),"")</f>
        <v/>
      </c>
      <c r="B962" s="63" t="s">
        <v>1827</v>
      </c>
      <c r="C962" s="148" t="s">
        <v>365</v>
      </c>
      <c r="D962" s="113" t="s">
        <v>2118</v>
      </c>
      <c r="E962" s="129">
        <v>40002.664317129631</v>
      </c>
      <c r="F962" s="129">
        <v>40074</v>
      </c>
      <c r="G962" s="69">
        <f>IF(stdProdLT(Main[[#This Row],[Comments]])=0.1,"N/A",IF(stdProdLT(Main[[#This Row],[Comments]])=0,"",stdProdLT(Main[[#This Row],[Comments]])))</f>
        <v>126</v>
      </c>
      <c r="H962" s="138">
        <f>IF(Main[[#This Row],[In Stock Date]]="N/A", "N/A",IF(AND(Main[[#This Row],[In Stock Date]]&lt;&gt;"",Main[[#This Row],[Revised Due Date]]&lt;&gt;"",Main[[#This Row],[In Stock Date]]&lt;&gt;""),Main[[#This Row],[In Stock Date]]-Main[[#This Row],[Revised Due Date]],""))</f>
        <v>-399</v>
      </c>
      <c r="I962" s="139" t="s">
        <v>2053</v>
      </c>
      <c r="J962" s="139" t="s">
        <v>28</v>
      </c>
      <c r="K962" s="139" t="s">
        <v>1927</v>
      </c>
      <c r="L962" s="129"/>
      <c r="M962" s="114" t="str">
        <f>IF(Main[[#This Row],[Tech Start Date]]&lt;1/1/1990,"",IF(Main[[#This Row],[Class]]="C",WORKDAY(Main[[#This Row],[Tech Start Date]],9),IF(Main[[#This Row],[Class]]="B", WORKDAY(Main[[#This Row],[Tech Start Date]],6),IF(Main[[#This Row],[Class]]="A",WORKDAY(Main[[#This Row],[Tech Start Date]],2),""))))</f>
        <v/>
      </c>
      <c r="N962" s="114" t="str">
        <f>IF(Main[[#This Row],[Tech Start Date]]&lt;1/1/1990,"",IF(Main[[#This Row],[Class]]="C",WORKDAY(Main[[#This Row],[Tech Start Date]],19),IF(Main[[#This Row],[Class]]="B", WORKDAY(Main[[#This Row],[Tech Start Date]],12),IF(Main[[#This Row],[Class]]="A",WORKDAY(Main[[#This Row],[Tech Start Date]],4),""))))</f>
        <v/>
      </c>
      <c r="O962" s="114" t="str">
        <f>IF(Main[[#This Row],[Tech Start Date]]&lt;1/1/1990,"",IF(Main[[#This Row],[Class]]="C",WORKDAY(Main[[#This Row],[Tech Start Date]],23),IF(Main[[#This Row],[Class]]="B", WORKDAY(Main[[#This Row],[Tech Start Date]],15),IF(Main[[#This Row],[Class]]="A",WORKDAY(Main[[#This Row],[Tech Start Date]],5),""))))</f>
        <v/>
      </c>
      <c r="P962" s="114" t="str">
        <f>IF(Main[[#This Row],[Tech Start Date]]&lt;1/1/1990,"",IF(Main[[#This Row],[Class]]="C",WORKDAY(Main[[#This Row],[Tech Start Date]],28),IF(Main[[#This Row],[Class]]="B", WORKDAY(Main[[#This Row],[Tech Start Date]],19),IF(Main[[#This Row],[Class]]="A",WORKDAY(Main[[#This Row],[Tech Start Date]],9),""))))</f>
        <v/>
      </c>
      <c r="Q962" s="129">
        <v>40057</v>
      </c>
      <c r="R962" s="129">
        <v>40473</v>
      </c>
      <c r="S962" s="139" t="s">
        <v>6</v>
      </c>
      <c r="T962" s="115" t="s">
        <v>2119</v>
      </c>
      <c r="U962" s="139" t="s">
        <v>29</v>
      </c>
      <c r="V962" s="139" t="s">
        <v>1915</v>
      </c>
      <c r="W962" s="139" t="s">
        <v>1918</v>
      </c>
      <c r="X962" s="139" t="s">
        <v>2868</v>
      </c>
      <c r="Y962" s="112" t="s">
        <v>3107</v>
      </c>
      <c r="Z962" s="112" t="s">
        <v>2053</v>
      </c>
      <c r="AA962" s="139" t="s">
        <v>3439</v>
      </c>
    </row>
    <row r="963" spans="1:27" ht="17.25" customHeight="1">
      <c r="A963" s="69" t="str">
        <f>IF(priority(Main[[#This Row],[Comments]])&lt;&gt;0, priority(Main[[#This Row],[Comments]]),"")</f>
        <v/>
      </c>
      <c r="B963" s="63" t="s">
        <v>3237</v>
      </c>
      <c r="C963" s="148" t="s">
        <v>4</v>
      </c>
      <c r="D963" s="113" t="s">
        <v>3238</v>
      </c>
      <c r="E963" s="129">
        <v>40927.617210648146</v>
      </c>
      <c r="F963" s="129"/>
      <c r="G963" s="69" t="str">
        <f>IF(stdProdLT(Main[[#This Row],[Comments]])=0.1,"N/A",IF(stdProdLT(Main[[#This Row],[Comments]])=0,"",stdProdLT(Main[[#This Row],[Comments]])))</f>
        <v/>
      </c>
      <c r="H963" s="138" t="str">
        <f>IF(Main[[#This Row],[In Stock Date]]="N/A", "N/A",IF(AND(Main[[#This Row],[In Stock Date]]&lt;&gt;"",Main[[#This Row],[Revised Due Date]]&lt;&gt;"",Main[[#This Row],[In Stock Date]]&lt;&gt;""),Main[[#This Row],[In Stock Date]]-Main[[#This Row],[Revised Due Date]],""))</f>
        <v/>
      </c>
      <c r="I963" s="139" t="s">
        <v>4</v>
      </c>
      <c r="J963" s="139" t="s">
        <v>4</v>
      </c>
      <c r="K963" s="140" t="s">
        <v>4</v>
      </c>
      <c r="L963" s="129"/>
      <c r="M963" s="114" t="str">
        <f>IF(Main[[#This Row],[Tech Start Date]]&lt;1/1/1990,"",IF(Main[[#This Row],[Class]]="C",WORKDAY(Main[[#This Row],[Tech Start Date]],9),IF(Main[[#This Row],[Class]]="B", WORKDAY(Main[[#This Row],[Tech Start Date]],6),IF(Main[[#This Row],[Class]]="A",WORKDAY(Main[[#This Row],[Tech Start Date]],2),""))))</f>
        <v/>
      </c>
      <c r="N963" s="114" t="str">
        <f>IF(Main[[#This Row],[Tech Start Date]]&lt;1/1/1990,"",IF(Main[[#This Row],[Class]]="C",WORKDAY(Main[[#This Row],[Tech Start Date]],19),IF(Main[[#This Row],[Class]]="B", WORKDAY(Main[[#This Row],[Tech Start Date]],12),IF(Main[[#This Row],[Class]]="A",WORKDAY(Main[[#This Row],[Tech Start Date]],4),""))))</f>
        <v/>
      </c>
      <c r="O963" s="114" t="str">
        <f>IF(Main[[#This Row],[Tech Start Date]]&lt;1/1/1990,"",IF(Main[[#This Row],[Class]]="C",WORKDAY(Main[[#This Row],[Tech Start Date]],23),IF(Main[[#This Row],[Class]]="B", WORKDAY(Main[[#This Row],[Tech Start Date]],15),IF(Main[[#This Row],[Class]]="A",WORKDAY(Main[[#This Row],[Tech Start Date]],5),""))))</f>
        <v/>
      </c>
      <c r="P963" s="114" t="str">
        <f>IF(Main[[#This Row],[Tech Start Date]]&lt;1/1/1990,"",IF(Main[[#This Row],[Class]]="C",WORKDAY(Main[[#This Row],[Tech Start Date]],28),IF(Main[[#This Row],[Class]]="B", WORKDAY(Main[[#This Row],[Tech Start Date]],19),IF(Main[[#This Row],[Class]]="A",WORKDAY(Main[[#This Row],[Tech Start Date]],9),""))))</f>
        <v/>
      </c>
      <c r="Q963" s="129"/>
      <c r="R963" s="129"/>
      <c r="S963" s="139" t="s">
        <v>6</v>
      </c>
      <c r="T963" s="115" t="s">
        <v>4</v>
      </c>
      <c r="U963" s="139" t="s">
        <v>29</v>
      </c>
      <c r="V963" s="139" t="s">
        <v>1915</v>
      </c>
      <c r="W963" s="139" t="s">
        <v>1918</v>
      </c>
      <c r="X963" s="139" t="s">
        <v>102</v>
      </c>
      <c r="Y963" s="112" t="s">
        <v>3239</v>
      </c>
      <c r="Z963" s="112" t="s">
        <v>4</v>
      </c>
      <c r="AA963" s="139" t="s">
        <v>2053</v>
      </c>
    </row>
    <row r="964" spans="1:27" ht="17.25" customHeight="1">
      <c r="A964" s="69" t="str">
        <f>IF(priority(Main[[#This Row],[Comments]])&lt;&gt;0, priority(Main[[#This Row],[Comments]]),"")</f>
        <v/>
      </c>
      <c r="B964" s="63" t="s">
        <v>1759</v>
      </c>
      <c r="C964" s="148" t="s">
        <v>72</v>
      </c>
      <c r="D964" s="113" t="s">
        <v>806</v>
      </c>
      <c r="E964" s="129"/>
      <c r="F964" s="129">
        <v>40756</v>
      </c>
      <c r="G964" s="69" t="str">
        <f>IF(stdProdLT(Main[[#This Row],[Comments]])=0.1,"N/A",IF(stdProdLT(Main[[#This Row],[Comments]])=0,"",stdProdLT(Main[[#This Row],[Comments]])))</f>
        <v/>
      </c>
      <c r="H964" s="138" t="str">
        <f>IF(Main[[#This Row],[In Stock Date]]="N/A", "N/A",IF(AND(Main[[#This Row],[In Stock Date]]&lt;&gt;"",Main[[#This Row],[Revised Due Date]]&lt;&gt;"",Main[[#This Row],[In Stock Date]]&lt;&gt;""),Main[[#This Row],[In Stock Date]]-Main[[#This Row],[Revised Due Date]],""))</f>
        <v/>
      </c>
      <c r="I964" s="139" t="s">
        <v>4</v>
      </c>
      <c r="J964" s="139" t="s">
        <v>28</v>
      </c>
      <c r="K964" s="140" t="s">
        <v>4</v>
      </c>
      <c r="L964" s="129"/>
      <c r="M964" s="114" t="str">
        <f>IF(Main[[#This Row],[Tech Start Date]]&lt;1/1/1990,"",IF(Main[[#This Row],[Class]]="C",WORKDAY(Main[[#This Row],[Tech Start Date]],9),IF(Main[[#This Row],[Class]]="B", WORKDAY(Main[[#This Row],[Tech Start Date]],6),IF(Main[[#This Row],[Class]]="A",WORKDAY(Main[[#This Row],[Tech Start Date]],2),""))))</f>
        <v/>
      </c>
      <c r="N964" s="114" t="str">
        <f>IF(Main[[#This Row],[Tech Start Date]]&lt;1/1/1990,"",IF(Main[[#This Row],[Class]]="C",WORKDAY(Main[[#This Row],[Tech Start Date]],19),IF(Main[[#This Row],[Class]]="B", WORKDAY(Main[[#This Row],[Tech Start Date]],12),IF(Main[[#This Row],[Class]]="A",WORKDAY(Main[[#This Row],[Tech Start Date]],4),""))))</f>
        <v/>
      </c>
      <c r="O964" s="114" t="str">
        <f>IF(Main[[#This Row],[Tech Start Date]]&lt;1/1/1990,"",IF(Main[[#This Row],[Class]]="C",WORKDAY(Main[[#This Row],[Tech Start Date]],23),IF(Main[[#This Row],[Class]]="B", WORKDAY(Main[[#This Row],[Tech Start Date]],15),IF(Main[[#This Row],[Class]]="A",WORKDAY(Main[[#This Row],[Tech Start Date]],5),""))))</f>
        <v/>
      </c>
      <c r="P964" s="114" t="str">
        <f>IF(Main[[#This Row],[Tech Start Date]]&lt;1/1/1990,"",IF(Main[[#This Row],[Class]]="C",WORKDAY(Main[[#This Row],[Tech Start Date]],28),IF(Main[[#This Row],[Class]]="B", WORKDAY(Main[[#This Row],[Tech Start Date]],19),IF(Main[[#This Row],[Class]]="A",WORKDAY(Main[[#This Row],[Tech Start Date]],9),""))))</f>
        <v/>
      </c>
      <c r="Q964" s="129"/>
      <c r="R964" s="129"/>
      <c r="S964" s="139" t="s">
        <v>11</v>
      </c>
      <c r="T964" s="115" t="s">
        <v>4</v>
      </c>
      <c r="U964" s="139" t="s">
        <v>14</v>
      </c>
      <c r="V964" s="139" t="s">
        <v>1917</v>
      </c>
      <c r="W964" s="139" t="s">
        <v>1919</v>
      </c>
      <c r="X964" s="139" t="s">
        <v>50</v>
      </c>
      <c r="Y964" s="112" t="s">
        <v>2978</v>
      </c>
      <c r="Z964" s="112" t="s">
        <v>30</v>
      </c>
      <c r="AA964" s="139" t="s">
        <v>2847</v>
      </c>
    </row>
    <row r="965" spans="1:27" ht="17.25" customHeight="1">
      <c r="A965" s="69" t="str">
        <f>IF(priority(Main[[#This Row],[Comments]])&lt;&gt;0, priority(Main[[#This Row],[Comments]]),"")</f>
        <v/>
      </c>
      <c r="B965" s="63" t="s">
        <v>1760</v>
      </c>
      <c r="C965" s="148" t="s">
        <v>47</v>
      </c>
      <c r="D965" s="113" t="s">
        <v>807</v>
      </c>
      <c r="E965" s="129"/>
      <c r="F965" s="129"/>
      <c r="G965" s="69" t="str">
        <f>IF(stdProdLT(Main[[#This Row],[Comments]])=0.1,"N/A",IF(stdProdLT(Main[[#This Row],[Comments]])=0,"",stdProdLT(Main[[#This Row],[Comments]])))</f>
        <v/>
      </c>
      <c r="H965" s="138" t="str">
        <f>IF(Main[[#This Row],[In Stock Date]]="N/A", "N/A",IF(AND(Main[[#This Row],[In Stock Date]]&lt;&gt;"",Main[[#This Row],[Revised Due Date]]&lt;&gt;"",Main[[#This Row],[In Stock Date]]&lt;&gt;""),Main[[#This Row],[In Stock Date]]-Main[[#This Row],[Revised Due Date]],""))</f>
        <v/>
      </c>
      <c r="I965" s="139" t="s">
        <v>4</v>
      </c>
      <c r="J965" s="139" t="s">
        <v>4</v>
      </c>
      <c r="K965" s="140" t="s">
        <v>4</v>
      </c>
      <c r="L965" s="129"/>
      <c r="M965" s="114" t="str">
        <f>IF(Main[[#This Row],[Tech Start Date]]&lt;1/1/1990,"",IF(Main[[#This Row],[Class]]="C",WORKDAY(Main[[#This Row],[Tech Start Date]],9),IF(Main[[#This Row],[Class]]="B", WORKDAY(Main[[#This Row],[Tech Start Date]],6),IF(Main[[#This Row],[Class]]="A",WORKDAY(Main[[#This Row],[Tech Start Date]],2),""))))</f>
        <v/>
      </c>
      <c r="N965" s="114" t="str">
        <f>IF(Main[[#This Row],[Tech Start Date]]&lt;1/1/1990,"",IF(Main[[#This Row],[Class]]="C",WORKDAY(Main[[#This Row],[Tech Start Date]],19),IF(Main[[#This Row],[Class]]="B", WORKDAY(Main[[#This Row],[Tech Start Date]],12),IF(Main[[#This Row],[Class]]="A",WORKDAY(Main[[#This Row],[Tech Start Date]],4),""))))</f>
        <v/>
      </c>
      <c r="O965" s="114" t="str">
        <f>IF(Main[[#This Row],[Tech Start Date]]&lt;1/1/1990,"",IF(Main[[#This Row],[Class]]="C",WORKDAY(Main[[#This Row],[Tech Start Date]],23),IF(Main[[#This Row],[Class]]="B", WORKDAY(Main[[#This Row],[Tech Start Date]],15),IF(Main[[#This Row],[Class]]="A",WORKDAY(Main[[#This Row],[Tech Start Date]],5),""))))</f>
        <v/>
      </c>
      <c r="P965" s="114" t="str">
        <f>IF(Main[[#This Row],[Tech Start Date]]&lt;1/1/1990,"",IF(Main[[#This Row],[Class]]="C",WORKDAY(Main[[#This Row],[Tech Start Date]],28),IF(Main[[#This Row],[Class]]="B", WORKDAY(Main[[#This Row],[Tech Start Date]],19),IF(Main[[#This Row],[Class]]="A",WORKDAY(Main[[#This Row],[Tech Start Date]],9),""))))</f>
        <v/>
      </c>
      <c r="Q965" s="129"/>
      <c r="R965" s="129"/>
      <c r="S965" s="139" t="s">
        <v>17</v>
      </c>
      <c r="T965" s="115" t="s">
        <v>4</v>
      </c>
      <c r="U965" s="139" t="s">
        <v>14</v>
      </c>
      <c r="V965" s="139" t="s">
        <v>1915</v>
      </c>
      <c r="W965" s="139" t="s">
        <v>1922</v>
      </c>
      <c r="X965" s="139" t="s">
        <v>306</v>
      </c>
      <c r="Y965" s="112" t="s">
        <v>2941</v>
      </c>
      <c r="Z965" s="112" t="s">
        <v>4</v>
      </c>
      <c r="AA965" s="139" t="s">
        <v>3376</v>
      </c>
    </row>
    <row r="966" spans="1:27" ht="17.25" customHeight="1">
      <c r="A966" s="69" t="str">
        <f>IF(priority(Main[[#This Row],[Comments]])&lt;&gt;0, priority(Main[[#This Row],[Comments]]),"")</f>
        <v/>
      </c>
      <c r="B966" s="63" t="s">
        <v>1761</v>
      </c>
      <c r="C966" s="148" t="s">
        <v>4</v>
      </c>
      <c r="D966" s="113" t="s">
        <v>808</v>
      </c>
      <c r="E966" s="129">
        <v>40634.342361111114</v>
      </c>
      <c r="F966" s="129"/>
      <c r="G966" s="69" t="str">
        <f>IF(stdProdLT(Main[[#This Row],[Comments]])=0.1,"N/A",IF(stdProdLT(Main[[#This Row],[Comments]])=0,"",stdProdLT(Main[[#This Row],[Comments]])))</f>
        <v/>
      </c>
      <c r="H966" s="138" t="str">
        <f>IF(Main[[#This Row],[In Stock Date]]="N/A", "N/A",IF(AND(Main[[#This Row],[In Stock Date]]&lt;&gt;"",Main[[#This Row],[Revised Due Date]]&lt;&gt;"",Main[[#This Row],[In Stock Date]]&lt;&gt;""),Main[[#This Row],[In Stock Date]]-Main[[#This Row],[Revised Due Date]],""))</f>
        <v/>
      </c>
      <c r="I966" s="139" t="s">
        <v>4</v>
      </c>
      <c r="J966" s="139" t="s">
        <v>4</v>
      </c>
      <c r="K966" s="139" t="s">
        <v>4</v>
      </c>
      <c r="L966" s="129"/>
      <c r="M966" s="114" t="str">
        <f>IF(Main[[#This Row],[Tech Start Date]]&lt;1/1/1990,"",IF(Main[[#This Row],[Class]]="C",WORKDAY(Main[[#This Row],[Tech Start Date]],9),IF(Main[[#This Row],[Class]]="B", WORKDAY(Main[[#This Row],[Tech Start Date]],6),IF(Main[[#This Row],[Class]]="A",WORKDAY(Main[[#This Row],[Tech Start Date]],2),""))))</f>
        <v/>
      </c>
      <c r="N966" s="114" t="str">
        <f>IF(Main[[#This Row],[Tech Start Date]]&lt;1/1/1990,"",IF(Main[[#This Row],[Class]]="C",WORKDAY(Main[[#This Row],[Tech Start Date]],19),IF(Main[[#This Row],[Class]]="B", WORKDAY(Main[[#This Row],[Tech Start Date]],12),IF(Main[[#This Row],[Class]]="A",WORKDAY(Main[[#This Row],[Tech Start Date]],4),""))))</f>
        <v/>
      </c>
      <c r="O966" s="114" t="str">
        <f>IF(Main[[#This Row],[Tech Start Date]]&lt;1/1/1990,"",IF(Main[[#This Row],[Class]]="C",WORKDAY(Main[[#This Row],[Tech Start Date]],23),IF(Main[[#This Row],[Class]]="B", WORKDAY(Main[[#This Row],[Tech Start Date]],15),IF(Main[[#This Row],[Class]]="A",WORKDAY(Main[[#This Row],[Tech Start Date]],5),""))))</f>
        <v/>
      </c>
      <c r="P966" s="114" t="str">
        <f>IF(Main[[#This Row],[Tech Start Date]]&lt;1/1/1990,"",IF(Main[[#This Row],[Class]]="C",WORKDAY(Main[[#This Row],[Tech Start Date]],28),IF(Main[[#This Row],[Class]]="B", WORKDAY(Main[[#This Row],[Tech Start Date]],19),IF(Main[[#This Row],[Class]]="A",WORKDAY(Main[[#This Row],[Tech Start Date]],9),""))))</f>
        <v/>
      </c>
      <c r="Q966" s="129">
        <v>40676</v>
      </c>
      <c r="R966" s="129"/>
      <c r="S966" s="139" t="s">
        <v>6</v>
      </c>
      <c r="T966" s="115" t="s">
        <v>4</v>
      </c>
      <c r="U966" s="139" t="s">
        <v>7</v>
      </c>
      <c r="V966" s="139" t="s">
        <v>1915</v>
      </c>
      <c r="W966" s="139" t="s">
        <v>4</v>
      </c>
      <c r="X966" s="139" t="s">
        <v>2818</v>
      </c>
      <c r="Y966" s="112" t="s">
        <v>2929</v>
      </c>
      <c r="Z966" s="112" t="s">
        <v>4</v>
      </c>
      <c r="AA966" s="139" t="s">
        <v>2818</v>
      </c>
    </row>
    <row r="967" spans="1:27" ht="17.25" customHeight="1">
      <c r="A967" s="69" t="str">
        <f>IF(priority(Main[[#This Row],[Comments]])&lt;&gt;0, priority(Main[[#This Row],[Comments]]),"")</f>
        <v/>
      </c>
      <c r="B967" s="63" t="s">
        <v>1762</v>
      </c>
      <c r="C967" s="148" t="s">
        <v>31</v>
      </c>
      <c r="D967" s="113" t="s">
        <v>809</v>
      </c>
      <c r="E967" s="129"/>
      <c r="F967" s="129"/>
      <c r="G967" s="69" t="str">
        <f>IF(stdProdLT(Main[[#This Row],[Comments]])=0.1,"N/A",IF(stdProdLT(Main[[#This Row],[Comments]])=0,"",stdProdLT(Main[[#This Row],[Comments]])))</f>
        <v/>
      </c>
      <c r="H967" s="138" t="str">
        <f>IF(Main[[#This Row],[In Stock Date]]="N/A", "N/A",IF(AND(Main[[#This Row],[In Stock Date]]&lt;&gt;"",Main[[#This Row],[Revised Due Date]]&lt;&gt;"",Main[[#This Row],[In Stock Date]]&lt;&gt;""),Main[[#This Row],[In Stock Date]]-Main[[#This Row],[Revised Due Date]],""))</f>
        <v/>
      </c>
      <c r="I967" s="139" t="s">
        <v>4</v>
      </c>
      <c r="J967" s="139" t="s">
        <v>4</v>
      </c>
      <c r="K967" s="139" t="s">
        <v>4</v>
      </c>
      <c r="L967" s="129"/>
      <c r="M967" s="114" t="str">
        <f>IF(Main[[#This Row],[Tech Start Date]]&lt;1/1/1990,"",IF(Main[[#This Row],[Class]]="C",WORKDAY(Main[[#This Row],[Tech Start Date]],9),IF(Main[[#This Row],[Class]]="B", WORKDAY(Main[[#This Row],[Tech Start Date]],6),IF(Main[[#This Row],[Class]]="A",WORKDAY(Main[[#This Row],[Tech Start Date]],2),""))))</f>
        <v/>
      </c>
      <c r="N967" s="114" t="str">
        <f>IF(Main[[#This Row],[Tech Start Date]]&lt;1/1/1990,"",IF(Main[[#This Row],[Class]]="C",WORKDAY(Main[[#This Row],[Tech Start Date]],19),IF(Main[[#This Row],[Class]]="B", WORKDAY(Main[[#This Row],[Tech Start Date]],12),IF(Main[[#This Row],[Class]]="A",WORKDAY(Main[[#This Row],[Tech Start Date]],4),""))))</f>
        <v/>
      </c>
      <c r="O967" s="114" t="str">
        <f>IF(Main[[#This Row],[Tech Start Date]]&lt;1/1/1990,"",IF(Main[[#This Row],[Class]]="C",WORKDAY(Main[[#This Row],[Tech Start Date]],23),IF(Main[[#This Row],[Class]]="B", WORKDAY(Main[[#This Row],[Tech Start Date]],15),IF(Main[[#This Row],[Class]]="A",WORKDAY(Main[[#This Row],[Tech Start Date]],5),""))))</f>
        <v/>
      </c>
      <c r="P967" s="114" t="str">
        <f>IF(Main[[#This Row],[Tech Start Date]]&lt;1/1/1990,"",IF(Main[[#This Row],[Class]]="C",WORKDAY(Main[[#This Row],[Tech Start Date]],28),IF(Main[[#This Row],[Class]]="B", WORKDAY(Main[[#This Row],[Tech Start Date]],19),IF(Main[[#This Row],[Class]]="A",WORKDAY(Main[[#This Row],[Tech Start Date]],9),""))))</f>
        <v/>
      </c>
      <c r="Q967" s="129">
        <v>40318</v>
      </c>
      <c r="R967" s="129"/>
      <c r="S967" s="139" t="s">
        <v>11</v>
      </c>
      <c r="T967" s="115" t="s">
        <v>4</v>
      </c>
      <c r="U967" s="139" t="s">
        <v>14</v>
      </c>
      <c r="V967" s="139" t="s">
        <v>1917</v>
      </c>
      <c r="W967" s="139" t="s">
        <v>1916</v>
      </c>
      <c r="X967" s="139" t="s">
        <v>2830</v>
      </c>
      <c r="Y967" s="112" t="s">
        <v>4</v>
      </c>
      <c r="Z967" s="112" t="s">
        <v>4</v>
      </c>
      <c r="AA967" s="139" t="s">
        <v>2830</v>
      </c>
    </row>
    <row r="968" spans="1:27" ht="17.25" customHeight="1">
      <c r="A968" s="69" t="str">
        <f>IF(priority(Main[[#This Row],[Comments]])&lt;&gt;0, priority(Main[[#This Row],[Comments]]),"")</f>
        <v/>
      </c>
      <c r="B968" s="63" t="s">
        <v>1763</v>
      </c>
      <c r="C968" s="148" t="s">
        <v>4</v>
      </c>
      <c r="D968" s="113" t="s">
        <v>120</v>
      </c>
      <c r="E968" s="129"/>
      <c r="F968" s="129"/>
      <c r="G968" s="69" t="str">
        <f>IF(stdProdLT(Main[[#This Row],[Comments]])=0.1,"N/A",IF(stdProdLT(Main[[#This Row],[Comments]])=0,"",stdProdLT(Main[[#This Row],[Comments]])))</f>
        <v/>
      </c>
      <c r="H968" s="138" t="str">
        <f>IF(Main[[#This Row],[In Stock Date]]="N/A", "N/A",IF(AND(Main[[#This Row],[In Stock Date]]&lt;&gt;"",Main[[#This Row],[Revised Due Date]]&lt;&gt;"",Main[[#This Row],[In Stock Date]]&lt;&gt;""),Main[[#This Row],[In Stock Date]]-Main[[#This Row],[Revised Due Date]],""))</f>
        <v/>
      </c>
      <c r="I968" s="139" t="s">
        <v>4</v>
      </c>
      <c r="J968" s="139" t="s">
        <v>4</v>
      </c>
      <c r="K968" s="139" t="s">
        <v>4</v>
      </c>
      <c r="L968" s="129"/>
      <c r="M968" s="114" t="str">
        <f>IF(Main[[#This Row],[Tech Start Date]]&lt;1/1/1990,"",IF(Main[[#This Row],[Class]]="C",WORKDAY(Main[[#This Row],[Tech Start Date]],9),IF(Main[[#This Row],[Class]]="B", WORKDAY(Main[[#This Row],[Tech Start Date]],6),IF(Main[[#This Row],[Class]]="A",WORKDAY(Main[[#This Row],[Tech Start Date]],2),""))))</f>
        <v/>
      </c>
      <c r="N968" s="114" t="str">
        <f>IF(Main[[#This Row],[Tech Start Date]]&lt;1/1/1990,"",IF(Main[[#This Row],[Class]]="C",WORKDAY(Main[[#This Row],[Tech Start Date]],19),IF(Main[[#This Row],[Class]]="B", WORKDAY(Main[[#This Row],[Tech Start Date]],12),IF(Main[[#This Row],[Class]]="A",WORKDAY(Main[[#This Row],[Tech Start Date]],4),""))))</f>
        <v/>
      </c>
      <c r="O968" s="114" t="str">
        <f>IF(Main[[#This Row],[Tech Start Date]]&lt;1/1/1990,"",IF(Main[[#This Row],[Class]]="C",WORKDAY(Main[[#This Row],[Tech Start Date]],23),IF(Main[[#This Row],[Class]]="B", WORKDAY(Main[[#This Row],[Tech Start Date]],15),IF(Main[[#This Row],[Class]]="A",WORKDAY(Main[[#This Row],[Tech Start Date]],5),""))))</f>
        <v/>
      </c>
      <c r="P968" s="114" t="str">
        <f>IF(Main[[#This Row],[Tech Start Date]]&lt;1/1/1990,"",IF(Main[[#This Row],[Class]]="C",WORKDAY(Main[[#This Row],[Tech Start Date]],28),IF(Main[[#This Row],[Class]]="B", WORKDAY(Main[[#This Row],[Tech Start Date]],19),IF(Main[[#This Row],[Class]]="A",WORKDAY(Main[[#This Row],[Tech Start Date]],9),""))))</f>
        <v/>
      </c>
      <c r="Q968" s="129"/>
      <c r="R968" s="129"/>
      <c r="S968" s="139" t="s">
        <v>11</v>
      </c>
      <c r="T968" s="115" t="s">
        <v>4</v>
      </c>
      <c r="U968" s="139" t="s">
        <v>14</v>
      </c>
      <c r="V968" s="139" t="s">
        <v>1917</v>
      </c>
      <c r="W968" s="139" t="s">
        <v>1928</v>
      </c>
      <c r="X968" s="139" t="s">
        <v>2842</v>
      </c>
      <c r="Y968" s="112" t="s">
        <v>2974</v>
      </c>
      <c r="Z968" s="112" t="s">
        <v>4</v>
      </c>
      <c r="AA968" s="139" t="s">
        <v>2842</v>
      </c>
    </row>
    <row r="969" spans="1:27" ht="17.25" customHeight="1">
      <c r="A969" s="69" t="str">
        <f>IF(priority(Main[[#This Row],[Comments]])&lt;&gt;0, priority(Main[[#This Row],[Comments]]),"")</f>
        <v/>
      </c>
      <c r="B969" s="63" t="s">
        <v>1764</v>
      </c>
      <c r="C969" s="148" t="s">
        <v>4</v>
      </c>
      <c r="D969" s="113" t="s">
        <v>810</v>
      </c>
      <c r="E969" s="129">
        <v>40687.166759259257</v>
      </c>
      <c r="F969" s="129"/>
      <c r="G969" s="69" t="str">
        <f>IF(stdProdLT(Main[[#This Row],[Comments]])=0.1,"N/A",IF(stdProdLT(Main[[#This Row],[Comments]])=0,"",stdProdLT(Main[[#This Row],[Comments]])))</f>
        <v/>
      </c>
      <c r="H969" s="138" t="str">
        <f>IF(Main[[#This Row],[In Stock Date]]="N/A", "N/A",IF(AND(Main[[#This Row],[In Stock Date]]&lt;&gt;"",Main[[#This Row],[Revised Due Date]]&lt;&gt;"",Main[[#This Row],[In Stock Date]]&lt;&gt;""),Main[[#This Row],[In Stock Date]]-Main[[#This Row],[Revised Due Date]],""))</f>
        <v/>
      </c>
      <c r="I969" s="139" t="s">
        <v>4</v>
      </c>
      <c r="J969" s="139" t="s">
        <v>4</v>
      </c>
      <c r="K969" s="139" t="s">
        <v>4</v>
      </c>
      <c r="L969" s="129"/>
      <c r="M969" s="114" t="str">
        <f>IF(Main[[#This Row],[Tech Start Date]]&lt;1/1/1990,"",IF(Main[[#This Row],[Class]]="C",WORKDAY(Main[[#This Row],[Tech Start Date]],9),IF(Main[[#This Row],[Class]]="B", WORKDAY(Main[[#This Row],[Tech Start Date]],6),IF(Main[[#This Row],[Class]]="A",WORKDAY(Main[[#This Row],[Tech Start Date]],2),""))))</f>
        <v/>
      </c>
      <c r="N969" s="114" t="str">
        <f>IF(Main[[#This Row],[Tech Start Date]]&lt;1/1/1990,"",IF(Main[[#This Row],[Class]]="C",WORKDAY(Main[[#This Row],[Tech Start Date]],19),IF(Main[[#This Row],[Class]]="B", WORKDAY(Main[[#This Row],[Tech Start Date]],12),IF(Main[[#This Row],[Class]]="A",WORKDAY(Main[[#This Row],[Tech Start Date]],4),""))))</f>
        <v/>
      </c>
      <c r="O969" s="114" t="str">
        <f>IF(Main[[#This Row],[Tech Start Date]]&lt;1/1/1990,"",IF(Main[[#This Row],[Class]]="C",WORKDAY(Main[[#This Row],[Tech Start Date]],23),IF(Main[[#This Row],[Class]]="B", WORKDAY(Main[[#This Row],[Tech Start Date]],15),IF(Main[[#This Row],[Class]]="A",WORKDAY(Main[[#This Row],[Tech Start Date]],5),""))))</f>
        <v/>
      </c>
      <c r="P969" s="114" t="str">
        <f>IF(Main[[#This Row],[Tech Start Date]]&lt;1/1/1990,"",IF(Main[[#This Row],[Class]]="C",WORKDAY(Main[[#This Row],[Tech Start Date]],28),IF(Main[[#This Row],[Class]]="B", WORKDAY(Main[[#This Row],[Tech Start Date]],19),IF(Main[[#This Row],[Class]]="A",WORKDAY(Main[[#This Row],[Tech Start Date]],9),""))))</f>
        <v/>
      </c>
      <c r="Q969" s="129">
        <v>40724</v>
      </c>
      <c r="R969" s="129"/>
      <c r="S969" s="139" t="s">
        <v>6</v>
      </c>
      <c r="T969" s="115" t="s">
        <v>4</v>
      </c>
      <c r="U969" s="139" t="s">
        <v>7</v>
      </c>
      <c r="V969" s="139" t="s">
        <v>1914</v>
      </c>
      <c r="W969" s="139" t="s">
        <v>4</v>
      </c>
      <c r="X969" s="139" t="s">
        <v>2822</v>
      </c>
      <c r="Y969" s="112" t="s">
        <v>2938</v>
      </c>
      <c r="Z969" s="112" t="s">
        <v>4</v>
      </c>
      <c r="AA969" s="139" t="s">
        <v>2822</v>
      </c>
    </row>
    <row r="970" spans="1:27" ht="17.25" customHeight="1">
      <c r="A970" s="69" t="str">
        <f>IF(priority(Main[[#This Row],[Comments]])&lt;&gt;0, priority(Main[[#This Row],[Comments]]),"")</f>
        <v/>
      </c>
      <c r="B970" s="63" t="s">
        <v>1766</v>
      </c>
      <c r="C970" s="148" t="s">
        <v>4</v>
      </c>
      <c r="D970" s="113" t="s">
        <v>811</v>
      </c>
      <c r="E970" s="129"/>
      <c r="F970" s="129">
        <v>40598</v>
      </c>
      <c r="G970" s="69" t="str">
        <f>IF(stdProdLT(Main[[#This Row],[Comments]])=0.1,"N/A",IF(stdProdLT(Main[[#This Row],[Comments]])=0,"",stdProdLT(Main[[#This Row],[Comments]])))</f>
        <v/>
      </c>
      <c r="H970" s="138" t="str">
        <f>IF(Main[[#This Row],[In Stock Date]]="N/A", "N/A",IF(AND(Main[[#This Row],[In Stock Date]]&lt;&gt;"",Main[[#This Row],[Revised Due Date]]&lt;&gt;"",Main[[#This Row],[In Stock Date]]&lt;&gt;""),Main[[#This Row],[In Stock Date]]-Main[[#This Row],[Revised Due Date]],""))</f>
        <v/>
      </c>
      <c r="I970" s="139" t="s">
        <v>4</v>
      </c>
      <c r="J970" s="139" t="s">
        <v>4</v>
      </c>
      <c r="K970" s="139" t="s">
        <v>4</v>
      </c>
      <c r="L970" s="129"/>
      <c r="M970" s="114" t="str">
        <f>IF(Main[[#This Row],[Tech Start Date]]&lt;1/1/1990,"",IF(Main[[#This Row],[Class]]="C",WORKDAY(Main[[#This Row],[Tech Start Date]],9),IF(Main[[#This Row],[Class]]="B", WORKDAY(Main[[#This Row],[Tech Start Date]],6),IF(Main[[#This Row],[Class]]="A",WORKDAY(Main[[#This Row],[Tech Start Date]],2),""))))</f>
        <v/>
      </c>
      <c r="N970" s="114" t="str">
        <f>IF(Main[[#This Row],[Tech Start Date]]&lt;1/1/1990,"",IF(Main[[#This Row],[Class]]="C",WORKDAY(Main[[#This Row],[Tech Start Date]],19),IF(Main[[#This Row],[Class]]="B", WORKDAY(Main[[#This Row],[Tech Start Date]],12),IF(Main[[#This Row],[Class]]="A",WORKDAY(Main[[#This Row],[Tech Start Date]],4),""))))</f>
        <v/>
      </c>
      <c r="O970" s="114" t="str">
        <f>IF(Main[[#This Row],[Tech Start Date]]&lt;1/1/1990,"",IF(Main[[#This Row],[Class]]="C",WORKDAY(Main[[#This Row],[Tech Start Date]],23),IF(Main[[#This Row],[Class]]="B", WORKDAY(Main[[#This Row],[Tech Start Date]],15),IF(Main[[#This Row],[Class]]="A",WORKDAY(Main[[#This Row],[Tech Start Date]],5),""))))</f>
        <v/>
      </c>
      <c r="P970" s="114" t="str">
        <f>IF(Main[[#This Row],[Tech Start Date]]&lt;1/1/1990,"",IF(Main[[#This Row],[Class]]="C",WORKDAY(Main[[#This Row],[Tech Start Date]],28),IF(Main[[#This Row],[Class]]="B", WORKDAY(Main[[#This Row],[Tech Start Date]],19),IF(Main[[#This Row],[Class]]="A",WORKDAY(Main[[#This Row],[Tech Start Date]],9),""))))</f>
        <v/>
      </c>
      <c r="Q970" s="129">
        <v>40598</v>
      </c>
      <c r="R970" s="129"/>
      <c r="S970" s="139" t="s">
        <v>11</v>
      </c>
      <c r="T970" s="115" t="s">
        <v>4</v>
      </c>
      <c r="U970" s="139" t="s">
        <v>14</v>
      </c>
      <c r="V970" s="139" t="s">
        <v>1924</v>
      </c>
      <c r="W970" s="139" t="s">
        <v>1920</v>
      </c>
      <c r="X970" s="139" t="s">
        <v>2848</v>
      </c>
      <c r="Y970" s="112" t="s">
        <v>2979</v>
      </c>
      <c r="Z970" s="112" t="s">
        <v>4</v>
      </c>
      <c r="AA970" s="139" t="s">
        <v>2848</v>
      </c>
    </row>
    <row r="971" spans="1:27" ht="17.25" customHeight="1">
      <c r="A971" s="69" t="str">
        <f>IF(priority(Main[[#This Row],[Comments]])&lt;&gt;0, priority(Main[[#This Row],[Comments]]),"")</f>
        <v/>
      </c>
      <c r="B971" s="63" t="s">
        <v>3618</v>
      </c>
      <c r="C971" s="148" t="s">
        <v>2354</v>
      </c>
      <c r="D971" s="113" t="s">
        <v>3619</v>
      </c>
      <c r="E971" s="129">
        <v>40966.113043981481</v>
      </c>
      <c r="F971" s="129">
        <v>41014</v>
      </c>
      <c r="G971" s="69" t="str">
        <f>IF(stdProdLT(Main[[#This Row],[Comments]])=0.1,"N/A",IF(stdProdLT(Main[[#This Row],[Comments]])=0,"",stdProdLT(Main[[#This Row],[Comments]])))</f>
        <v/>
      </c>
      <c r="H971" s="138" t="str">
        <f>IF(Main[[#This Row],[In Stock Date]]="N/A", "N/A",IF(AND(Main[[#This Row],[In Stock Date]]&lt;&gt;"",Main[[#This Row],[Revised Due Date]]&lt;&gt;"",Main[[#This Row],[In Stock Date]]&lt;&gt;""),Main[[#This Row],[In Stock Date]]-Main[[#This Row],[Revised Due Date]],""))</f>
        <v/>
      </c>
      <c r="I971" s="139" t="s">
        <v>4</v>
      </c>
      <c r="J971" s="139" t="s">
        <v>4</v>
      </c>
      <c r="K971" s="139" t="s">
        <v>4</v>
      </c>
      <c r="L971" s="129"/>
      <c r="M971" s="114" t="str">
        <f>IF(Main[[#This Row],[Tech Start Date]]&lt;1/1/1990,"",IF(Main[[#This Row],[Class]]="C",WORKDAY(Main[[#This Row],[Tech Start Date]],9),IF(Main[[#This Row],[Class]]="B", WORKDAY(Main[[#This Row],[Tech Start Date]],6),IF(Main[[#This Row],[Class]]="A",WORKDAY(Main[[#This Row],[Tech Start Date]],2),""))))</f>
        <v/>
      </c>
      <c r="N971" s="114" t="str">
        <f>IF(Main[[#This Row],[Tech Start Date]]&lt;1/1/1990,"",IF(Main[[#This Row],[Class]]="C",WORKDAY(Main[[#This Row],[Tech Start Date]],19),IF(Main[[#This Row],[Class]]="B", WORKDAY(Main[[#This Row],[Tech Start Date]],12),IF(Main[[#This Row],[Class]]="A",WORKDAY(Main[[#This Row],[Tech Start Date]],4),""))))</f>
        <v/>
      </c>
      <c r="O971" s="114" t="str">
        <f>IF(Main[[#This Row],[Tech Start Date]]&lt;1/1/1990,"",IF(Main[[#This Row],[Class]]="C",WORKDAY(Main[[#This Row],[Tech Start Date]],23),IF(Main[[#This Row],[Class]]="B", WORKDAY(Main[[#This Row],[Tech Start Date]],15),IF(Main[[#This Row],[Class]]="A",WORKDAY(Main[[#This Row],[Tech Start Date]],5),""))))</f>
        <v/>
      </c>
      <c r="P971" s="114" t="str">
        <f>IF(Main[[#This Row],[Tech Start Date]]&lt;1/1/1990,"",IF(Main[[#This Row],[Class]]="C",WORKDAY(Main[[#This Row],[Tech Start Date]],28),IF(Main[[#This Row],[Class]]="B", WORKDAY(Main[[#This Row],[Tech Start Date]],19),IF(Main[[#This Row],[Class]]="A",WORKDAY(Main[[#This Row],[Tech Start Date]],9),""))))</f>
        <v/>
      </c>
      <c r="Q971" s="129">
        <v>40916</v>
      </c>
      <c r="R971" s="129"/>
      <c r="S971" s="139" t="s">
        <v>11</v>
      </c>
      <c r="T971" s="115" t="s">
        <v>4</v>
      </c>
      <c r="U971" s="139" t="s">
        <v>694</v>
      </c>
      <c r="V971" s="139" t="s">
        <v>1924</v>
      </c>
      <c r="W971" s="139" t="s">
        <v>1922</v>
      </c>
      <c r="X971" s="139" t="s">
        <v>2843</v>
      </c>
      <c r="Y971" s="112" t="s">
        <v>4</v>
      </c>
      <c r="Z971" s="112" t="s">
        <v>4</v>
      </c>
      <c r="AA971" s="139" t="s">
        <v>2843</v>
      </c>
    </row>
    <row r="972" spans="1:27" ht="17.25" customHeight="1">
      <c r="A972" s="69" t="str">
        <f>IF(priority(Main[[#This Row],[Comments]])&lt;&gt;0, priority(Main[[#This Row],[Comments]]),"")</f>
        <v/>
      </c>
      <c r="B972" s="63" t="s">
        <v>1772</v>
      </c>
      <c r="C972" s="148" t="s">
        <v>4</v>
      </c>
      <c r="D972" s="113" t="s">
        <v>2120</v>
      </c>
      <c r="E972" s="129"/>
      <c r="F972" s="129"/>
      <c r="G972" s="69" t="str">
        <f>IF(stdProdLT(Main[[#This Row],[Comments]])=0.1,"N/A",IF(stdProdLT(Main[[#This Row],[Comments]])=0,"",stdProdLT(Main[[#This Row],[Comments]])))</f>
        <v/>
      </c>
      <c r="H972" s="138" t="str">
        <f>IF(Main[[#This Row],[In Stock Date]]="N/A", "N/A",IF(AND(Main[[#This Row],[In Stock Date]]&lt;&gt;"",Main[[#This Row],[Revised Due Date]]&lt;&gt;"",Main[[#This Row],[In Stock Date]]&lt;&gt;""),Main[[#This Row],[In Stock Date]]-Main[[#This Row],[Revised Due Date]],""))</f>
        <v/>
      </c>
      <c r="I972" s="139" t="s">
        <v>429</v>
      </c>
      <c r="J972" s="139" t="s">
        <v>70</v>
      </c>
      <c r="K972" s="139" t="s">
        <v>1923</v>
      </c>
      <c r="L972" s="129"/>
      <c r="M972" s="114" t="str">
        <f>IF(Main[[#This Row],[Tech Start Date]]&lt;1/1/1990,"",IF(Main[[#This Row],[Class]]="C",WORKDAY(Main[[#This Row],[Tech Start Date]],9),IF(Main[[#This Row],[Class]]="B", WORKDAY(Main[[#This Row],[Tech Start Date]],6),IF(Main[[#This Row],[Class]]="A",WORKDAY(Main[[#This Row],[Tech Start Date]],2),""))))</f>
        <v/>
      </c>
      <c r="N972" s="114" t="str">
        <f>IF(Main[[#This Row],[Tech Start Date]]&lt;1/1/1990,"",IF(Main[[#This Row],[Class]]="C",WORKDAY(Main[[#This Row],[Tech Start Date]],19),IF(Main[[#This Row],[Class]]="B", WORKDAY(Main[[#This Row],[Tech Start Date]],12),IF(Main[[#This Row],[Class]]="A",WORKDAY(Main[[#This Row],[Tech Start Date]],4),""))))</f>
        <v/>
      </c>
      <c r="O972" s="114" t="str">
        <f>IF(Main[[#This Row],[Tech Start Date]]&lt;1/1/1990,"",IF(Main[[#This Row],[Class]]="C",WORKDAY(Main[[#This Row],[Tech Start Date]],23),IF(Main[[#This Row],[Class]]="B", WORKDAY(Main[[#This Row],[Tech Start Date]],15),IF(Main[[#This Row],[Class]]="A",WORKDAY(Main[[#This Row],[Tech Start Date]],5),""))))</f>
        <v/>
      </c>
      <c r="P972" s="114" t="str">
        <f>IF(Main[[#This Row],[Tech Start Date]]&lt;1/1/1990,"",IF(Main[[#This Row],[Class]]="C",WORKDAY(Main[[#This Row],[Tech Start Date]],28),IF(Main[[#This Row],[Class]]="B", WORKDAY(Main[[#This Row],[Tech Start Date]],19),IF(Main[[#This Row],[Class]]="A",WORKDAY(Main[[#This Row],[Tech Start Date]],9),""))))</f>
        <v/>
      </c>
      <c r="Q972" s="129">
        <v>40714</v>
      </c>
      <c r="R972" s="129"/>
      <c r="S972" s="139" t="s">
        <v>6</v>
      </c>
      <c r="T972" s="115" t="s">
        <v>4</v>
      </c>
      <c r="U972" s="139" t="s">
        <v>14</v>
      </c>
      <c r="V972" s="139" t="s">
        <v>1917</v>
      </c>
      <c r="W972" s="139" t="s">
        <v>1918</v>
      </c>
      <c r="X972" s="139" t="s">
        <v>2903</v>
      </c>
      <c r="Y972" s="112" t="s">
        <v>3083</v>
      </c>
      <c r="Z972" s="112" t="s">
        <v>30</v>
      </c>
      <c r="AA972" s="139" t="s">
        <v>2903</v>
      </c>
    </row>
    <row r="973" spans="1:27" ht="17.25" customHeight="1">
      <c r="A973" s="69" t="str">
        <f>IF(priority(Main[[#This Row],[Comments]])&lt;&gt;0, priority(Main[[#This Row],[Comments]]),"")</f>
        <v/>
      </c>
      <c r="B973" s="63" t="s">
        <v>1773</v>
      </c>
      <c r="C973" s="148" t="s">
        <v>4</v>
      </c>
      <c r="D973" s="113" t="s">
        <v>817</v>
      </c>
      <c r="E973" s="129"/>
      <c r="F973" s="129"/>
      <c r="G973" s="69" t="str">
        <f>IF(stdProdLT(Main[[#This Row],[Comments]])=0.1,"N/A",IF(stdProdLT(Main[[#This Row],[Comments]])=0,"",stdProdLT(Main[[#This Row],[Comments]])))</f>
        <v/>
      </c>
      <c r="H973" s="138" t="str">
        <f>IF(Main[[#This Row],[In Stock Date]]="N/A", "N/A",IF(AND(Main[[#This Row],[In Stock Date]]&lt;&gt;"",Main[[#This Row],[Revised Due Date]]&lt;&gt;"",Main[[#This Row],[In Stock Date]]&lt;&gt;""),Main[[#This Row],[In Stock Date]]-Main[[#This Row],[Revised Due Date]],""))</f>
        <v/>
      </c>
      <c r="I973" s="139" t="s">
        <v>4</v>
      </c>
      <c r="J973" s="139" t="s">
        <v>4</v>
      </c>
      <c r="K973" s="139" t="s">
        <v>4</v>
      </c>
      <c r="L973" s="129"/>
      <c r="M973" s="114" t="str">
        <f>IF(Main[[#This Row],[Tech Start Date]]&lt;1/1/1990,"",IF(Main[[#This Row],[Class]]="C",WORKDAY(Main[[#This Row],[Tech Start Date]],9),IF(Main[[#This Row],[Class]]="B", WORKDAY(Main[[#This Row],[Tech Start Date]],6),IF(Main[[#This Row],[Class]]="A",WORKDAY(Main[[#This Row],[Tech Start Date]],2),""))))</f>
        <v/>
      </c>
      <c r="N973" s="114" t="str">
        <f>IF(Main[[#This Row],[Tech Start Date]]&lt;1/1/1990,"",IF(Main[[#This Row],[Class]]="C",WORKDAY(Main[[#This Row],[Tech Start Date]],19),IF(Main[[#This Row],[Class]]="B", WORKDAY(Main[[#This Row],[Tech Start Date]],12),IF(Main[[#This Row],[Class]]="A",WORKDAY(Main[[#This Row],[Tech Start Date]],4),""))))</f>
        <v/>
      </c>
      <c r="O973" s="114" t="str">
        <f>IF(Main[[#This Row],[Tech Start Date]]&lt;1/1/1990,"",IF(Main[[#This Row],[Class]]="C",WORKDAY(Main[[#This Row],[Tech Start Date]],23),IF(Main[[#This Row],[Class]]="B", WORKDAY(Main[[#This Row],[Tech Start Date]],15),IF(Main[[#This Row],[Class]]="A",WORKDAY(Main[[#This Row],[Tech Start Date]],5),""))))</f>
        <v/>
      </c>
      <c r="P973" s="114" t="str">
        <f>IF(Main[[#This Row],[Tech Start Date]]&lt;1/1/1990,"",IF(Main[[#This Row],[Class]]="C",WORKDAY(Main[[#This Row],[Tech Start Date]],28),IF(Main[[#This Row],[Class]]="B", WORKDAY(Main[[#This Row],[Tech Start Date]],19),IF(Main[[#This Row],[Class]]="A",WORKDAY(Main[[#This Row],[Tech Start Date]],9),""))))</f>
        <v/>
      </c>
      <c r="Q973" s="129"/>
      <c r="R973" s="129"/>
      <c r="S973" s="139" t="s">
        <v>6</v>
      </c>
      <c r="T973" s="115" t="s">
        <v>4</v>
      </c>
      <c r="U973" s="139" t="s">
        <v>14</v>
      </c>
      <c r="V973" s="139" t="s">
        <v>1914</v>
      </c>
      <c r="W973" s="139" t="s">
        <v>1918</v>
      </c>
      <c r="X973" s="139" t="s">
        <v>912</v>
      </c>
      <c r="Y973" s="112" t="s">
        <v>3057</v>
      </c>
      <c r="Z973" s="112" t="s">
        <v>4</v>
      </c>
      <c r="AA973" s="139" t="s">
        <v>912</v>
      </c>
    </row>
    <row r="974" spans="1:27" ht="17.25" customHeight="1">
      <c r="A974" s="69" t="str">
        <f>IF(priority(Main[[#This Row],[Comments]])&lt;&gt;0, priority(Main[[#This Row],[Comments]]),"")</f>
        <v/>
      </c>
      <c r="B974" s="63" t="s">
        <v>1611</v>
      </c>
      <c r="C974" s="148" t="s">
        <v>4</v>
      </c>
      <c r="D974" s="113" t="s">
        <v>684</v>
      </c>
      <c r="E974" s="129">
        <v>40031.45721064815</v>
      </c>
      <c r="F974" s="129"/>
      <c r="G974" s="69" t="str">
        <f>IF(stdProdLT(Main[[#This Row],[Comments]])=0.1,"N/A",IF(stdProdLT(Main[[#This Row],[Comments]])=0,"",stdProdLT(Main[[#This Row],[Comments]])))</f>
        <v/>
      </c>
      <c r="H974" s="138" t="str">
        <f>IF(Main[[#This Row],[In Stock Date]]="N/A", "N/A",IF(AND(Main[[#This Row],[In Stock Date]]&lt;&gt;"",Main[[#This Row],[Revised Due Date]]&lt;&gt;"",Main[[#This Row],[In Stock Date]]&lt;&gt;""),Main[[#This Row],[In Stock Date]]-Main[[#This Row],[Revised Due Date]],""))</f>
        <v/>
      </c>
      <c r="I974" s="139" t="s">
        <v>2044</v>
      </c>
      <c r="J974" s="139" t="s">
        <v>21</v>
      </c>
      <c r="K974" s="139" t="s">
        <v>1923</v>
      </c>
      <c r="L974" s="129"/>
      <c r="M974" s="114" t="str">
        <f>IF(Main[[#This Row],[Tech Start Date]]&lt;1/1/1990,"",IF(Main[[#This Row],[Class]]="C",WORKDAY(Main[[#This Row],[Tech Start Date]],9),IF(Main[[#This Row],[Class]]="B", WORKDAY(Main[[#This Row],[Tech Start Date]],6),IF(Main[[#This Row],[Class]]="A",WORKDAY(Main[[#This Row],[Tech Start Date]],2),""))))</f>
        <v/>
      </c>
      <c r="N974" s="114" t="str">
        <f>IF(Main[[#This Row],[Tech Start Date]]&lt;1/1/1990,"",IF(Main[[#This Row],[Class]]="C",WORKDAY(Main[[#This Row],[Tech Start Date]],19),IF(Main[[#This Row],[Class]]="B", WORKDAY(Main[[#This Row],[Tech Start Date]],12),IF(Main[[#This Row],[Class]]="A",WORKDAY(Main[[#This Row],[Tech Start Date]],4),""))))</f>
        <v/>
      </c>
      <c r="O974" s="114" t="str">
        <f>IF(Main[[#This Row],[Tech Start Date]]&lt;1/1/1990,"",IF(Main[[#This Row],[Class]]="C",WORKDAY(Main[[#This Row],[Tech Start Date]],23),IF(Main[[#This Row],[Class]]="B", WORKDAY(Main[[#This Row],[Tech Start Date]],15),IF(Main[[#This Row],[Class]]="A",WORKDAY(Main[[#This Row],[Tech Start Date]],5),""))))</f>
        <v/>
      </c>
      <c r="P974" s="114" t="str">
        <f>IF(Main[[#This Row],[Tech Start Date]]&lt;1/1/1990,"",IF(Main[[#This Row],[Class]]="C",WORKDAY(Main[[#This Row],[Tech Start Date]],28),IF(Main[[#This Row],[Class]]="B", WORKDAY(Main[[#This Row],[Tech Start Date]],19),IF(Main[[#This Row],[Class]]="A",WORKDAY(Main[[#This Row],[Tech Start Date]],9),""))))</f>
        <v/>
      </c>
      <c r="Q974" s="129"/>
      <c r="R974" s="129"/>
      <c r="S974" s="139" t="s">
        <v>6</v>
      </c>
      <c r="T974" s="115" t="s">
        <v>4</v>
      </c>
      <c r="U974" s="139" t="s">
        <v>29</v>
      </c>
      <c r="V974" s="139" t="s">
        <v>1917</v>
      </c>
      <c r="W974" s="139" t="s">
        <v>1918</v>
      </c>
      <c r="X974" s="139" t="s">
        <v>2887</v>
      </c>
      <c r="Y974" s="112" t="s">
        <v>3043</v>
      </c>
      <c r="Z974" s="112" t="s">
        <v>30</v>
      </c>
      <c r="AA974" s="139" t="s">
        <v>2887</v>
      </c>
    </row>
    <row r="975" spans="1:27" ht="17.25" customHeight="1">
      <c r="A975" s="69" t="str">
        <f>IF(priority(Main[[#This Row],[Comments]])&lt;&gt;0, priority(Main[[#This Row],[Comments]]),"")</f>
        <v/>
      </c>
      <c r="B975" s="63" t="s">
        <v>1774</v>
      </c>
      <c r="C975" s="148" t="s">
        <v>818</v>
      </c>
      <c r="D975" s="113" t="s">
        <v>819</v>
      </c>
      <c r="E975" s="129"/>
      <c r="F975" s="129">
        <v>40421</v>
      </c>
      <c r="G975" s="69" t="str">
        <f>IF(stdProdLT(Main[[#This Row],[Comments]])=0.1,"N/A",IF(stdProdLT(Main[[#This Row],[Comments]])=0,"",stdProdLT(Main[[#This Row],[Comments]])))</f>
        <v/>
      </c>
      <c r="H975" s="138" t="str">
        <f>IF(Main[[#This Row],[In Stock Date]]="N/A", "N/A",IF(AND(Main[[#This Row],[In Stock Date]]&lt;&gt;"",Main[[#This Row],[Revised Due Date]]&lt;&gt;"",Main[[#This Row],[In Stock Date]]&lt;&gt;""),Main[[#This Row],[In Stock Date]]-Main[[#This Row],[Revised Due Date]],""))</f>
        <v/>
      </c>
      <c r="I975" s="139" t="s">
        <v>4</v>
      </c>
      <c r="J975" s="139" t="s">
        <v>4</v>
      </c>
      <c r="K975" s="139" t="s">
        <v>4</v>
      </c>
      <c r="L975" s="129"/>
      <c r="M975" s="114" t="str">
        <f>IF(Main[[#This Row],[Tech Start Date]]&lt;1/1/1990,"",IF(Main[[#This Row],[Class]]="C",WORKDAY(Main[[#This Row],[Tech Start Date]],9),IF(Main[[#This Row],[Class]]="B", WORKDAY(Main[[#This Row],[Tech Start Date]],6),IF(Main[[#This Row],[Class]]="A",WORKDAY(Main[[#This Row],[Tech Start Date]],2),""))))</f>
        <v/>
      </c>
      <c r="N975" s="114" t="str">
        <f>IF(Main[[#This Row],[Tech Start Date]]&lt;1/1/1990,"",IF(Main[[#This Row],[Class]]="C",WORKDAY(Main[[#This Row],[Tech Start Date]],19),IF(Main[[#This Row],[Class]]="B", WORKDAY(Main[[#This Row],[Tech Start Date]],12),IF(Main[[#This Row],[Class]]="A",WORKDAY(Main[[#This Row],[Tech Start Date]],4),""))))</f>
        <v/>
      </c>
      <c r="O975" s="114" t="str">
        <f>IF(Main[[#This Row],[Tech Start Date]]&lt;1/1/1990,"",IF(Main[[#This Row],[Class]]="C",WORKDAY(Main[[#This Row],[Tech Start Date]],23),IF(Main[[#This Row],[Class]]="B", WORKDAY(Main[[#This Row],[Tech Start Date]],15),IF(Main[[#This Row],[Class]]="A",WORKDAY(Main[[#This Row],[Tech Start Date]],5),""))))</f>
        <v/>
      </c>
      <c r="P975" s="114" t="str">
        <f>IF(Main[[#This Row],[Tech Start Date]]&lt;1/1/1990,"",IF(Main[[#This Row],[Class]]="C",WORKDAY(Main[[#This Row],[Tech Start Date]],28),IF(Main[[#This Row],[Class]]="B", WORKDAY(Main[[#This Row],[Tech Start Date]],19),IF(Main[[#This Row],[Class]]="A",WORKDAY(Main[[#This Row],[Tech Start Date]],9),""))))</f>
        <v/>
      </c>
      <c r="Q975" s="129"/>
      <c r="R975" s="129"/>
      <c r="S975" s="139" t="s">
        <v>11</v>
      </c>
      <c r="T975" s="115" t="s">
        <v>4</v>
      </c>
      <c r="U975" s="139" t="s">
        <v>12</v>
      </c>
      <c r="V975" s="139" t="s">
        <v>1924</v>
      </c>
      <c r="W975" s="139" t="s">
        <v>1920</v>
      </c>
      <c r="X975" s="139" t="s">
        <v>2872</v>
      </c>
      <c r="Y975" s="112" t="s">
        <v>2996</v>
      </c>
      <c r="Z975" s="112" t="s">
        <v>4</v>
      </c>
      <c r="AA975" s="139" t="s">
        <v>2872</v>
      </c>
    </row>
    <row r="976" spans="1:27" ht="17.25" customHeight="1">
      <c r="A976" s="69" t="str">
        <f>IF(priority(Main[[#This Row],[Comments]])&lt;&gt;0, priority(Main[[#This Row],[Comments]]),"")</f>
        <v/>
      </c>
      <c r="B976" s="63" t="s">
        <v>1775</v>
      </c>
      <c r="C976" s="148" t="s">
        <v>4</v>
      </c>
      <c r="D976" s="113" t="s">
        <v>820</v>
      </c>
      <c r="E976" s="129"/>
      <c r="F976" s="129"/>
      <c r="G976" s="69" t="str">
        <f>IF(stdProdLT(Main[[#This Row],[Comments]])=0.1,"N/A",IF(stdProdLT(Main[[#This Row],[Comments]])=0,"",stdProdLT(Main[[#This Row],[Comments]])))</f>
        <v/>
      </c>
      <c r="H976" s="138" t="str">
        <f>IF(Main[[#This Row],[In Stock Date]]="N/A", "N/A",IF(AND(Main[[#This Row],[In Stock Date]]&lt;&gt;"",Main[[#This Row],[Revised Due Date]]&lt;&gt;"",Main[[#This Row],[In Stock Date]]&lt;&gt;""),Main[[#This Row],[In Stock Date]]-Main[[#This Row],[Revised Due Date]],""))</f>
        <v/>
      </c>
      <c r="I976" s="139" t="s">
        <v>417</v>
      </c>
      <c r="J976" s="139" t="s">
        <v>75</v>
      </c>
      <c r="K976" s="139" t="s">
        <v>1921</v>
      </c>
      <c r="L976" s="129"/>
      <c r="M976" s="114" t="str">
        <f>IF(Main[[#This Row],[Tech Start Date]]&lt;1/1/1990,"",IF(Main[[#This Row],[Class]]="C",WORKDAY(Main[[#This Row],[Tech Start Date]],9),IF(Main[[#This Row],[Class]]="B", WORKDAY(Main[[#This Row],[Tech Start Date]],6),IF(Main[[#This Row],[Class]]="A",WORKDAY(Main[[#This Row],[Tech Start Date]],2),""))))</f>
        <v/>
      </c>
      <c r="N976" s="114" t="str">
        <f>IF(Main[[#This Row],[Tech Start Date]]&lt;1/1/1990,"",IF(Main[[#This Row],[Class]]="C",WORKDAY(Main[[#This Row],[Tech Start Date]],19),IF(Main[[#This Row],[Class]]="B", WORKDAY(Main[[#This Row],[Tech Start Date]],12),IF(Main[[#This Row],[Class]]="A",WORKDAY(Main[[#This Row],[Tech Start Date]],4),""))))</f>
        <v/>
      </c>
      <c r="O976" s="114" t="str">
        <f>IF(Main[[#This Row],[Tech Start Date]]&lt;1/1/1990,"",IF(Main[[#This Row],[Class]]="C",WORKDAY(Main[[#This Row],[Tech Start Date]],23),IF(Main[[#This Row],[Class]]="B", WORKDAY(Main[[#This Row],[Tech Start Date]],15),IF(Main[[#This Row],[Class]]="A",WORKDAY(Main[[#This Row],[Tech Start Date]],5),""))))</f>
        <v/>
      </c>
      <c r="P976" s="114" t="str">
        <f>IF(Main[[#This Row],[Tech Start Date]]&lt;1/1/1990,"",IF(Main[[#This Row],[Class]]="C",WORKDAY(Main[[#This Row],[Tech Start Date]],28),IF(Main[[#This Row],[Class]]="B", WORKDAY(Main[[#This Row],[Tech Start Date]],19),IF(Main[[#This Row],[Class]]="A",WORKDAY(Main[[#This Row],[Tech Start Date]],9),""))))</f>
        <v/>
      </c>
      <c r="Q976" s="129">
        <v>40529</v>
      </c>
      <c r="R976" s="129"/>
      <c r="S976" s="139" t="s">
        <v>6</v>
      </c>
      <c r="T976" s="115" t="s">
        <v>4</v>
      </c>
      <c r="U976" s="139" t="s">
        <v>14</v>
      </c>
      <c r="V976" s="139" t="s">
        <v>1917</v>
      </c>
      <c r="W976" s="139" t="s">
        <v>1925</v>
      </c>
      <c r="X976" s="139" t="s">
        <v>883</v>
      </c>
      <c r="Y976" s="112" t="s">
        <v>2963</v>
      </c>
      <c r="Z976" s="112" t="s">
        <v>306</v>
      </c>
      <c r="AA976" s="139" t="s">
        <v>883</v>
      </c>
    </row>
    <row r="977" spans="1:27" ht="17.25" customHeight="1">
      <c r="A977" s="69" t="str">
        <f>IF(priority(Main[[#This Row],[Comments]])&lt;&gt;0, priority(Main[[#This Row],[Comments]]),"")</f>
        <v/>
      </c>
      <c r="B977" s="63" t="s">
        <v>1776</v>
      </c>
      <c r="C977" s="148" t="s">
        <v>4</v>
      </c>
      <c r="D977" s="113" t="s">
        <v>821</v>
      </c>
      <c r="E977" s="129"/>
      <c r="F977" s="129">
        <v>40602</v>
      </c>
      <c r="G977" s="69" t="str">
        <f>IF(stdProdLT(Main[[#This Row],[Comments]])=0.1,"N/A",IF(stdProdLT(Main[[#This Row],[Comments]])=0,"",stdProdLT(Main[[#This Row],[Comments]])))</f>
        <v/>
      </c>
      <c r="H977" s="138" t="str">
        <f>IF(Main[[#This Row],[In Stock Date]]="N/A", "N/A",IF(AND(Main[[#This Row],[In Stock Date]]&lt;&gt;"",Main[[#This Row],[Revised Due Date]]&lt;&gt;"",Main[[#This Row],[In Stock Date]]&lt;&gt;""),Main[[#This Row],[In Stock Date]]-Main[[#This Row],[Revised Due Date]],""))</f>
        <v/>
      </c>
      <c r="I977" s="139" t="s">
        <v>4</v>
      </c>
      <c r="J977" s="139" t="s">
        <v>28</v>
      </c>
      <c r="K977" s="139" t="s">
        <v>4</v>
      </c>
      <c r="L977" s="129"/>
      <c r="M977" s="114" t="str">
        <f>IF(Main[[#This Row],[Tech Start Date]]&lt;1/1/1990,"",IF(Main[[#This Row],[Class]]="C",WORKDAY(Main[[#This Row],[Tech Start Date]],9),IF(Main[[#This Row],[Class]]="B", WORKDAY(Main[[#This Row],[Tech Start Date]],6),IF(Main[[#This Row],[Class]]="A",WORKDAY(Main[[#This Row],[Tech Start Date]],2),""))))</f>
        <v/>
      </c>
      <c r="N977" s="114" t="str">
        <f>IF(Main[[#This Row],[Tech Start Date]]&lt;1/1/1990,"",IF(Main[[#This Row],[Class]]="C",WORKDAY(Main[[#This Row],[Tech Start Date]],19),IF(Main[[#This Row],[Class]]="B", WORKDAY(Main[[#This Row],[Tech Start Date]],12),IF(Main[[#This Row],[Class]]="A",WORKDAY(Main[[#This Row],[Tech Start Date]],4),""))))</f>
        <v/>
      </c>
      <c r="O977" s="114" t="str">
        <f>IF(Main[[#This Row],[Tech Start Date]]&lt;1/1/1990,"",IF(Main[[#This Row],[Class]]="C",WORKDAY(Main[[#This Row],[Tech Start Date]],23),IF(Main[[#This Row],[Class]]="B", WORKDAY(Main[[#This Row],[Tech Start Date]],15),IF(Main[[#This Row],[Class]]="A",WORKDAY(Main[[#This Row],[Tech Start Date]],5),""))))</f>
        <v/>
      </c>
      <c r="P977" s="114" t="str">
        <f>IF(Main[[#This Row],[Tech Start Date]]&lt;1/1/1990,"",IF(Main[[#This Row],[Class]]="C",WORKDAY(Main[[#This Row],[Tech Start Date]],28),IF(Main[[#This Row],[Class]]="B", WORKDAY(Main[[#This Row],[Tech Start Date]],19),IF(Main[[#This Row],[Class]]="A",WORKDAY(Main[[#This Row],[Tech Start Date]],9),""))))</f>
        <v/>
      </c>
      <c r="Q977" s="129">
        <v>40612</v>
      </c>
      <c r="R977" s="129"/>
      <c r="S977" s="139" t="s">
        <v>6</v>
      </c>
      <c r="T977" s="115" t="s">
        <v>4</v>
      </c>
      <c r="U977" s="139" t="s">
        <v>14</v>
      </c>
      <c r="V977" s="139" t="s">
        <v>1924</v>
      </c>
      <c r="W977" s="139" t="s">
        <v>1918</v>
      </c>
      <c r="X977" s="139" t="s">
        <v>50</v>
      </c>
      <c r="Y977" s="112" t="s">
        <v>3108</v>
      </c>
      <c r="Z977" s="112" t="s">
        <v>30</v>
      </c>
      <c r="AA977" s="139" t="s">
        <v>3374</v>
      </c>
    </row>
    <row r="978" spans="1:27" ht="17.25" customHeight="1">
      <c r="A978" s="69" t="str">
        <f>IF(priority(Main[[#This Row],[Comments]])&lt;&gt;0, priority(Main[[#This Row],[Comments]]),"")</f>
        <v/>
      </c>
      <c r="B978" s="63" t="s">
        <v>2442</v>
      </c>
      <c r="C978" s="148" t="s">
        <v>4</v>
      </c>
      <c r="D978" s="113" t="s">
        <v>3217</v>
      </c>
      <c r="E978" s="129">
        <v>40820.793587962966</v>
      </c>
      <c r="F978" s="129"/>
      <c r="G978" s="69" t="str">
        <f>IF(stdProdLT(Main[[#This Row],[Comments]])=0.1,"N/A",IF(stdProdLT(Main[[#This Row],[Comments]])=0,"",stdProdLT(Main[[#This Row],[Comments]])))</f>
        <v/>
      </c>
      <c r="H978" s="138" t="str">
        <f>IF(Main[[#This Row],[In Stock Date]]="N/A", "N/A",IF(AND(Main[[#This Row],[In Stock Date]]&lt;&gt;"",Main[[#This Row],[Revised Due Date]]&lt;&gt;"",Main[[#This Row],[In Stock Date]]&lt;&gt;""),Main[[#This Row],[In Stock Date]]-Main[[#This Row],[Revised Due Date]],""))</f>
        <v/>
      </c>
      <c r="I978" s="139" t="s">
        <v>2051</v>
      </c>
      <c r="J978" s="139" t="s">
        <v>28</v>
      </c>
      <c r="K978" s="139" t="s">
        <v>1923</v>
      </c>
      <c r="L978" s="129"/>
      <c r="M978" s="114" t="str">
        <f>IF(Main[[#This Row],[Tech Start Date]]&lt;1/1/1990,"",IF(Main[[#This Row],[Class]]="C",WORKDAY(Main[[#This Row],[Tech Start Date]],9),IF(Main[[#This Row],[Class]]="B", WORKDAY(Main[[#This Row],[Tech Start Date]],6),IF(Main[[#This Row],[Class]]="A",WORKDAY(Main[[#This Row],[Tech Start Date]],2),""))))</f>
        <v/>
      </c>
      <c r="N978" s="114" t="str">
        <f>IF(Main[[#This Row],[Tech Start Date]]&lt;1/1/1990,"",IF(Main[[#This Row],[Class]]="C",WORKDAY(Main[[#This Row],[Tech Start Date]],19),IF(Main[[#This Row],[Class]]="B", WORKDAY(Main[[#This Row],[Tech Start Date]],12),IF(Main[[#This Row],[Class]]="A",WORKDAY(Main[[#This Row],[Tech Start Date]],4),""))))</f>
        <v/>
      </c>
      <c r="O978" s="114" t="str">
        <f>IF(Main[[#This Row],[Tech Start Date]]&lt;1/1/1990,"",IF(Main[[#This Row],[Class]]="C",WORKDAY(Main[[#This Row],[Tech Start Date]],23),IF(Main[[#This Row],[Class]]="B", WORKDAY(Main[[#This Row],[Tech Start Date]],15),IF(Main[[#This Row],[Class]]="A",WORKDAY(Main[[#This Row],[Tech Start Date]],5),""))))</f>
        <v/>
      </c>
      <c r="P978" s="114" t="str">
        <f>IF(Main[[#This Row],[Tech Start Date]]&lt;1/1/1990,"",IF(Main[[#This Row],[Class]]="C",WORKDAY(Main[[#This Row],[Tech Start Date]],28),IF(Main[[#This Row],[Class]]="B", WORKDAY(Main[[#This Row],[Tech Start Date]],19),IF(Main[[#This Row],[Class]]="A",WORKDAY(Main[[#This Row],[Tech Start Date]],9),""))))</f>
        <v/>
      </c>
      <c r="Q978" s="129">
        <v>40847</v>
      </c>
      <c r="R978" s="129"/>
      <c r="S978" s="139" t="s">
        <v>6</v>
      </c>
      <c r="T978" s="115" t="s">
        <v>4</v>
      </c>
      <c r="U978" s="139" t="s">
        <v>29</v>
      </c>
      <c r="V978" s="139" t="s">
        <v>1917</v>
      </c>
      <c r="W978" s="139" t="s">
        <v>1918</v>
      </c>
      <c r="X978" s="139" t="s">
        <v>30</v>
      </c>
      <c r="Y978" s="112" t="s">
        <v>3132</v>
      </c>
      <c r="Z978" s="112" t="s">
        <v>30</v>
      </c>
      <c r="AA978" s="139" t="s">
        <v>3440</v>
      </c>
    </row>
    <row r="979" spans="1:27" ht="17.25" customHeight="1">
      <c r="A979" s="69" t="str">
        <f>IF(priority(Main[[#This Row],[Comments]])&lt;&gt;0, priority(Main[[#This Row],[Comments]]),"")</f>
        <v/>
      </c>
      <c r="B979" s="63" t="s">
        <v>1801</v>
      </c>
      <c r="C979" s="148" t="s">
        <v>351</v>
      </c>
      <c r="D979" s="113" t="s">
        <v>822</v>
      </c>
      <c r="E979" s="129"/>
      <c r="F979" s="129">
        <v>40360</v>
      </c>
      <c r="G979" s="69" t="str">
        <f>IF(stdProdLT(Main[[#This Row],[Comments]])=0.1,"N/A",IF(stdProdLT(Main[[#This Row],[Comments]])=0,"",stdProdLT(Main[[#This Row],[Comments]])))</f>
        <v/>
      </c>
      <c r="H979" s="138" t="str">
        <f>IF(Main[[#This Row],[In Stock Date]]="N/A", "N/A",IF(AND(Main[[#This Row],[In Stock Date]]&lt;&gt;"",Main[[#This Row],[Revised Due Date]]&lt;&gt;"",Main[[#This Row],[In Stock Date]]&lt;&gt;""),Main[[#This Row],[In Stock Date]]-Main[[#This Row],[Revised Due Date]],""))</f>
        <v/>
      </c>
      <c r="I979" s="139" t="s">
        <v>4</v>
      </c>
      <c r="J979" s="139" t="s">
        <v>4</v>
      </c>
      <c r="K979" s="139" t="s">
        <v>4</v>
      </c>
      <c r="L979" s="129"/>
      <c r="M979" s="114" t="str">
        <f>IF(Main[[#This Row],[Tech Start Date]]&lt;1/1/1990,"",IF(Main[[#This Row],[Class]]="C",WORKDAY(Main[[#This Row],[Tech Start Date]],9),IF(Main[[#This Row],[Class]]="B", WORKDAY(Main[[#This Row],[Tech Start Date]],6),IF(Main[[#This Row],[Class]]="A",WORKDAY(Main[[#This Row],[Tech Start Date]],2),""))))</f>
        <v/>
      </c>
      <c r="N979" s="114" t="str">
        <f>IF(Main[[#This Row],[Tech Start Date]]&lt;1/1/1990,"",IF(Main[[#This Row],[Class]]="C",WORKDAY(Main[[#This Row],[Tech Start Date]],19),IF(Main[[#This Row],[Class]]="B", WORKDAY(Main[[#This Row],[Tech Start Date]],12),IF(Main[[#This Row],[Class]]="A",WORKDAY(Main[[#This Row],[Tech Start Date]],4),""))))</f>
        <v/>
      </c>
      <c r="O979" s="114" t="str">
        <f>IF(Main[[#This Row],[Tech Start Date]]&lt;1/1/1990,"",IF(Main[[#This Row],[Class]]="C",WORKDAY(Main[[#This Row],[Tech Start Date]],23),IF(Main[[#This Row],[Class]]="B", WORKDAY(Main[[#This Row],[Tech Start Date]],15),IF(Main[[#This Row],[Class]]="A",WORKDAY(Main[[#This Row],[Tech Start Date]],5),""))))</f>
        <v/>
      </c>
      <c r="P979" s="114" t="str">
        <f>IF(Main[[#This Row],[Tech Start Date]]&lt;1/1/1990,"",IF(Main[[#This Row],[Class]]="C",WORKDAY(Main[[#This Row],[Tech Start Date]],28),IF(Main[[#This Row],[Class]]="B", WORKDAY(Main[[#This Row],[Tech Start Date]],19),IF(Main[[#This Row],[Class]]="A",WORKDAY(Main[[#This Row],[Tech Start Date]],9),""))))</f>
        <v/>
      </c>
      <c r="Q979" s="129">
        <v>40329</v>
      </c>
      <c r="R979" s="129"/>
      <c r="S979" s="139" t="s">
        <v>11</v>
      </c>
      <c r="T979" s="115" t="s">
        <v>4</v>
      </c>
      <c r="U979" s="139" t="s">
        <v>12</v>
      </c>
      <c r="V979" s="139" t="s">
        <v>1924</v>
      </c>
      <c r="W979" s="139" t="s">
        <v>1920</v>
      </c>
      <c r="X979" s="139" t="s">
        <v>2872</v>
      </c>
      <c r="Y979" s="112" t="s">
        <v>2996</v>
      </c>
      <c r="Z979" s="112" t="s">
        <v>4</v>
      </c>
      <c r="AA979" s="139" t="s">
        <v>2872</v>
      </c>
    </row>
    <row r="980" spans="1:27" ht="17.25" customHeight="1">
      <c r="A980" s="69" t="str">
        <f>IF(priority(Main[[#This Row],[Comments]])&lt;&gt;0, priority(Main[[#This Row],[Comments]]),"")</f>
        <v/>
      </c>
      <c r="B980" s="63" t="s">
        <v>1778</v>
      </c>
      <c r="C980" s="148" t="s">
        <v>4</v>
      </c>
      <c r="D980" s="113" t="s">
        <v>846</v>
      </c>
      <c r="E980" s="129"/>
      <c r="F980" s="129"/>
      <c r="G980" s="69" t="str">
        <f>IF(stdProdLT(Main[[#This Row],[Comments]])=0.1,"N/A",IF(stdProdLT(Main[[#This Row],[Comments]])=0,"",stdProdLT(Main[[#This Row],[Comments]])))</f>
        <v/>
      </c>
      <c r="H980" s="138" t="str">
        <f>IF(Main[[#This Row],[In Stock Date]]="N/A", "N/A",IF(AND(Main[[#This Row],[In Stock Date]]&lt;&gt;"",Main[[#This Row],[Revised Due Date]]&lt;&gt;"",Main[[#This Row],[In Stock Date]]&lt;&gt;""),Main[[#This Row],[In Stock Date]]-Main[[#This Row],[Revised Due Date]],""))</f>
        <v/>
      </c>
      <c r="I980" s="139" t="s">
        <v>4</v>
      </c>
      <c r="J980" s="139" t="s">
        <v>4</v>
      </c>
      <c r="K980" s="139" t="s">
        <v>4</v>
      </c>
      <c r="L980" s="129"/>
      <c r="M980" s="114" t="str">
        <f>IF(Main[[#This Row],[Tech Start Date]]&lt;1/1/1990,"",IF(Main[[#This Row],[Class]]="C",WORKDAY(Main[[#This Row],[Tech Start Date]],9),IF(Main[[#This Row],[Class]]="B", WORKDAY(Main[[#This Row],[Tech Start Date]],6),IF(Main[[#This Row],[Class]]="A",WORKDAY(Main[[#This Row],[Tech Start Date]],2),""))))</f>
        <v/>
      </c>
      <c r="N980" s="114" t="str">
        <f>IF(Main[[#This Row],[Tech Start Date]]&lt;1/1/1990,"",IF(Main[[#This Row],[Class]]="C",WORKDAY(Main[[#This Row],[Tech Start Date]],19),IF(Main[[#This Row],[Class]]="B", WORKDAY(Main[[#This Row],[Tech Start Date]],12),IF(Main[[#This Row],[Class]]="A",WORKDAY(Main[[#This Row],[Tech Start Date]],4),""))))</f>
        <v/>
      </c>
      <c r="O980" s="114" t="str">
        <f>IF(Main[[#This Row],[Tech Start Date]]&lt;1/1/1990,"",IF(Main[[#This Row],[Class]]="C",WORKDAY(Main[[#This Row],[Tech Start Date]],23),IF(Main[[#This Row],[Class]]="B", WORKDAY(Main[[#This Row],[Tech Start Date]],15),IF(Main[[#This Row],[Class]]="A",WORKDAY(Main[[#This Row],[Tech Start Date]],5),""))))</f>
        <v/>
      </c>
      <c r="P980" s="114" t="str">
        <f>IF(Main[[#This Row],[Tech Start Date]]&lt;1/1/1990,"",IF(Main[[#This Row],[Class]]="C",WORKDAY(Main[[#This Row],[Tech Start Date]],28),IF(Main[[#This Row],[Class]]="B", WORKDAY(Main[[#This Row],[Tech Start Date]],19),IF(Main[[#This Row],[Class]]="A",WORKDAY(Main[[#This Row],[Tech Start Date]],9),""))))</f>
        <v/>
      </c>
      <c r="Q980" s="129"/>
      <c r="R980" s="129"/>
      <c r="S980" s="139" t="s">
        <v>49</v>
      </c>
      <c r="T980" s="115" t="s">
        <v>4</v>
      </c>
      <c r="U980" s="139" t="s">
        <v>14</v>
      </c>
      <c r="V980" s="139" t="s">
        <v>1917</v>
      </c>
      <c r="W980" s="139" t="s">
        <v>1918</v>
      </c>
      <c r="X980" s="139" t="s">
        <v>306</v>
      </c>
      <c r="Y980" s="112" t="s">
        <v>4</v>
      </c>
      <c r="Z980" s="112" t="s">
        <v>4</v>
      </c>
      <c r="AA980" s="139" t="s">
        <v>4</v>
      </c>
    </row>
    <row r="981" spans="1:27" ht="17.25" customHeight="1">
      <c r="A981" s="69" t="str">
        <f>IF(priority(Main[[#This Row],[Comments]])&lt;&gt;0, priority(Main[[#This Row],[Comments]]),"")</f>
        <v/>
      </c>
      <c r="B981" s="63" t="s">
        <v>1779</v>
      </c>
      <c r="C981" s="148" t="s">
        <v>4</v>
      </c>
      <c r="D981" s="113" t="s">
        <v>847</v>
      </c>
      <c r="E981" s="129"/>
      <c r="F981" s="129"/>
      <c r="G981" s="69" t="str">
        <f>IF(stdProdLT(Main[[#This Row],[Comments]])=0.1,"N/A",IF(stdProdLT(Main[[#This Row],[Comments]])=0,"",stdProdLT(Main[[#This Row],[Comments]])))</f>
        <v/>
      </c>
      <c r="H981" s="138" t="str">
        <f>IF(Main[[#This Row],[In Stock Date]]="N/A", "N/A",IF(AND(Main[[#This Row],[In Stock Date]]&lt;&gt;"",Main[[#This Row],[Revised Due Date]]&lt;&gt;"",Main[[#This Row],[In Stock Date]]&lt;&gt;""),Main[[#This Row],[In Stock Date]]-Main[[#This Row],[Revised Due Date]],""))</f>
        <v/>
      </c>
      <c r="I981" s="139" t="s">
        <v>4</v>
      </c>
      <c r="J981" s="139" t="s">
        <v>4</v>
      </c>
      <c r="K981" s="139" t="s">
        <v>4</v>
      </c>
      <c r="L981" s="129"/>
      <c r="M981" s="114" t="str">
        <f>IF(Main[[#This Row],[Tech Start Date]]&lt;1/1/1990,"",IF(Main[[#This Row],[Class]]="C",WORKDAY(Main[[#This Row],[Tech Start Date]],9),IF(Main[[#This Row],[Class]]="B", WORKDAY(Main[[#This Row],[Tech Start Date]],6),IF(Main[[#This Row],[Class]]="A",WORKDAY(Main[[#This Row],[Tech Start Date]],2),""))))</f>
        <v/>
      </c>
      <c r="N981" s="114" t="str">
        <f>IF(Main[[#This Row],[Tech Start Date]]&lt;1/1/1990,"",IF(Main[[#This Row],[Class]]="C",WORKDAY(Main[[#This Row],[Tech Start Date]],19),IF(Main[[#This Row],[Class]]="B", WORKDAY(Main[[#This Row],[Tech Start Date]],12),IF(Main[[#This Row],[Class]]="A",WORKDAY(Main[[#This Row],[Tech Start Date]],4),""))))</f>
        <v/>
      </c>
      <c r="O981" s="114" t="str">
        <f>IF(Main[[#This Row],[Tech Start Date]]&lt;1/1/1990,"",IF(Main[[#This Row],[Class]]="C",WORKDAY(Main[[#This Row],[Tech Start Date]],23),IF(Main[[#This Row],[Class]]="B", WORKDAY(Main[[#This Row],[Tech Start Date]],15),IF(Main[[#This Row],[Class]]="A",WORKDAY(Main[[#This Row],[Tech Start Date]],5),""))))</f>
        <v/>
      </c>
      <c r="P981" s="114" t="str">
        <f>IF(Main[[#This Row],[Tech Start Date]]&lt;1/1/1990,"",IF(Main[[#This Row],[Class]]="C",WORKDAY(Main[[#This Row],[Tech Start Date]],28),IF(Main[[#This Row],[Class]]="B", WORKDAY(Main[[#This Row],[Tech Start Date]],19),IF(Main[[#This Row],[Class]]="A",WORKDAY(Main[[#This Row],[Tech Start Date]],9),""))))</f>
        <v/>
      </c>
      <c r="Q981" s="129"/>
      <c r="R981" s="129"/>
      <c r="S981" s="139" t="s">
        <v>23</v>
      </c>
      <c r="T981" s="115" t="s">
        <v>4</v>
      </c>
      <c r="U981" s="139" t="s">
        <v>14</v>
      </c>
      <c r="V981" s="139" t="s">
        <v>1917</v>
      </c>
      <c r="W981" s="139" t="s">
        <v>1918</v>
      </c>
      <c r="X981" s="139" t="s">
        <v>399</v>
      </c>
      <c r="Y981" s="112" t="s">
        <v>4</v>
      </c>
      <c r="Z981" s="112" t="s">
        <v>765</v>
      </c>
      <c r="AA981" s="139" t="s">
        <v>3390</v>
      </c>
    </row>
    <row r="982" spans="1:27" ht="17.25" customHeight="1">
      <c r="A982" s="69" t="str">
        <f>IF(priority(Main[[#This Row],[Comments]])&lt;&gt;0, priority(Main[[#This Row],[Comments]]),"")</f>
        <v/>
      </c>
      <c r="B982" s="63" t="s">
        <v>1786</v>
      </c>
      <c r="C982" s="148" t="s">
        <v>830</v>
      </c>
      <c r="D982" s="113" t="s">
        <v>831</v>
      </c>
      <c r="E982" s="129"/>
      <c r="F982" s="129"/>
      <c r="G982" s="69" t="str">
        <f>IF(stdProdLT(Main[[#This Row],[Comments]])=0.1,"N/A",IF(stdProdLT(Main[[#This Row],[Comments]])=0,"",stdProdLT(Main[[#This Row],[Comments]])))</f>
        <v/>
      </c>
      <c r="H982" s="138" t="str">
        <f>IF(Main[[#This Row],[In Stock Date]]="N/A", "N/A",IF(AND(Main[[#This Row],[In Stock Date]]&lt;&gt;"",Main[[#This Row],[Revised Due Date]]&lt;&gt;"",Main[[#This Row],[In Stock Date]]&lt;&gt;""),Main[[#This Row],[In Stock Date]]-Main[[#This Row],[Revised Due Date]],""))</f>
        <v/>
      </c>
      <c r="I982" s="139" t="s">
        <v>4</v>
      </c>
      <c r="J982" s="139" t="s">
        <v>4</v>
      </c>
      <c r="K982" s="139" t="s">
        <v>4</v>
      </c>
      <c r="L982" s="129"/>
      <c r="M982" s="114" t="str">
        <f>IF(Main[[#This Row],[Tech Start Date]]&lt;1/1/1990,"",IF(Main[[#This Row],[Class]]="C",WORKDAY(Main[[#This Row],[Tech Start Date]],9),IF(Main[[#This Row],[Class]]="B", WORKDAY(Main[[#This Row],[Tech Start Date]],6),IF(Main[[#This Row],[Class]]="A",WORKDAY(Main[[#This Row],[Tech Start Date]],2),""))))</f>
        <v/>
      </c>
      <c r="N982" s="114" t="str">
        <f>IF(Main[[#This Row],[Tech Start Date]]&lt;1/1/1990,"",IF(Main[[#This Row],[Class]]="C",WORKDAY(Main[[#This Row],[Tech Start Date]],19),IF(Main[[#This Row],[Class]]="B", WORKDAY(Main[[#This Row],[Tech Start Date]],12),IF(Main[[#This Row],[Class]]="A",WORKDAY(Main[[#This Row],[Tech Start Date]],4),""))))</f>
        <v/>
      </c>
      <c r="O982" s="114" t="str">
        <f>IF(Main[[#This Row],[Tech Start Date]]&lt;1/1/1990,"",IF(Main[[#This Row],[Class]]="C",WORKDAY(Main[[#This Row],[Tech Start Date]],23),IF(Main[[#This Row],[Class]]="B", WORKDAY(Main[[#This Row],[Tech Start Date]],15),IF(Main[[#This Row],[Class]]="A",WORKDAY(Main[[#This Row],[Tech Start Date]],5),""))))</f>
        <v/>
      </c>
      <c r="P982" s="114" t="str">
        <f>IF(Main[[#This Row],[Tech Start Date]]&lt;1/1/1990,"",IF(Main[[#This Row],[Class]]="C",WORKDAY(Main[[#This Row],[Tech Start Date]],28),IF(Main[[#This Row],[Class]]="B", WORKDAY(Main[[#This Row],[Tech Start Date]],19),IF(Main[[#This Row],[Class]]="A",WORKDAY(Main[[#This Row],[Tech Start Date]],9),""))))</f>
        <v/>
      </c>
      <c r="Q982" s="129"/>
      <c r="R982" s="129"/>
      <c r="S982" s="139" t="s">
        <v>11</v>
      </c>
      <c r="T982" s="115" t="s">
        <v>4</v>
      </c>
      <c r="U982" s="139" t="s">
        <v>14</v>
      </c>
      <c r="V982" s="139" t="s">
        <v>1915</v>
      </c>
      <c r="W982" s="139" t="s">
        <v>1922</v>
      </c>
      <c r="X982" s="139" t="s">
        <v>2847</v>
      </c>
      <c r="Y982" s="112" t="s">
        <v>2978</v>
      </c>
      <c r="Z982" s="112" t="s">
        <v>4</v>
      </c>
      <c r="AA982" s="139" t="s">
        <v>2847</v>
      </c>
    </row>
    <row r="983" spans="1:27" ht="17.25" customHeight="1">
      <c r="A983" s="69" t="str">
        <f>IF(priority(Main[[#This Row],[Comments]])&lt;&gt;0, priority(Main[[#This Row],[Comments]]),"")</f>
        <v/>
      </c>
      <c r="B983" s="63" t="s">
        <v>1787</v>
      </c>
      <c r="C983" s="148" t="s">
        <v>93</v>
      </c>
      <c r="D983" s="113" t="s">
        <v>832</v>
      </c>
      <c r="E983" s="129"/>
      <c r="F983" s="129">
        <v>40299</v>
      </c>
      <c r="G983" s="69" t="str">
        <f>IF(stdProdLT(Main[[#This Row],[Comments]])=0.1,"N/A",IF(stdProdLT(Main[[#This Row],[Comments]])=0,"",stdProdLT(Main[[#This Row],[Comments]])))</f>
        <v/>
      </c>
      <c r="H983" s="138" t="str">
        <f>IF(Main[[#This Row],[In Stock Date]]="N/A", "N/A",IF(AND(Main[[#This Row],[In Stock Date]]&lt;&gt;"",Main[[#This Row],[Revised Due Date]]&lt;&gt;"",Main[[#This Row],[In Stock Date]]&lt;&gt;""),Main[[#This Row],[In Stock Date]]-Main[[#This Row],[Revised Due Date]],""))</f>
        <v/>
      </c>
      <c r="I983" s="139" t="s">
        <v>4</v>
      </c>
      <c r="J983" s="139" t="s">
        <v>4</v>
      </c>
      <c r="K983" s="139" t="s">
        <v>4</v>
      </c>
      <c r="L983" s="129"/>
      <c r="M983" s="114" t="str">
        <f>IF(Main[[#This Row],[Tech Start Date]]&lt;1/1/1990,"",IF(Main[[#This Row],[Class]]="C",WORKDAY(Main[[#This Row],[Tech Start Date]],9),IF(Main[[#This Row],[Class]]="B", WORKDAY(Main[[#This Row],[Tech Start Date]],6),IF(Main[[#This Row],[Class]]="A",WORKDAY(Main[[#This Row],[Tech Start Date]],2),""))))</f>
        <v/>
      </c>
      <c r="N983" s="114" t="str">
        <f>IF(Main[[#This Row],[Tech Start Date]]&lt;1/1/1990,"",IF(Main[[#This Row],[Class]]="C",WORKDAY(Main[[#This Row],[Tech Start Date]],19),IF(Main[[#This Row],[Class]]="B", WORKDAY(Main[[#This Row],[Tech Start Date]],12),IF(Main[[#This Row],[Class]]="A",WORKDAY(Main[[#This Row],[Tech Start Date]],4),""))))</f>
        <v/>
      </c>
      <c r="O983" s="114" t="str">
        <f>IF(Main[[#This Row],[Tech Start Date]]&lt;1/1/1990,"",IF(Main[[#This Row],[Class]]="C",WORKDAY(Main[[#This Row],[Tech Start Date]],23),IF(Main[[#This Row],[Class]]="B", WORKDAY(Main[[#This Row],[Tech Start Date]],15),IF(Main[[#This Row],[Class]]="A",WORKDAY(Main[[#This Row],[Tech Start Date]],5),""))))</f>
        <v/>
      </c>
      <c r="P983" s="114" t="str">
        <f>IF(Main[[#This Row],[Tech Start Date]]&lt;1/1/1990,"",IF(Main[[#This Row],[Class]]="C",WORKDAY(Main[[#This Row],[Tech Start Date]],28),IF(Main[[#This Row],[Class]]="B", WORKDAY(Main[[#This Row],[Tech Start Date]],19),IF(Main[[#This Row],[Class]]="A",WORKDAY(Main[[#This Row],[Tech Start Date]],9),""))))</f>
        <v/>
      </c>
      <c r="Q983" s="129">
        <v>40171</v>
      </c>
      <c r="R983" s="129"/>
      <c r="S983" s="139" t="s">
        <v>11</v>
      </c>
      <c r="T983" s="115" t="s">
        <v>4</v>
      </c>
      <c r="U983" s="139" t="s">
        <v>14</v>
      </c>
      <c r="V983" s="139" t="s">
        <v>1917</v>
      </c>
      <c r="W983" s="139" t="s">
        <v>1920</v>
      </c>
      <c r="X983" s="139" t="s">
        <v>530</v>
      </c>
      <c r="Y983" s="112" t="s">
        <v>3053</v>
      </c>
      <c r="Z983" s="112" t="s">
        <v>4</v>
      </c>
      <c r="AA983" s="139" t="s">
        <v>3416</v>
      </c>
    </row>
    <row r="984" spans="1:27" ht="17.25" customHeight="1">
      <c r="A984" s="69" t="str">
        <f>IF(priority(Main[[#This Row],[Comments]])&lt;&gt;0, priority(Main[[#This Row],[Comments]]),"")</f>
        <v/>
      </c>
      <c r="B984" s="63" t="s">
        <v>1788</v>
      </c>
      <c r="C984" s="148" t="s">
        <v>4</v>
      </c>
      <c r="D984" s="113" t="s">
        <v>833</v>
      </c>
      <c r="E984" s="129">
        <v>40682.311319444445</v>
      </c>
      <c r="F984" s="129"/>
      <c r="G984" s="69" t="str">
        <f>IF(stdProdLT(Main[[#This Row],[Comments]])=0.1,"N/A",IF(stdProdLT(Main[[#This Row],[Comments]])=0,"",stdProdLT(Main[[#This Row],[Comments]])))</f>
        <v/>
      </c>
      <c r="H984" s="138" t="str">
        <f>IF(Main[[#This Row],[In Stock Date]]="N/A", "N/A",IF(AND(Main[[#This Row],[In Stock Date]]&lt;&gt;"",Main[[#This Row],[Revised Due Date]]&lt;&gt;"",Main[[#This Row],[In Stock Date]]&lt;&gt;""),Main[[#This Row],[In Stock Date]]-Main[[#This Row],[Revised Due Date]],""))</f>
        <v/>
      </c>
      <c r="I984" s="139" t="s">
        <v>4</v>
      </c>
      <c r="J984" s="139" t="s">
        <v>4</v>
      </c>
      <c r="K984" s="139" t="s">
        <v>4</v>
      </c>
      <c r="L984" s="129"/>
      <c r="M984" s="114" t="str">
        <f>IF(Main[[#This Row],[Tech Start Date]]&lt;1/1/1990,"",IF(Main[[#This Row],[Class]]="C",WORKDAY(Main[[#This Row],[Tech Start Date]],9),IF(Main[[#This Row],[Class]]="B", WORKDAY(Main[[#This Row],[Tech Start Date]],6),IF(Main[[#This Row],[Class]]="A",WORKDAY(Main[[#This Row],[Tech Start Date]],2),""))))</f>
        <v/>
      </c>
      <c r="N984" s="114" t="str">
        <f>IF(Main[[#This Row],[Tech Start Date]]&lt;1/1/1990,"",IF(Main[[#This Row],[Class]]="C",WORKDAY(Main[[#This Row],[Tech Start Date]],19),IF(Main[[#This Row],[Class]]="B", WORKDAY(Main[[#This Row],[Tech Start Date]],12),IF(Main[[#This Row],[Class]]="A",WORKDAY(Main[[#This Row],[Tech Start Date]],4),""))))</f>
        <v/>
      </c>
      <c r="O984" s="114" t="str">
        <f>IF(Main[[#This Row],[Tech Start Date]]&lt;1/1/1990,"",IF(Main[[#This Row],[Class]]="C",WORKDAY(Main[[#This Row],[Tech Start Date]],23),IF(Main[[#This Row],[Class]]="B", WORKDAY(Main[[#This Row],[Tech Start Date]],15),IF(Main[[#This Row],[Class]]="A",WORKDAY(Main[[#This Row],[Tech Start Date]],5),""))))</f>
        <v/>
      </c>
      <c r="P984" s="114" t="str">
        <f>IF(Main[[#This Row],[Tech Start Date]]&lt;1/1/1990,"",IF(Main[[#This Row],[Class]]="C",WORKDAY(Main[[#This Row],[Tech Start Date]],28),IF(Main[[#This Row],[Class]]="B", WORKDAY(Main[[#This Row],[Tech Start Date]],19),IF(Main[[#This Row],[Class]]="A",WORKDAY(Main[[#This Row],[Tech Start Date]],9),""))))</f>
        <v/>
      </c>
      <c r="Q984" s="129">
        <v>40724</v>
      </c>
      <c r="R984" s="129"/>
      <c r="S984" s="139" t="s">
        <v>6</v>
      </c>
      <c r="T984" s="115" t="s">
        <v>4</v>
      </c>
      <c r="U984" s="139" t="s">
        <v>7</v>
      </c>
      <c r="V984" s="139" t="s">
        <v>1914</v>
      </c>
      <c r="W984" s="139" t="s">
        <v>4</v>
      </c>
      <c r="X984" s="139" t="s">
        <v>2822</v>
      </c>
      <c r="Y984" s="112" t="s">
        <v>2938</v>
      </c>
      <c r="Z984" s="112" t="s">
        <v>4</v>
      </c>
      <c r="AA984" s="139" t="s">
        <v>2822</v>
      </c>
    </row>
    <row r="985" spans="1:27" ht="17.25" customHeight="1">
      <c r="A985" s="69" t="str">
        <f>IF(priority(Main[[#This Row],[Comments]])&lt;&gt;0, priority(Main[[#This Row],[Comments]]),"")</f>
        <v/>
      </c>
      <c r="B985" s="63" t="s">
        <v>1789</v>
      </c>
      <c r="C985" s="148" t="s">
        <v>4</v>
      </c>
      <c r="D985" s="113" t="s">
        <v>834</v>
      </c>
      <c r="E985" s="129"/>
      <c r="F985" s="129"/>
      <c r="G985" s="69" t="str">
        <f>IF(stdProdLT(Main[[#This Row],[Comments]])=0.1,"N/A",IF(stdProdLT(Main[[#This Row],[Comments]])=0,"",stdProdLT(Main[[#This Row],[Comments]])))</f>
        <v/>
      </c>
      <c r="H985" s="138" t="str">
        <f>IF(Main[[#This Row],[In Stock Date]]="N/A", "N/A",IF(AND(Main[[#This Row],[In Stock Date]]&lt;&gt;"",Main[[#This Row],[Revised Due Date]]&lt;&gt;"",Main[[#This Row],[In Stock Date]]&lt;&gt;""),Main[[#This Row],[In Stock Date]]-Main[[#This Row],[Revised Due Date]],""))</f>
        <v/>
      </c>
      <c r="I985" s="139" t="s">
        <v>4</v>
      </c>
      <c r="J985" s="139" t="s">
        <v>4</v>
      </c>
      <c r="K985" s="139" t="s">
        <v>4</v>
      </c>
      <c r="L985" s="129"/>
      <c r="M985" s="114" t="str">
        <f>IF(Main[[#This Row],[Tech Start Date]]&lt;1/1/1990,"",IF(Main[[#This Row],[Class]]="C",WORKDAY(Main[[#This Row],[Tech Start Date]],9),IF(Main[[#This Row],[Class]]="B", WORKDAY(Main[[#This Row],[Tech Start Date]],6),IF(Main[[#This Row],[Class]]="A",WORKDAY(Main[[#This Row],[Tech Start Date]],2),""))))</f>
        <v/>
      </c>
      <c r="N985" s="114" t="str">
        <f>IF(Main[[#This Row],[Tech Start Date]]&lt;1/1/1990,"",IF(Main[[#This Row],[Class]]="C",WORKDAY(Main[[#This Row],[Tech Start Date]],19),IF(Main[[#This Row],[Class]]="B", WORKDAY(Main[[#This Row],[Tech Start Date]],12),IF(Main[[#This Row],[Class]]="A",WORKDAY(Main[[#This Row],[Tech Start Date]],4),""))))</f>
        <v/>
      </c>
      <c r="O985" s="114" t="str">
        <f>IF(Main[[#This Row],[Tech Start Date]]&lt;1/1/1990,"",IF(Main[[#This Row],[Class]]="C",WORKDAY(Main[[#This Row],[Tech Start Date]],23),IF(Main[[#This Row],[Class]]="B", WORKDAY(Main[[#This Row],[Tech Start Date]],15),IF(Main[[#This Row],[Class]]="A",WORKDAY(Main[[#This Row],[Tech Start Date]],5),""))))</f>
        <v/>
      </c>
      <c r="P985" s="114" t="str">
        <f>IF(Main[[#This Row],[Tech Start Date]]&lt;1/1/1990,"",IF(Main[[#This Row],[Class]]="C",WORKDAY(Main[[#This Row],[Tech Start Date]],28),IF(Main[[#This Row],[Class]]="B", WORKDAY(Main[[#This Row],[Tech Start Date]],19),IF(Main[[#This Row],[Class]]="A",WORKDAY(Main[[#This Row],[Tech Start Date]],9),""))))</f>
        <v/>
      </c>
      <c r="Q985" s="129"/>
      <c r="R985" s="129"/>
      <c r="S985" s="139" t="s">
        <v>6</v>
      </c>
      <c r="T985" s="115" t="s">
        <v>4</v>
      </c>
      <c r="U985" s="139" t="s">
        <v>14</v>
      </c>
      <c r="V985" s="139" t="s">
        <v>1917</v>
      </c>
      <c r="W985" s="139" t="s">
        <v>1918</v>
      </c>
      <c r="X985" s="139" t="s">
        <v>50</v>
      </c>
      <c r="Y985" s="112" t="s">
        <v>4</v>
      </c>
      <c r="Z985" s="112" t="s">
        <v>4</v>
      </c>
      <c r="AA985" s="139" t="s">
        <v>4</v>
      </c>
    </row>
    <row r="986" spans="1:27" ht="17.25" customHeight="1">
      <c r="A986" s="69" t="str">
        <f>IF(priority(Main[[#This Row],[Comments]])&lt;&gt;0, priority(Main[[#This Row],[Comments]]),"")</f>
        <v/>
      </c>
      <c r="B986" s="63" t="s">
        <v>1790</v>
      </c>
      <c r="C986" s="148" t="s">
        <v>4</v>
      </c>
      <c r="D986" s="113" t="s">
        <v>835</v>
      </c>
      <c r="E986" s="129">
        <v>40686.396180555559</v>
      </c>
      <c r="F986" s="129"/>
      <c r="G986" s="69" t="str">
        <f>IF(stdProdLT(Main[[#This Row],[Comments]])=0.1,"N/A",IF(stdProdLT(Main[[#This Row],[Comments]])=0,"",stdProdLT(Main[[#This Row],[Comments]])))</f>
        <v/>
      </c>
      <c r="H986" s="138" t="str">
        <f>IF(Main[[#This Row],[In Stock Date]]="N/A", "N/A",IF(AND(Main[[#This Row],[In Stock Date]]&lt;&gt;"",Main[[#This Row],[Revised Due Date]]&lt;&gt;"",Main[[#This Row],[In Stock Date]]&lt;&gt;""),Main[[#This Row],[In Stock Date]]-Main[[#This Row],[Revised Due Date]],""))</f>
        <v/>
      </c>
      <c r="I986" s="139" t="s">
        <v>4</v>
      </c>
      <c r="J986" s="139" t="s">
        <v>4</v>
      </c>
      <c r="K986" s="139" t="s">
        <v>4</v>
      </c>
      <c r="L986" s="129"/>
      <c r="M986" s="114" t="str">
        <f>IF(Main[[#This Row],[Tech Start Date]]&lt;1/1/1990,"",IF(Main[[#This Row],[Class]]="C",WORKDAY(Main[[#This Row],[Tech Start Date]],9),IF(Main[[#This Row],[Class]]="B", WORKDAY(Main[[#This Row],[Tech Start Date]],6),IF(Main[[#This Row],[Class]]="A",WORKDAY(Main[[#This Row],[Tech Start Date]],2),""))))</f>
        <v/>
      </c>
      <c r="N986" s="114" t="str">
        <f>IF(Main[[#This Row],[Tech Start Date]]&lt;1/1/1990,"",IF(Main[[#This Row],[Class]]="C",WORKDAY(Main[[#This Row],[Tech Start Date]],19),IF(Main[[#This Row],[Class]]="B", WORKDAY(Main[[#This Row],[Tech Start Date]],12),IF(Main[[#This Row],[Class]]="A",WORKDAY(Main[[#This Row],[Tech Start Date]],4),""))))</f>
        <v/>
      </c>
      <c r="O986" s="114" t="str">
        <f>IF(Main[[#This Row],[Tech Start Date]]&lt;1/1/1990,"",IF(Main[[#This Row],[Class]]="C",WORKDAY(Main[[#This Row],[Tech Start Date]],23),IF(Main[[#This Row],[Class]]="B", WORKDAY(Main[[#This Row],[Tech Start Date]],15),IF(Main[[#This Row],[Class]]="A",WORKDAY(Main[[#This Row],[Tech Start Date]],5),""))))</f>
        <v/>
      </c>
      <c r="P986" s="114" t="str">
        <f>IF(Main[[#This Row],[Tech Start Date]]&lt;1/1/1990,"",IF(Main[[#This Row],[Class]]="C",WORKDAY(Main[[#This Row],[Tech Start Date]],28),IF(Main[[#This Row],[Class]]="B", WORKDAY(Main[[#This Row],[Tech Start Date]],19),IF(Main[[#This Row],[Class]]="A",WORKDAY(Main[[#This Row],[Tech Start Date]],9),""))))</f>
        <v/>
      </c>
      <c r="Q986" s="129">
        <v>40704</v>
      </c>
      <c r="R986" s="129"/>
      <c r="S986" s="139" t="s">
        <v>6</v>
      </c>
      <c r="T986" s="115" t="s">
        <v>4</v>
      </c>
      <c r="U986" s="139" t="s">
        <v>7</v>
      </c>
      <c r="V986" s="139" t="s">
        <v>1914</v>
      </c>
      <c r="W986" s="139" t="s">
        <v>1918</v>
      </c>
      <c r="X986" s="139" t="s">
        <v>2866</v>
      </c>
      <c r="Y986" s="112" t="s">
        <v>3000</v>
      </c>
      <c r="Z986" s="112" t="s">
        <v>4</v>
      </c>
      <c r="AA986" s="139" t="s">
        <v>2866</v>
      </c>
    </row>
    <row r="987" spans="1:27" ht="17.25" customHeight="1">
      <c r="A987" s="69" t="str">
        <f>IF(priority(Main[[#This Row],[Comments]])&lt;&gt;0, priority(Main[[#This Row],[Comments]]),"")</f>
        <v/>
      </c>
      <c r="B987" s="63" t="s">
        <v>1152</v>
      </c>
      <c r="C987" s="148" t="s">
        <v>4</v>
      </c>
      <c r="D987" s="113" t="s">
        <v>97</v>
      </c>
      <c r="E987" s="129">
        <v>40667.587465277778</v>
      </c>
      <c r="F987" s="129"/>
      <c r="G987" s="69" t="str">
        <f>IF(stdProdLT(Main[[#This Row],[Comments]])=0.1,"N/A",IF(stdProdLT(Main[[#This Row],[Comments]])=0,"",stdProdLT(Main[[#This Row],[Comments]])))</f>
        <v/>
      </c>
      <c r="H987" s="138" t="str">
        <f>IF(Main[[#This Row],[In Stock Date]]="N/A", "N/A",IF(AND(Main[[#This Row],[In Stock Date]]&lt;&gt;"",Main[[#This Row],[Revised Due Date]]&lt;&gt;"",Main[[#This Row],[In Stock Date]]&lt;&gt;""),Main[[#This Row],[In Stock Date]]-Main[[#This Row],[Revised Due Date]],""))</f>
        <v/>
      </c>
      <c r="I987" s="139" t="s">
        <v>4</v>
      </c>
      <c r="J987" s="139" t="s">
        <v>4</v>
      </c>
      <c r="K987" s="139" t="s">
        <v>4</v>
      </c>
      <c r="L987" s="129"/>
      <c r="M987" s="114" t="str">
        <f>IF(Main[[#This Row],[Tech Start Date]]&lt;1/1/1990,"",IF(Main[[#This Row],[Class]]="C",WORKDAY(Main[[#This Row],[Tech Start Date]],9),IF(Main[[#This Row],[Class]]="B", WORKDAY(Main[[#This Row],[Tech Start Date]],6),IF(Main[[#This Row],[Class]]="A",WORKDAY(Main[[#This Row],[Tech Start Date]],2),""))))</f>
        <v/>
      </c>
      <c r="N987" s="114" t="str">
        <f>IF(Main[[#This Row],[Tech Start Date]]&lt;1/1/1990,"",IF(Main[[#This Row],[Class]]="C",WORKDAY(Main[[#This Row],[Tech Start Date]],19),IF(Main[[#This Row],[Class]]="B", WORKDAY(Main[[#This Row],[Tech Start Date]],12),IF(Main[[#This Row],[Class]]="A",WORKDAY(Main[[#This Row],[Tech Start Date]],4),""))))</f>
        <v/>
      </c>
      <c r="O987" s="114" t="str">
        <f>IF(Main[[#This Row],[Tech Start Date]]&lt;1/1/1990,"",IF(Main[[#This Row],[Class]]="C",WORKDAY(Main[[#This Row],[Tech Start Date]],23),IF(Main[[#This Row],[Class]]="B", WORKDAY(Main[[#This Row],[Tech Start Date]],15),IF(Main[[#This Row],[Class]]="A",WORKDAY(Main[[#This Row],[Tech Start Date]],5),""))))</f>
        <v/>
      </c>
      <c r="P987" s="114" t="str">
        <f>IF(Main[[#This Row],[Tech Start Date]]&lt;1/1/1990,"",IF(Main[[#This Row],[Class]]="C",WORKDAY(Main[[#This Row],[Tech Start Date]],28),IF(Main[[#This Row],[Class]]="B", WORKDAY(Main[[#This Row],[Tech Start Date]],19),IF(Main[[#This Row],[Class]]="A",WORKDAY(Main[[#This Row],[Tech Start Date]],9),""))))</f>
        <v/>
      </c>
      <c r="Q987" s="129">
        <v>40858</v>
      </c>
      <c r="R987" s="129"/>
      <c r="S987" s="139" t="s">
        <v>17</v>
      </c>
      <c r="T987" s="115" t="s">
        <v>4</v>
      </c>
      <c r="U987" s="139" t="s">
        <v>7</v>
      </c>
      <c r="V987" s="139" t="s">
        <v>1914</v>
      </c>
      <c r="W987" s="139" t="s">
        <v>1919</v>
      </c>
      <c r="X987" s="139" t="s">
        <v>50</v>
      </c>
      <c r="Y987" s="112" t="s">
        <v>2959</v>
      </c>
      <c r="Z987" s="112" t="s">
        <v>4</v>
      </c>
      <c r="AA987" s="139" t="s">
        <v>2828</v>
      </c>
    </row>
    <row r="988" spans="1:27" ht="17.25" customHeight="1">
      <c r="A988" s="69" t="str">
        <f>IF(priority(Main[[#This Row],[Comments]])&lt;&gt;0, priority(Main[[#This Row],[Comments]]),"")</f>
        <v/>
      </c>
      <c r="B988" s="63" t="s">
        <v>1791</v>
      </c>
      <c r="C988" s="148" t="s">
        <v>4</v>
      </c>
      <c r="D988" s="113" t="s">
        <v>97</v>
      </c>
      <c r="E988" s="129"/>
      <c r="F988" s="129"/>
      <c r="G988" s="69" t="str">
        <f>IF(stdProdLT(Main[[#This Row],[Comments]])=0.1,"N/A",IF(stdProdLT(Main[[#This Row],[Comments]])=0,"",stdProdLT(Main[[#This Row],[Comments]])))</f>
        <v/>
      </c>
      <c r="H988" s="138" t="str">
        <f>IF(Main[[#This Row],[In Stock Date]]="N/A", "N/A",IF(AND(Main[[#This Row],[In Stock Date]]&lt;&gt;"",Main[[#This Row],[Revised Due Date]]&lt;&gt;"",Main[[#This Row],[In Stock Date]]&lt;&gt;""),Main[[#This Row],[In Stock Date]]-Main[[#This Row],[Revised Due Date]],""))</f>
        <v/>
      </c>
      <c r="I988" s="139" t="s">
        <v>4</v>
      </c>
      <c r="J988" s="139" t="s">
        <v>4</v>
      </c>
      <c r="K988" s="139" t="s">
        <v>4</v>
      </c>
      <c r="L988" s="129"/>
      <c r="M988" s="114" t="str">
        <f>IF(Main[[#This Row],[Tech Start Date]]&lt;1/1/1990,"",IF(Main[[#This Row],[Class]]="C",WORKDAY(Main[[#This Row],[Tech Start Date]],9),IF(Main[[#This Row],[Class]]="B", WORKDAY(Main[[#This Row],[Tech Start Date]],6),IF(Main[[#This Row],[Class]]="A",WORKDAY(Main[[#This Row],[Tech Start Date]],2),""))))</f>
        <v/>
      </c>
      <c r="N988" s="114" t="str">
        <f>IF(Main[[#This Row],[Tech Start Date]]&lt;1/1/1990,"",IF(Main[[#This Row],[Class]]="C",WORKDAY(Main[[#This Row],[Tech Start Date]],19),IF(Main[[#This Row],[Class]]="B", WORKDAY(Main[[#This Row],[Tech Start Date]],12),IF(Main[[#This Row],[Class]]="A",WORKDAY(Main[[#This Row],[Tech Start Date]],4),""))))</f>
        <v/>
      </c>
      <c r="O988" s="114" t="str">
        <f>IF(Main[[#This Row],[Tech Start Date]]&lt;1/1/1990,"",IF(Main[[#This Row],[Class]]="C",WORKDAY(Main[[#This Row],[Tech Start Date]],23),IF(Main[[#This Row],[Class]]="B", WORKDAY(Main[[#This Row],[Tech Start Date]],15),IF(Main[[#This Row],[Class]]="A",WORKDAY(Main[[#This Row],[Tech Start Date]],5),""))))</f>
        <v/>
      </c>
      <c r="P988" s="114" t="str">
        <f>IF(Main[[#This Row],[Tech Start Date]]&lt;1/1/1990,"",IF(Main[[#This Row],[Class]]="C",WORKDAY(Main[[#This Row],[Tech Start Date]],28),IF(Main[[#This Row],[Class]]="B", WORKDAY(Main[[#This Row],[Tech Start Date]],19),IF(Main[[#This Row],[Class]]="A",WORKDAY(Main[[#This Row],[Tech Start Date]],9),""))))</f>
        <v/>
      </c>
      <c r="Q988" s="129">
        <v>40858</v>
      </c>
      <c r="R988" s="129"/>
      <c r="S988" s="139" t="s">
        <v>17</v>
      </c>
      <c r="T988" s="115" t="s">
        <v>4</v>
      </c>
      <c r="U988" s="139" t="s">
        <v>14</v>
      </c>
      <c r="V988" s="139" t="s">
        <v>1914</v>
      </c>
      <c r="W988" s="139" t="s">
        <v>1919</v>
      </c>
      <c r="X988" s="139" t="s">
        <v>50</v>
      </c>
      <c r="Y988" s="112" t="s">
        <v>2959</v>
      </c>
      <c r="Z988" s="112" t="s">
        <v>4</v>
      </c>
      <c r="AA988" s="139" t="s">
        <v>2828</v>
      </c>
    </row>
    <row r="989" spans="1:27" ht="17.25" customHeight="1">
      <c r="A989" s="69" t="str">
        <f>IF(priority(Main[[#This Row],[Comments]])&lt;&gt;0, priority(Main[[#This Row],[Comments]]),"")</f>
        <v/>
      </c>
      <c r="B989" s="63" t="s">
        <v>1792</v>
      </c>
      <c r="C989" s="148" t="s">
        <v>4</v>
      </c>
      <c r="D989" s="113" t="s">
        <v>836</v>
      </c>
      <c r="E989" s="129"/>
      <c r="F989" s="129">
        <v>40574</v>
      </c>
      <c r="G989" s="69" t="str">
        <f>IF(stdProdLT(Main[[#This Row],[Comments]])=0.1,"N/A",IF(stdProdLT(Main[[#This Row],[Comments]])=0,"",stdProdLT(Main[[#This Row],[Comments]])))</f>
        <v/>
      </c>
      <c r="H989" s="138" t="str">
        <f>IF(Main[[#This Row],[In Stock Date]]="N/A", "N/A",IF(AND(Main[[#This Row],[In Stock Date]]&lt;&gt;"",Main[[#This Row],[Revised Due Date]]&lt;&gt;"",Main[[#This Row],[In Stock Date]]&lt;&gt;""),Main[[#This Row],[In Stock Date]]-Main[[#This Row],[Revised Due Date]],""))</f>
        <v/>
      </c>
      <c r="I989" s="139" t="s">
        <v>4</v>
      </c>
      <c r="J989" s="139" t="s">
        <v>4</v>
      </c>
      <c r="K989" s="139" t="s">
        <v>4</v>
      </c>
      <c r="L989" s="129"/>
      <c r="M989" s="114" t="str">
        <f>IF(Main[[#This Row],[Tech Start Date]]&lt;1/1/1990,"",IF(Main[[#This Row],[Class]]="C",WORKDAY(Main[[#This Row],[Tech Start Date]],9),IF(Main[[#This Row],[Class]]="B", WORKDAY(Main[[#This Row],[Tech Start Date]],6),IF(Main[[#This Row],[Class]]="A",WORKDAY(Main[[#This Row],[Tech Start Date]],2),""))))</f>
        <v/>
      </c>
      <c r="N989" s="114" t="str">
        <f>IF(Main[[#This Row],[Tech Start Date]]&lt;1/1/1990,"",IF(Main[[#This Row],[Class]]="C",WORKDAY(Main[[#This Row],[Tech Start Date]],19),IF(Main[[#This Row],[Class]]="B", WORKDAY(Main[[#This Row],[Tech Start Date]],12),IF(Main[[#This Row],[Class]]="A",WORKDAY(Main[[#This Row],[Tech Start Date]],4),""))))</f>
        <v/>
      </c>
      <c r="O989" s="114" t="str">
        <f>IF(Main[[#This Row],[Tech Start Date]]&lt;1/1/1990,"",IF(Main[[#This Row],[Class]]="C",WORKDAY(Main[[#This Row],[Tech Start Date]],23),IF(Main[[#This Row],[Class]]="B", WORKDAY(Main[[#This Row],[Tech Start Date]],15),IF(Main[[#This Row],[Class]]="A",WORKDAY(Main[[#This Row],[Tech Start Date]],5),""))))</f>
        <v/>
      </c>
      <c r="P989" s="114" t="str">
        <f>IF(Main[[#This Row],[Tech Start Date]]&lt;1/1/1990,"",IF(Main[[#This Row],[Class]]="C",WORKDAY(Main[[#This Row],[Tech Start Date]],28),IF(Main[[#This Row],[Class]]="B", WORKDAY(Main[[#This Row],[Tech Start Date]],19),IF(Main[[#This Row],[Class]]="A",WORKDAY(Main[[#This Row],[Tech Start Date]],9),""))))</f>
        <v/>
      </c>
      <c r="Q989" s="129"/>
      <c r="R989" s="129"/>
      <c r="S989" s="139" t="s">
        <v>17</v>
      </c>
      <c r="T989" s="115" t="s">
        <v>4</v>
      </c>
      <c r="U989" s="139" t="s">
        <v>14</v>
      </c>
      <c r="V989" s="139" t="s">
        <v>1917</v>
      </c>
      <c r="W989" s="139" t="s">
        <v>1919</v>
      </c>
      <c r="X989" s="139" t="s">
        <v>50</v>
      </c>
      <c r="Y989" s="112" t="s">
        <v>2985</v>
      </c>
      <c r="Z989" s="112" t="s">
        <v>4</v>
      </c>
      <c r="AA989" s="139" t="s">
        <v>65</v>
      </c>
    </row>
    <row r="990" spans="1:27" ht="17.25" customHeight="1">
      <c r="A990" s="69" t="str">
        <f>IF(priority(Main[[#This Row],[Comments]])&lt;&gt;0, priority(Main[[#This Row],[Comments]]),"")</f>
        <v/>
      </c>
      <c r="B990" s="63" t="s">
        <v>1793</v>
      </c>
      <c r="C990" s="148" t="s">
        <v>93</v>
      </c>
      <c r="D990" s="113" t="s">
        <v>837</v>
      </c>
      <c r="E990" s="129"/>
      <c r="F990" s="129">
        <v>40132</v>
      </c>
      <c r="G990" s="69" t="str">
        <f>IF(stdProdLT(Main[[#This Row],[Comments]])=0.1,"N/A",IF(stdProdLT(Main[[#This Row],[Comments]])=0,"",stdProdLT(Main[[#This Row],[Comments]])))</f>
        <v/>
      </c>
      <c r="H990" s="138" t="str">
        <f>IF(Main[[#This Row],[In Stock Date]]="N/A", "N/A",IF(AND(Main[[#This Row],[In Stock Date]]&lt;&gt;"",Main[[#This Row],[Revised Due Date]]&lt;&gt;"",Main[[#This Row],[In Stock Date]]&lt;&gt;""),Main[[#This Row],[In Stock Date]]-Main[[#This Row],[Revised Due Date]],""))</f>
        <v/>
      </c>
      <c r="I990" s="139" t="s">
        <v>4</v>
      </c>
      <c r="J990" s="139" t="s">
        <v>4</v>
      </c>
      <c r="K990" s="139" t="s">
        <v>4</v>
      </c>
      <c r="L990" s="129"/>
      <c r="M990" s="114" t="str">
        <f>IF(Main[[#This Row],[Tech Start Date]]&lt;1/1/1990,"",IF(Main[[#This Row],[Class]]="C",WORKDAY(Main[[#This Row],[Tech Start Date]],9),IF(Main[[#This Row],[Class]]="B", WORKDAY(Main[[#This Row],[Tech Start Date]],6),IF(Main[[#This Row],[Class]]="A",WORKDAY(Main[[#This Row],[Tech Start Date]],2),""))))</f>
        <v/>
      </c>
      <c r="N990" s="114" t="str">
        <f>IF(Main[[#This Row],[Tech Start Date]]&lt;1/1/1990,"",IF(Main[[#This Row],[Class]]="C",WORKDAY(Main[[#This Row],[Tech Start Date]],19),IF(Main[[#This Row],[Class]]="B", WORKDAY(Main[[#This Row],[Tech Start Date]],12),IF(Main[[#This Row],[Class]]="A",WORKDAY(Main[[#This Row],[Tech Start Date]],4),""))))</f>
        <v/>
      </c>
      <c r="O990" s="114" t="str">
        <f>IF(Main[[#This Row],[Tech Start Date]]&lt;1/1/1990,"",IF(Main[[#This Row],[Class]]="C",WORKDAY(Main[[#This Row],[Tech Start Date]],23),IF(Main[[#This Row],[Class]]="B", WORKDAY(Main[[#This Row],[Tech Start Date]],15),IF(Main[[#This Row],[Class]]="A",WORKDAY(Main[[#This Row],[Tech Start Date]],5),""))))</f>
        <v/>
      </c>
      <c r="P990" s="114" t="str">
        <f>IF(Main[[#This Row],[Tech Start Date]]&lt;1/1/1990,"",IF(Main[[#This Row],[Class]]="C",WORKDAY(Main[[#This Row],[Tech Start Date]],28),IF(Main[[#This Row],[Class]]="B", WORKDAY(Main[[#This Row],[Tech Start Date]],19),IF(Main[[#This Row],[Class]]="A",WORKDAY(Main[[#This Row],[Tech Start Date]],9),""))))</f>
        <v/>
      </c>
      <c r="Q990" s="129">
        <v>40132</v>
      </c>
      <c r="R990" s="129"/>
      <c r="S990" s="139" t="s">
        <v>11</v>
      </c>
      <c r="T990" s="115" t="s">
        <v>4</v>
      </c>
      <c r="U990" s="139" t="s">
        <v>14</v>
      </c>
      <c r="V990" s="139" t="s">
        <v>1917</v>
      </c>
      <c r="W990" s="139" t="s">
        <v>1925</v>
      </c>
      <c r="X990" s="139" t="s">
        <v>2856</v>
      </c>
      <c r="Y990" s="112" t="s">
        <v>4</v>
      </c>
      <c r="Z990" s="112" t="s">
        <v>4</v>
      </c>
      <c r="AA990" s="139" t="s">
        <v>2856</v>
      </c>
    </row>
    <row r="991" spans="1:27" ht="17.25" customHeight="1">
      <c r="A991" s="69" t="str">
        <f>IF(priority(Main[[#This Row],[Comments]])&lt;&gt;0, priority(Main[[#This Row],[Comments]]),"")</f>
        <v/>
      </c>
      <c r="B991" s="63" t="s">
        <v>1794</v>
      </c>
      <c r="C991" s="148" t="s">
        <v>113</v>
      </c>
      <c r="D991" s="113" t="s">
        <v>838</v>
      </c>
      <c r="E991" s="129"/>
      <c r="F991" s="129"/>
      <c r="G991" s="69" t="str">
        <f>IF(stdProdLT(Main[[#This Row],[Comments]])=0.1,"N/A",IF(stdProdLT(Main[[#This Row],[Comments]])=0,"",stdProdLT(Main[[#This Row],[Comments]])))</f>
        <v/>
      </c>
      <c r="H991" s="138" t="str">
        <f>IF(Main[[#This Row],[In Stock Date]]="N/A", "N/A",IF(AND(Main[[#This Row],[In Stock Date]]&lt;&gt;"",Main[[#This Row],[Revised Due Date]]&lt;&gt;"",Main[[#This Row],[In Stock Date]]&lt;&gt;""),Main[[#This Row],[In Stock Date]]-Main[[#This Row],[Revised Due Date]],""))</f>
        <v/>
      </c>
      <c r="I991" s="139" t="s">
        <v>4</v>
      </c>
      <c r="J991" s="139" t="s">
        <v>28</v>
      </c>
      <c r="K991" s="139" t="s">
        <v>1926</v>
      </c>
      <c r="L991" s="129"/>
      <c r="M991" s="114" t="str">
        <f>IF(Main[[#This Row],[Tech Start Date]]&lt;1/1/1990,"",IF(Main[[#This Row],[Class]]="C",WORKDAY(Main[[#This Row],[Tech Start Date]],9),IF(Main[[#This Row],[Class]]="B", WORKDAY(Main[[#This Row],[Tech Start Date]],6),IF(Main[[#This Row],[Class]]="A",WORKDAY(Main[[#This Row],[Tech Start Date]],2),""))))</f>
        <v/>
      </c>
      <c r="N991" s="114" t="str">
        <f>IF(Main[[#This Row],[Tech Start Date]]&lt;1/1/1990,"",IF(Main[[#This Row],[Class]]="C",WORKDAY(Main[[#This Row],[Tech Start Date]],19),IF(Main[[#This Row],[Class]]="B", WORKDAY(Main[[#This Row],[Tech Start Date]],12),IF(Main[[#This Row],[Class]]="A",WORKDAY(Main[[#This Row],[Tech Start Date]],4),""))))</f>
        <v/>
      </c>
      <c r="O991" s="114" t="str">
        <f>IF(Main[[#This Row],[Tech Start Date]]&lt;1/1/1990,"",IF(Main[[#This Row],[Class]]="C",WORKDAY(Main[[#This Row],[Tech Start Date]],23),IF(Main[[#This Row],[Class]]="B", WORKDAY(Main[[#This Row],[Tech Start Date]],15),IF(Main[[#This Row],[Class]]="A",WORKDAY(Main[[#This Row],[Tech Start Date]],5),""))))</f>
        <v/>
      </c>
      <c r="P991" s="114" t="str">
        <f>IF(Main[[#This Row],[Tech Start Date]]&lt;1/1/1990,"",IF(Main[[#This Row],[Class]]="C",WORKDAY(Main[[#This Row],[Tech Start Date]],28),IF(Main[[#This Row],[Class]]="B", WORKDAY(Main[[#This Row],[Tech Start Date]],19),IF(Main[[#This Row],[Class]]="A",WORKDAY(Main[[#This Row],[Tech Start Date]],9),""))))</f>
        <v/>
      </c>
      <c r="Q991" s="129"/>
      <c r="R991" s="129"/>
      <c r="S991" s="139" t="s">
        <v>17</v>
      </c>
      <c r="T991" s="115" t="s">
        <v>4</v>
      </c>
      <c r="U991" s="139" t="s">
        <v>14</v>
      </c>
      <c r="V991" s="139" t="s">
        <v>1915</v>
      </c>
      <c r="W991" s="139" t="s">
        <v>1922</v>
      </c>
      <c r="X991" s="139" t="s">
        <v>50</v>
      </c>
      <c r="Y991" s="112" t="s">
        <v>3109</v>
      </c>
      <c r="Z991" s="112" t="s">
        <v>975</v>
      </c>
      <c r="AA991" s="139" t="s">
        <v>50</v>
      </c>
    </row>
    <row r="992" spans="1:27" ht="17.25" customHeight="1">
      <c r="A992" s="69" t="str">
        <f>IF(priority(Main[[#This Row],[Comments]])&lt;&gt;0, priority(Main[[#This Row],[Comments]]),"")</f>
        <v/>
      </c>
      <c r="B992" s="63" t="s">
        <v>1796</v>
      </c>
      <c r="C992" s="148" t="s">
        <v>4</v>
      </c>
      <c r="D992" s="113" t="s">
        <v>840</v>
      </c>
      <c r="E992" s="129"/>
      <c r="F992" s="129">
        <v>40435</v>
      </c>
      <c r="G992" s="69" t="str">
        <f>IF(stdProdLT(Main[[#This Row],[Comments]])=0.1,"N/A",IF(stdProdLT(Main[[#This Row],[Comments]])=0,"",stdProdLT(Main[[#This Row],[Comments]])))</f>
        <v/>
      </c>
      <c r="H992" s="138" t="str">
        <f>IF(Main[[#This Row],[In Stock Date]]="N/A", "N/A",IF(AND(Main[[#This Row],[In Stock Date]]&lt;&gt;"",Main[[#This Row],[Revised Due Date]]&lt;&gt;"",Main[[#This Row],[In Stock Date]]&lt;&gt;""),Main[[#This Row],[In Stock Date]]-Main[[#This Row],[Revised Due Date]],""))</f>
        <v/>
      </c>
      <c r="I992" s="139" t="s">
        <v>4</v>
      </c>
      <c r="J992" s="139" t="s">
        <v>28</v>
      </c>
      <c r="K992" s="139" t="s">
        <v>4</v>
      </c>
      <c r="L992" s="129"/>
      <c r="M992" s="114" t="str">
        <f>IF(Main[[#This Row],[Tech Start Date]]&lt;1/1/1990,"",IF(Main[[#This Row],[Class]]="C",WORKDAY(Main[[#This Row],[Tech Start Date]],9),IF(Main[[#This Row],[Class]]="B", WORKDAY(Main[[#This Row],[Tech Start Date]],6),IF(Main[[#This Row],[Class]]="A",WORKDAY(Main[[#This Row],[Tech Start Date]],2),""))))</f>
        <v/>
      </c>
      <c r="N992" s="114" t="str">
        <f>IF(Main[[#This Row],[Tech Start Date]]&lt;1/1/1990,"",IF(Main[[#This Row],[Class]]="C",WORKDAY(Main[[#This Row],[Tech Start Date]],19),IF(Main[[#This Row],[Class]]="B", WORKDAY(Main[[#This Row],[Tech Start Date]],12),IF(Main[[#This Row],[Class]]="A",WORKDAY(Main[[#This Row],[Tech Start Date]],4),""))))</f>
        <v/>
      </c>
      <c r="O992" s="114" t="str">
        <f>IF(Main[[#This Row],[Tech Start Date]]&lt;1/1/1990,"",IF(Main[[#This Row],[Class]]="C",WORKDAY(Main[[#This Row],[Tech Start Date]],23),IF(Main[[#This Row],[Class]]="B", WORKDAY(Main[[#This Row],[Tech Start Date]],15),IF(Main[[#This Row],[Class]]="A",WORKDAY(Main[[#This Row],[Tech Start Date]],5),""))))</f>
        <v/>
      </c>
      <c r="P992" s="114" t="str">
        <f>IF(Main[[#This Row],[Tech Start Date]]&lt;1/1/1990,"",IF(Main[[#This Row],[Class]]="C",WORKDAY(Main[[#This Row],[Tech Start Date]],28),IF(Main[[#This Row],[Class]]="B", WORKDAY(Main[[#This Row],[Tech Start Date]],19),IF(Main[[#This Row],[Class]]="A",WORKDAY(Main[[#This Row],[Tech Start Date]],9),""))))</f>
        <v/>
      </c>
      <c r="Q992" s="129"/>
      <c r="R992" s="129"/>
      <c r="S992" s="139" t="s">
        <v>11</v>
      </c>
      <c r="T992" s="115" t="s">
        <v>4</v>
      </c>
      <c r="U992" s="139" t="s">
        <v>14</v>
      </c>
      <c r="V992" s="139" t="s">
        <v>1917</v>
      </c>
      <c r="W992" s="139" t="s">
        <v>1919</v>
      </c>
      <c r="X992" s="139" t="s">
        <v>2837</v>
      </c>
      <c r="Y992" s="112" t="s">
        <v>2966</v>
      </c>
      <c r="Z992" s="112" t="s">
        <v>530</v>
      </c>
      <c r="AA992" s="139" t="s">
        <v>2834</v>
      </c>
    </row>
    <row r="993" spans="1:27" ht="17.25" customHeight="1">
      <c r="A993" s="69" t="str">
        <f>IF(priority(Main[[#This Row],[Comments]])&lt;&gt;0, priority(Main[[#This Row],[Comments]]),"")</f>
        <v/>
      </c>
      <c r="B993" s="63" t="s">
        <v>1797</v>
      </c>
      <c r="C993" s="148" t="s">
        <v>99</v>
      </c>
      <c r="D993" s="113" t="s">
        <v>841</v>
      </c>
      <c r="E993" s="129"/>
      <c r="F993" s="129">
        <v>40435</v>
      </c>
      <c r="G993" s="69" t="str">
        <f>IF(stdProdLT(Main[[#This Row],[Comments]])=0.1,"N/A",IF(stdProdLT(Main[[#This Row],[Comments]])=0,"",stdProdLT(Main[[#This Row],[Comments]])))</f>
        <v/>
      </c>
      <c r="H993" s="138" t="str">
        <f>IF(Main[[#This Row],[In Stock Date]]="N/A", "N/A",IF(AND(Main[[#This Row],[In Stock Date]]&lt;&gt;"",Main[[#This Row],[Revised Due Date]]&lt;&gt;"",Main[[#This Row],[In Stock Date]]&lt;&gt;""),Main[[#This Row],[In Stock Date]]-Main[[#This Row],[Revised Due Date]],""))</f>
        <v/>
      </c>
      <c r="I993" s="139" t="s">
        <v>4</v>
      </c>
      <c r="J993" s="139" t="s">
        <v>28</v>
      </c>
      <c r="K993" s="139" t="s">
        <v>4</v>
      </c>
      <c r="L993" s="129"/>
      <c r="M993" s="114" t="str">
        <f>IF(Main[[#This Row],[Tech Start Date]]&lt;1/1/1990,"",IF(Main[[#This Row],[Class]]="C",WORKDAY(Main[[#This Row],[Tech Start Date]],9),IF(Main[[#This Row],[Class]]="B", WORKDAY(Main[[#This Row],[Tech Start Date]],6),IF(Main[[#This Row],[Class]]="A",WORKDAY(Main[[#This Row],[Tech Start Date]],2),""))))</f>
        <v/>
      </c>
      <c r="N993" s="114" t="str">
        <f>IF(Main[[#This Row],[Tech Start Date]]&lt;1/1/1990,"",IF(Main[[#This Row],[Class]]="C",WORKDAY(Main[[#This Row],[Tech Start Date]],19),IF(Main[[#This Row],[Class]]="B", WORKDAY(Main[[#This Row],[Tech Start Date]],12),IF(Main[[#This Row],[Class]]="A",WORKDAY(Main[[#This Row],[Tech Start Date]],4),""))))</f>
        <v/>
      </c>
      <c r="O993" s="114" t="str">
        <f>IF(Main[[#This Row],[Tech Start Date]]&lt;1/1/1990,"",IF(Main[[#This Row],[Class]]="C",WORKDAY(Main[[#This Row],[Tech Start Date]],23),IF(Main[[#This Row],[Class]]="B", WORKDAY(Main[[#This Row],[Tech Start Date]],15),IF(Main[[#This Row],[Class]]="A",WORKDAY(Main[[#This Row],[Tech Start Date]],5),""))))</f>
        <v/>
      </c>
      <c r="P993" s="114" t="str">
        <f>IF(Main[[#This Row],[Tech Start Date]]&lt;1/1/1990,"",IF(Main[[#This Row],[Class]]="C",WORKDAY(Main[[#This Row],[Tech Start Date]],28),IF(Main[[#This Row],[Class]]="B", WORKDAY(Main[[#This Row],[Tech Start Date]],19),IF(Main[[#This Row],[Class]]="A",WORKDAY(Main[[#This Row],[Tech Start Date]],9),""))))</f>
        <v/>
      </c>
      <c r="Q993" s="129">
        <v>40435</v>
      </c>
      <c r="R993" s="129"/>
      <c r="S993" s="139" t="s">
        <v>11</v>
      </c>
      <c r="T993" s="115" t="s">
        <v>4</v>
      </c>
      <c r="U993" s="139" t="s">
        <v>14</v>
      </c>
      <c r="V993" s="139" t="s">
        <v>1917</v>
      </c>
      <c r="W993" s="139" t="s">
        <v>1919</v>
      </c>
      <c r="X993" s="139" t="s">
        <v>2837</v>
      </c>
      <c r="Y993" s="112" t="s">
        <v>2966</v>
      </c>
      <c r="Z993" s="112" t="s">
        <v>530</v>
      </c>
      <c r="AA993" s="139" t="s">
        <v>3410</v>
      </c>
    </row>
    <row r="994" spans="1:27" ht="17.25" customHeight="1">
      <c r="A994" s="69" t="str">
        <f>IF(priority(Main[[#This Row],[Comments]])&lt;&gt;0, priority(Main[[#This Row],[Comments]]),"")</f>
        <v/>
      </c>
      <c r="B994" s="63" t="s">
        <v>1783</v>
      </c>
      <c r="C994" s="148" t="s">
        <v>826</v>
      </c>
      <c r="D994" s="113" t="s">
        <v>827</v>
      </c>
      <c r="E994" s="129"/>
      <c r="F994" s="129"/>
      <c r="G994" s="69" t="str">
        <f>IF(stdProdLT(Main[[#This Row],[Comments]])=0.1,"N/A",IF(stdProdLT(Main[[#This Row],[Comments]])=0,"",stdProdLT(Main[[#This Row],[Comments]])))</f>
        <v/>
      </c>
      <c r="H994" s="138" t="str">
        <f>IF(Main[[#This Row],[In Stock Date]]="N/A", "N/A",IF(AND(Main[[#This Row],[In Stock Date]]&lt;&gt;"",Main[[#This Row],[Revised Due Date]]&lt;&gt;"",Main[[#This Row],[In Stock Date]]&lt;&gt;""),Main[[#This Row],[In Stock Date]]-Main[[#This Row],[Revised Due Date]],""))</f>
        <v/>
      </c>
      <c r="I994" s="139" t="s">
        <v>4</v>
      </c>
      <c r="J994" s="139" t="s">
        <v>4</v>
      </c>
      <c r="K994" s="139" t="s">
        <v>4</v>
      </c>
      <c r="L994" s="129"/>
      <c r="M994" s="114" t="str">
        <f>IF(Main[[#This Row],[Tech Start Date]]&lt;1/1/1990,"",IF(Main[[#This Row],[Class]]="C",WORKDAY(Main[[#This Row],[Tech Start Date]],9),IF(Main[[#This Row],[Class]]="B", WORKDAY(Main[[#This Row],[Tech Start Date]],6),IF(Main[[#This Row],[Class]]="A",WORKDAY(Main[[#This Row],[Tech Start Date]],2),""))))</f>
        <v/>
      </c>
      <c r="N994" s="114" t="str">
        <f>IF(Main[[#This Row],[Tech Start Date]]&lt;1/1/1990,"",IF(Main[[#This Row],[Class]]="C",WORKDAY(Main[[#This Row],[Tech Start Date]],19),IF(Main[[#This Row],[Class]]="B", WORKDAY(Main[[#This Row],[Tech Start Date]],12),IF(Main[[#This Row],[Class]]="A",WORKDAY(Main[[#This Row],[Tech Start Date]],4),""))))</f>
        <v/>
      </c>
      <c r="O994" s="114" t="str">
        <f>IF(Main[[#This Row],[Tech Start Date]]&lt;1/1/1990,"",IF(Main[[#This Row],[Class]]="C",WORKDAY(Main[[#This Row],[Tech Start Date]],23),IF(Main[[#This Row],[Class]]="B", WORKDAY(Main[[#This Row],[Tech Start Date]],15),IF(Main[[#This Row],[Class]]="A",WORKDAY(Main[[#This Row],[Tech Start Date]],5),""))))</f>
        <v/>
      </c>
      <c r="P994" s="114" t="str">
        <f>IF(Main[[#This Row],[Tech Start Date]]&lt;1/1/1990,"",IF(Main[[#This Row],[Class]]="C",WORKDAY(Main[[#This Row],[Tech Start Date]],28),IF(Main[[#This Row],[Class]]="B", WORKDAY(Main[[#This Row],[Tech Start Date]],19),IF(Main[[#This Row],[Class]]="A",WORKDAY(Main[[#This Row],[Tech Start Date]],9),""))))</f>
        <v/>
      </c>
      <c r="Q994" s="129"/>
      <c r="R994" s="129"/>
      <c r="S994" s="139" t="s">
        <v>11</v>
      </c>
      <c r="T994" s="115" t="s">
        <v>4</v>
      </c>
      <c r="U994" s="139" t="s">
        <v>14</v>
      </c>
      <c r="V994" s="139" t="s">
        <v>1915</v>
      </c>
      <c r="W994" s="139" t="s">
        <v>1919</v>
      </c>
      <c r="X994" s="139" t="s">
        <v>2889</v>
      </c>
      <c r="Y994" s="112" t="s">
        <v>4</v>
      </c>
      <c r="Z994" s="112" t="s">
        <v>4</v>
      </c>
      <c r="AA994" s="139" t="s">
        <v>3446</v>
      </c>
    </row>
    <row r="995" spans="1:27" ht="17.25" customHeight="1">
      <c r="A995" s="69" t="str">
        <f>IF(priority(Main[[#This Row],[Comments]])&lt;&gt;0, priority(Main[[#This Row],[Comments]]),"")</f>
        <v/>
      </c>
      <c r="B995" s="63" t="s">
        <v>2126</v>
      </c>
      <c r="C995" s="148" t="s">
        <v>4</v>
      </c>
      <c r="D995" s="113" t="s">
        <v>2127</v>
      </c>
      <c r="E995" s="129">
        <v>40760.662685185183</v>
      </c>
      <c r="F995" s="129"/>
      <c r="G995" s="69" t="str">
        <f>IF(stdProdLT(Main[[#This Row],[Comments]])=0.1,"N/A",IF(stdProdLT(Main[[#This Row],[Comments]])=0,"",stdProdLT(Main[[#This Row],[Comments]])))</f>
        <v/>
      </c>
      <c r="H995" s="138" t="str">
        <f>IF(Main[[#This Row],[In Stock Date]]="N/A", "N/A",IF(AND(Main[[#This Row],[In Stock Date]]&lt;&gt;"",Main[[#This Row],[Revised Due Date]]&lt;&gt;"",Main[[#This Row],[In Stock Date]]&lt;&gt;""),Main[[#This Row],[In Stock Date]]-Main[[#This Row],[Revised Due Date]],""))</f>
        <v/>
      </c>
      <c r="I995" s="139" t="s">
        <v>4</v>
      </c>
      <c r="J995" s="139" t="s">
        <v>4</v>
      </c>
      <c r="K995" s="140" t="s">
        <v>4</v>
      </c>
      <c r="L995" s="129"/>
      <c r="M995" s="114" t="str">
        <f>IF(Main[[#This Row],[Tech Start Date]]&lt;1/1/1990,"",IF(Main[[#This Row],[Class]]="C",WORKDAY(Main[[#This Row],[Tech Start Date]],9),IF(Main[[#This Row],[Class]]="B", WORKDAY(Main[[#This Row],[Tech Start Date]],6),IF(Main[[#This Row],[Class]]="A",WORKDAY(Main[[#This Row],[Tech Start Date]],2),""))))</f>
        <v/>
      </c>
      <c r="N995" s="114" t="str">
        <f>IF(Main[[#This Row],[Tech Start Date]]&lt;1/1/1990,"",IF(Main[[#This Row],[Class]]="C",WORKDAY(Main[[#This Row],[Tech Start Date]],19),IF(Main[[#This Row],[Class]]="B", WORKDAY(Main[[#This Row],[Tech Start Date]],12),IF(Main[[#This Row],[Class]]="A",WORKDAY(Main[[#This Row],[Tech Start Date]],4),""))))</f>
        <v/>
      </c>
      <c r="O995" s="114" t="str">
        <f>IF(Main[[#This Row],[Tech Start Date]]&lt;1/1/1990,"",IF(Main[[#This Row],[Class]]="C",WORKDAY(Main[[#This Row],[Tech Start Date]],23),IF(Main[[#This Row],[Class]]="B", WORKDAY(Main[[#This Row],[Tech Start Date]],15),IF(Main[[#This Row],[Class]]="A",WORKDAY(Main[[#This Row],[Tech Start Date]],5),""))))</f>
        <v/>
      </c>
      <c r="P995" s="114" t="str">
        <f>IF(Main[[#This Row],[Tech Start Date]]&lt;1/1/1990,"",IF(Main[[#This Row],[Class]]="C",WORKDAY(Main[[#This Row],[Tech Start Date]],28),IF(Main[[#This Row],[Class]]="B", WORKDAY(Main[[#This Row],[Tech Start Date]],19),IF(Main[[#This Row],[Class]]="A",WORKDAY(Main[[#This Row],[Tech Start Date]],9),""))))</f>
        <v/>
      </c>
      <c r="Q995" s="129"/>
      <c r="R995" s="129"/>
      <c r="S995" s="139" t="s">
        <v>6</v>
      </c>
      <c r="T995" s="115" t="s">
        <v>4</v>
      </c>
      <c r="U995" s="139" t="s">
        <v>7</v>
      </c>
      <c r="V995" s="139" t="s">
        <v>1914</v>
      </c>
      <c r="W995" s="139" t="s">
        <v>4</v>
      </c>
      <c r="X995" s="139" t="s">
        <v>306</v>
      </c>
      <c r="Y995" s="112" t="s">
        <v>4</v>
      </c>
      <c r="Z995" s="112" t="s">
        <v>4</v>
      </c>
      <c r="AA995" s="139" t="s">
        <v>3390</v>
      </c>
    </row>
    <row r="996" spans="1:27" ht="17.25" customHeight="1">
      <c r="A996" s="69" t="str">
        <f>IF(priority(Main[[#This Row],[Comments]])&lt;&gt;0, priority(Main[[#This Row],[Comments]]),"")</f>
        <v/>
      </c>
      <c r="B996" s="63" t="s">
        <v>1798</v>
      </c>
      <c r="C996" s="148" t="s">
        <v>4</v>
      </c>
      <c r="D996" s="113" t="s">
        <v>842</v>
      </c>
      <c r="E996" s="129"/>
      <c r="F996" s="129"/>
      <c r="G996" s="69" t="str">
        <f>IF(stdProdLT(Main[[#This Row],[Comments]])=0.1,"N/A",IF(stdProdLT(Main[[#This Row],[Comments]])=0,"",stdProdLT(Main[[#This Row],[Comments]])))</f>
        <v/>
      </c>
      <c r="H996" s="138" t="str">
        <f>IF(Main[[#This Row],[In Stock Date]]="N/A", "N/A",IF(AND(Main[[#This Row],[In Stock Date]]&lt;&gt;"",Main[[#This Row],[Revised Due Date]]&lt;&gt;"",Main[[#This Row],[In Stock Date]]&lt;&gt;""),Main[[#This Row],[In Stock Date]]-Main[[#This Row],[Revised Due Date]],""))</f>
        <v/>
      </c>
      <c r="I996" s="139" t="s">
        <v>50</v>
      </c>
      <c r="J996" s="139" t="s">
        <v>28</v>
      </c>
      <c r="K996" s="139" t="s">
        <v>1923</v>
      </c>
      <c r="L996" s="129"/>
      <c r="M996" s="114" t="str">
        <f>IF(Main[[#This Row],[Tech Start Date]]&lt;1/1/1990,"",IF(Main[[#This Row],[Class]]="C",WORKDAY(Main[[#This Row],[Tech Start Date]],9),IF(Main[[#This Row],[Class]]="B", WORKDAY(Main[[#This Row],[Tech Start Date]],6),IF(Main[[#This Row],[Class]]="A",WORKDAY(Main[[#This Row],[Tech Start Date]],2),""))))</f>
        <v/>
      </c>
      <c r="N996" s="114" t="str">
        <f>IF(Main[[#This Row],[Tech Start Date]]&lt;1/1/1990,"",IF(Main[[#This Row],[Class]]="C",WORKDAY(Main[[#This Row],[Tech Start Date]],19),IF(Main[[#This Row],[Class]]="B", WORKDAY(Main[[#This Row],[Tech Start Date]],12),IF(Main[[#This Row],[Class]]="A",WORKDAY(Main[[#This Row],[Tech Start Date]],4),""))))</f>
        <v/>
      </c>
      <c r="O996" s="114" t="str">
        <f>IF(Main[[#This Row],[Tech Start Date]]&lt;1/1/1990,"",IF(Main[[#This Row],[Class]]="C",WORKDAY(Main[[#This Row],[Tech Start Date]],23),IF(Main[[#This Row],[Class]]="B", WORKDAY(Main[[#This Row],[Tech Start Date]],15),IF(Main[[#This Row],[Class]]="A",WORKDAY(Main[[#This Row],[Tech Start Date]],5),""))))</f>
        <v/>
      </c>
      <c r="P996" s="114" t="str">
        <f>IF(Main[[#This Row],[Tech Start Date]]&lt;1/1/1990,"",IF(Main[[#This Row],[Class]]="C",WORKDAY(Main[[#This Row],[Tech Start Date]],28),IF(Main[[#This Row],[Class]]="B", WORKDAY(Main[[#This Row],[Tech Start Date]],19),IF(Main[[#This Row],[Class]]="A",WORKDAY(Main[[#This Row],[Tech Start Date]],9),""))))</f>
        <v/>
      </c>
      <c r="Q996" s="129"/>
      <c r="R996" s="129"/>
      <c r="S996" s="139" t="s">
        <v>6</v>
      </c>
      <c r="T996" s="115" t="s">
        <v>4</v>
      </c>
      <c r="U996" s="139" t="s">
        <v>14</v>
      </c>
      <c r="V996" s="139" t="s">
        <v>1917</v>
      </c>
      <c r="W996" s="139" t="s">
        <v>1918</v>
      </c>
      <c r="X996" s="139" t="s">
        <v>2866</v>
      </c>
      <c r="Y996" s="112" t="s">
        <v>3000</v>
      </c>
      <c r="Z996" s="112" t="s">
        <v>44</v>
      </c>
      <c r="AA996" s="139" t="s">
        <v>2866</v>
      </c>
    </row>
    <row r="997" spans="1:27" ht="17.25" customHeight="1">
      <c r="A997" s="69" t="str">
        <f>IF(priority(Main[[#This Row],[Comments]])&lt;&gt;0, priority(Main[[#This Row],[Comments]]),"")</f>
        <v/>
      </c>
      <c r="B997" s="63" t="s">
        <v>1799</v>
      </c>
      <c r="C997" s="148" t="s">
        <v>493</v>
      </c>
      <c r="D997" s="113" t="s">
        <v>843</v>
      </c>
      <c r="E997" s="129"/>
      <c r="F997" s="129"/>
      <c r="G997" s="69" t="str">
        <f>IF(stdProdLT(Main[[#This Row],[Comments]])=0.1,"N/A",IF(stdProdLT(Main[[#This Row],[Comments]])=0,"",stdProdLT(Main[[#This Row],[Comments]])))</f>
        <v/>
      </c>
      <c r="H997" s="138" t="str">
        <f>IF(Main[[#This Row],[In Stock Date]]="N/A", "N/A",IF(AND(Main[[#This Row],[In Stock Date]]&lt;&gt;"",Main[[#This Row],[Revised Due Date]]&lt;&gt;"",Main[[#This Row],[In Stock Date]]&lt;&gt;""),Main[[#This Row],[In Stock Date]]-Main[[#This Row],[Revised Due Date]],""))</f>
        <v/>
      </c>
      <c r="I997" s="139" t="s">
        <v>4</v>
      </c>
      <c r="J997" s="139" t="s">
        <v>4</v>
      </c>
      <c r="K997" s="139" t="s">
        <v>4</v>
      </c>
      <c r="L997" s="129"/>
      <c r="M997" s="114" t="str">
        <f>IF(Main[[#This Row],[Tech Start Date]]&lt;1/1/1990,"",IF(Main[[#This Row],[Class]]="C",WORKDAY(Main[[#This Row],[Tech Start Date]],9),IF(Main[[#This Row],[Class]]="B", WORKDAY(Main[[#This Row],[Tech Start Date]],6),IF(Main[[#This Row],[Class]]="A",WORKDAY(Main[[#This Row],[Tech Start Date]],2),""))))</f>
        <v/>
      </c>
      <c r="N997" s="114" t="str">
        <f>IF(Main[[#This Row],[Tech Start Date]]&lt;1/1/1990,"",IF(Main[[#This Row],[Class]]="C",WORKDAY(Main[[#This Row],[Tech Start Date]],19),IF(Main[[#This Row],[Class]]="B", WORKDAY(Main[[#This Row],[Tech Start Date]],12),IF(Main[[#This Row],[Class]]="A",WORKDAY(Main[[#This Row],[Tech Start Date]],4),""))))</f>
        <v/>
      </c>
      <c r="O997" s="114" t="str">
        <f>IF(Main[[#This Row],[Tech Start Date]]&lt;1/1/1990,"",IF(Main[[#This Row],[Class]]="C",WORKDAY(Main[[#This Row],[Tech Start Date]],23),IF(Main[[#This Row],[Class]]="B", WORKDAY(Main[[#This Row],[Tech Start Date]],15),IF(Main[[#This Row],[Class]]="A",WORKDAY(Main[[#This Row],[Tech Start Date]],5),""))))</f>
        <v/>
      </c>
      <c r="P997" s="114" t="str">
        <f>IF(Main[[#This Row],[Tech Start Date]]&lt;1/1/1990,"",IF(Main[[#This Row],[Class]]="C",WORKDAY(Main[[#This Row],[Tech Start Date]],28),IF(Main[[#This Row],[Class]]="B", WORKDAY(Main[[#This Row],[Tech Start Date]],19),IF(Main[[#This Row],[Class]]="A",WORKDAY(Main[[#This Row],[Tech Start Date]],9),""))))</f>
        <v/>
      </c>
      <c r="Q997" s="129">
        <v>40239</v>
      </c>
      <c r="R997" s="129"/>
      <c r="S997" s="139" t="s">
        <v>11</v>
      </c>
      <c r="T997" s="115" t="s">
        <v>4</v>
      </c>
      <c r="U997" s="139" t="s">
        <v>14</v>
      </c>
      <c r="V997" s="139" t="s">
        <v>1917</v>
      </c>
      <c r="W997" s="139" t="s">
        <v>1916</v>
      </c>
      <c r="X997" s="139" t="s">
        <v>2896</v>
      </c>
      <c r="Y997" s="112" t="s">
        <v>4</v>
      </c>
      <c r="Z997" s="112" t="s">
        <v>4</v>
      </c>
      <c r="AA997" s="139" t="s">
        <v>2896</v>
      </c>
    </row>
    <row r="998" spans="1:27" ht="17.25" customHeight="1">
      <c r="A998" s="69" t="str">
        <f>IF(priority(Main[[#This Row],[Comments]])&lt;&gt;0, priority(Main[[#This Row],[Comments]]),"")</f>
        <v/>
      </c>
      <c r="B998" s="63" t="s">
        <v>2552</v>
      </c>
      <c r="C998" s="148" t="s">
        <v>4</v>
      </c>
      <c r="D998" s="113" t="s">
        <v>2553</v>
      </c>
      <c r="E998" s="129">
        <v>40861.17015046296</v>
      </c>
      <c r="F998" s="129"/>
      <c r="G998" s="69" t="str">
        <f>IF(stdProdLT(Main[[#This Row],[Comments]])=0.1,"N/A",IF(stdProdLT(Main[[#This Row],[Comments]])=0,"",stdProdLT(Main[[#This Row],[Comments]])))</f>
        <v/>
      </c>
      <c r="H998" s="138" t="str">
        <f>IF(Main[[#This Row],[In Stock Date]]="N/A", "N/A",IF(AND(Main[[#This Row],[In Stock Date]]&lt;&gt;"",Main[[#This Row],[Revised Due Date]]&lt;&gt;"",Main[[#This Row],[In Stock Date]]&lt;&gt;""),Main[[#This Row],[In Stock Date]]-Main[[#This Row],[Revised Due Date]],""))</f>
        <v/>
      </c>
      <c r="I998" s="139" t="s">
        <v>69</v>
      </c>
      <c r="J998" s="139" t="s">
        <v>70</v>
      </c>
      <c r="K998" s="139" t="s">
        <v>1923</v>
      </c>
      <c r="L998" s="129"/>
      <c r="M998" s="114" t="str">
        <f>IF(Main[[#This Row],[Tech Start Date]]&lt;1/1/1990,"",IF(Main[[#This Row],[Class]]="C",WORKDAY(Main[[#This Row],[Tech Start Date]],9),IF(Main[[#This Row],[Class]]="B", WORKDAY(Main[[#This Row],[Tech Start Date]],6),IF(Main[[#This Row],[Class]]="A",WORKDAY(Main[[#This Row],[Tech Start Date]],2),""))))</f>
        <v/>
      </c>
      <c r="N998" s="114" t="str">
        <f>IF(Main[[#This Row],[Tech Start Date]]&lt;1/1/1990,"",IF(Main[[#This Row],[Class]]="C",WORKDAY(Main[[#This Row],[Tech Start Date]],19),IF(Main[[#This Row],[Class]]="B", WORKDAY(Main[[#This Row],[Tech Start Date]],12),IF(Main[[#This Row],[Class]]="A",WORKDAY(Main[[#This Row],[Tech Start Date]],4),""))))</f>
        <v/>
      </c>
      <c r="O998" s="114" t="str">
        <f>IF(Main[[#This Row],[Tech Start Date]]&lt;1/1/1990,"",IF(Main[[#This Row],[Class]]="C",WORKDAY(Main[[#This Row],[Tech Start Date]],23),IF(Main[[#This Row],[Class]]="B", WORKDAY(Main[[#This Row],[Tech Start Date]],15),IF(Main[[#This Row],[Class]]="A",WORKDAY(Main[[#This Row],[Tech Start Date]],5),""))))</f>
        <v/>
      </c>
      <c r="P998" s="114" t="str">
        <f>IF(Main[[#This Row],[Tech Start Date]]&lt;1/1/1990,"",IF(Main[[#This Row],[Class]]="C",WORKDAY(Main[[#This Row],[Tech Start Date]],28),IF(Main[[#This Row],[Class]]="B", WORKDAY(Main[[#This Row],[Tech Start Date]],19),IF(Main[[#This Row],[Class]]="A",WORKDAY(Main[[#This Row],[Tech Start Date]],9),""))))</f>
        <v/>
      </c>
      <c r="Q998" s="129">
        <v>40891</v>
      </c>
      <c r="R998" s="129"/>
      <c r="S998" s="139" t="s">
        <v>6</v>
      </c>
      <c r="T998" s="115" t="s">
        <v>4</v>
      </c>
      <c r="U998" s="139" t="s">
        <v>29</v>
      </c>
      <c r="V998" s="139" t="s">
        <v>1917</v>
      </c>
      <c r="W998" s="139" t="s">
        <v>1918</v>
      </c>
      <c r="X998" s="139" t="s">
        <v>2822</v>
      </c>
      <c r="Y998" s="112" t="s">
        <v>2938</v>
      </c>
      <c r="Z998" s="112" t="s">
        <v>30</v>
      </c>
      <c r="AA998" s="139" t="s">
        <v>2822</v>
      </c>
    </row>
    <row r="999" spans="1:27" ht="17.25" customHeight="1">
      <c r="A999" s="69" t="str">
        <f>IF(priority(Main[[#This Row],[Comments]])&lt;&gt;0, priority(Main[[#This Row],[Comments]]),"")</f>
        <v/>
      </c>
      <c r="B999" s="63" t="s">
        <v>1800</v>
      </c>
      <c r="C999" s="148" t="s">
        <v>4</v>
      </c>
      <c r="D999" s="113" t="s">
        <v>844</v>
      </c>
      <c r="E999" s="129"/>
      <c r="F999" s="129"/>
      <c r="G999" s="69" t="str">
        <f>IF(stdProdLT(Main[[#This Row],[Comments]])=0.1,"N/A",IF(stdProdLT(Main[[#This Row],[Comments]])=0,"",stdProdLT(Main[[#This Row],[Comments]])))</f>
        <v/>
      </c>
      <c r="H999" s="138" t="str">
        <f>IF(Main[[#This Row],[In Stock Date]]="N/A", "N/A",IF(AND(Main[[#This Row],[In Stock Date]]&lt;&gt;"",Main[[#This Row],[Revised Due Date]]&lt;&gt;"",Main[[#This Row],[In Stock Date]]&lt;&gt;""),Main[[#This Row],[In Stock Date]]-Main[[#This Row],[Revised Due Date]],""))</f>
        <v/>
      </c>
      <c r="I999" s="139" t="s">
        <v>4</v>
      </c>
      <c r="J999" s="139" t="s">
        <v>4</v>
      </c>
      <c r="K999" s="139" t="s">
        <v>4</v>
      </c>
      <c r="L999" s="129"/>
      <c r="M999" s="114" t="str">
        <f>IF(Main[[#This Row],[Tech Start Date]]&lt;1/1/1990,"",IF(Main[[#This Row],[Class]]="C",WORKDAY(Main[[#This Row],[Tech Start Date]],9),IF(Main[[#This Row],[Class]]="B", WORKDAY(Main[[#This Row],[Tech Start Date]],6),IF(Main[[#This Row],[Class]]="A",WORKDAY(Main[[#This Row],[Tech Start Date]],2),""))))</f>
        <v/>
      </c>
      <c r="N999" s="114" t="str">
        <f>IF(Main[[#This Row],[Tech Start Date]]&lt;1/1/1990,"",IF(Main[[#This Row],[Class]]="C",WORKDAY(Main[[#This Row],[Tech Start Date]],19),IF(Main[[#This Row],[Class]]="B", WORKDAY(Main[[#This Row],[Tech Start Date]],12),IF(Main[[#This Row],[Class]]="A",WORKDAY(Main[[#This Row],[Tech Start Date]],4),""))))</f>
        <v/>
      </c>
      <c r="O999" s="114" t="str">
        <f>IF(Main[[#This Row],[Tech Start Date]]&lt;1/1/1990,"",IF(Main[[#This Row],[Class]]="C",WORKDAY(Main[[#This Row],[Tech Start Date]],23),IF(Main[[#This Row],[Class]]="B", WORKDAY(Main[[#This Row],[Tech Start Date]],15),IF(Main[[#This Row],[Class]]="A",WORKDAY(Main[[#This Row],[Tech Start Date]],5),""))))</f>
        <v/>
      </c>
      <c r="P999" s="114" t="str">
        <f>IF(Main[[#This Row],[Tech Start Date]]&lt;1/1/1990,"",IF(Main[[#This Row],[Class]]="C",WORKDAY(Main[[#This Row],[Tech Start Date]],28),IF(Main[[#This Row],[Class]]="B", WORKDAY(Main[[#This Row],[Tech Start Date]],19),IF(Main[[#This Row],[Class]]="A",WORKDAY(Main[[#This Row],[Tech Start Date]],9),""))))</f>
        <v/>
      </c>
      <c r="Q999" s="129">
        <v>40349</v>
      </c>
      <c r="R999" s="129"/>
      <c r="S999" s="139" t="s">
        <v>6</v>
      </c>
      <c r="T999" s="115" t="s">
        <v>4</v>
      </c>
      <c r="U999" s="139" t="s">
        <v>14</v>
      </c>
      <c r="V999" s="139" t="s">
        <v>1917</v>
      </c>
      <c r="W999" s="139" t="s">
        <v>4</v>
      </c>
      <c r="X999" s="139" t="s">
        <v>2819</v>
      </c>
      <c r="Y999" s="112" t="s">
        <v>2932</v>
      </c>
      <c r="Z999" s="112" t="s">
        <v>4</v>
      </c>
      <c r="AA999" s="139" t="s">
        <v>2819</v>
      </c>
    </row>
    <row r="1000" spans="1:27" ht="17.25" customHeight="1">
      <c r="A1000" s="69" t="str">
        <f>IF(priority(Main[[#This Row],[Comments]])&lt;&gt;0, priority(Main[[#This Row],[Comments]]),"")</f>
        <v/>
      </c>
      <c r="B1000" s="63" t="s">
        <v>2197</v>
      </c>
      <c r="C1000" s="148" t="s">
        <v>4</v>
      </c>
      <c r="D1000" s="113" t="s">
        <v>2198</v>
      </c>
      <c r="E1000" s="129"/>
      <c r="F1000" s="129"/>
      <c r="G1000" s="69" t="str">
        <f>IF(stdProdLT(Main[[#This Row],[Comments]])=0.1,"N/A",IF(stdProdLT(Main[[#This Row],[Comments]])=0,"",stdProdLT(Main[[#This Row],[Comments]])))</f>
        <v/>
      </c>
      <c r="H1000" s="138" t="str">
        <f>IF(Main[[#This Row],[In Stock Date]]="N/A", "N/A",IF(AND(Main[[#This Row],[In Stock Date]]&lt;&gt;"",Main[[#This Row],[Revised Due Date]]&lt;&gt;"",Main[[#This Row],[In Stock Date]]&lt;&gt;""),Main[[#This Row],[In Stock Date]]-Main[[#This Row],[Revised Due Date]],""))</f>
        <v/>
      </c>
      <c r="I1000" s="139" t="s">
        <v>4</v>
      </c>
      <c r="J1000" s="139" t="s">
        <v>4</v>
      </c>
      <c r="K1000" s="139" t="s">
        <v>4</v>
      </c>
      <c r="L1000" s="129"/>
      <c r="M1000" s="114" t="str">
        <f>IF(Main[[#This Row],[Tech Start Date]]&lt;1/1/1990,"",IF(Main[[#This Row],[Class]]="C",WORKDAY(Main[[#This Row],[Tech Start Date]],9),IF(Main[[#This Row],[Class]]="B", WORKDAY(Main[[#This Row],[Tech Start Date]],6),IF(Main[[#This Row],[Class]]="A",WORKDAY(Main[[#This Row],[Tech Start Date]],2),""))))</f>
        <v/>
      </c>
      <c r="N1000" s="114" t="str">
        <f>IF(Main[[#This Row],[Tech Start Date]]&lt;1/1/1990,"",IF(Main[[#This Row],[Class]]="C",WORKDAY(Main[[#This Row],[Tech Start Date]],19),IF(Main[[#This Row],[Class]]="B", WORKDAY(Main[[#This Row],[Tech Start Date]],12),IF(Main[[#This Row],[Class]]="A",WORKDAY(Main[[#This Row],[Tech Start Date]],4),""))))</f>
        <v/>
      </c>
      <c r="O1000" s="114" t="str">
        <f>IF(Main[[#This Row],[Tech Start Date]]&lt;1/1/1990,"",IF(Main[[#This Row],[Class]]="C",WORKDAY(Main[[#This Row],[Tech Start Date]],23),IF(Main[[#This Row],[Class]]="B", WORKDAY(Main[[#This Row],[Tech Start Date]],15),IF(Main[[#This Row],[Class]]="A",WORKDAY(Main[[#This Row],[Tech Start Date]],5),""))))</f>
        <v/>
      </c>
      <c r="P1000" s="114" t="str">
        <f>IF(Main[[#This Row],[Tech Start Date]]&lt;1/1/1990,"",IF(Main[[#This Row],[Class]]="C",WORKDAY(Main[[#This Row],[Tech Start Date]],28),IF(Main[[#This Row],[Class]]="B", WORKDAY(Main[[#This Row],[Tech Start Date]],19),IF(Main[[#This Row],[Class]]="A",WORKDAY(Main[[#This Row],[Tech Start Date]],9),""))))</f>
        <v/>
      </c>
      <c r="Q1000" s="129"/>
      <c r="R1000" s="129"/>
      <c r="S1000" s="139" t="s">
        <v>6</v>
      </c>
      <c r="T1000" s="115" t="s">
        <v>4</v>
      </c>
      <c r="U1000" s="139" t="s">
        <v>14</v>
      </c>
      <c r="V1000" s="139" t="s">
        <v>1915</v>
      </c>
      <c r="W1000" s="139" t="s">
        <v>4</v>
      </c>
      <c r="X1000" s="139" t="s">
        <v>306</v>
      </c>
      <c r="Y1000" s="112" t="s">
        <v>4</v>
      </c>
      <c r="Z1000" s="112" t="s">
        <v>4</v>
      </c>
      <c r="AA1000" s="139" t="s">
        <v>4</v>
      </c>
    </row>
    <row r="1001" spans="1:27" ht="17.25" customHeight="1">
      <c r="A1001" s="69" t="str">
        <f>IF(priority(Main[[#This Row],[Comments]])&lt;&gt;0, priority(Main[[#This Row],[Comments]]),"")</f>
        <v/>
      </c>
      <c r="B1001" s="63" t="s">
        <v>1802</v>
      </c>
      <c r="C1001" s="148" t="s">
        <v>47</v>
      </c>
      <c r="D1001" s="113" t="s">
        <v>849</v>
      </c>
      <c r="E1001" s="129"/>
      <c r="F1001" s="129"/>
      <c r="G1001" s="69" t="str">
        <f>IF(stdProdLT(Main[[#This Row],[Comments]])=0.1,"N/A",IF(stdProdLT(Main[[#This Row],[Comments]])=0,"",stdProdLT(Main[[#This Row],[Comments]])))</f>
        <v/>
      </c>
      <c r="H1001" s="138" t="str">
        <f>IF(Main[[#This Row],[In Stock Date]]="N/A", "N/A",IF(AND(Main[[#This Row],[In Stock Date]]&lt;&gt;"",Main[[#This Row],[Revised Due Date]]&lt;&gt;"",Main[[#This Row],[In Stock Date]]&lt;&gt;""),Main[[#This Row],[In Stock Date]]-Main[[#This Row],[Revised Due Date]],""))</f>
        <v/>
      </c>
      <c r="I1001" s="139" t="s">
        <v>4</v>
      </c>
      <c r="J1001" s="139" t="s">
        <v>4</v>
      </c>
      <c r="K1001" s="139" t="s">
        <v>4</v>
      </c>
      <c r="L1001" s="129"/>
      <c r="M1001" s="114" t="str">
        <f>IF(Main[[#This Row],[Tech Start Date]]&lt;1/1/1990,"",IF(Main[[#This Row],[Class]]="C",WORKDAY(Main[[#This Row],[Tech Start Date]],9),IF(Main[[#This Row],[Class]]="B", WORKDAY(Main[[#This Row],[Tech Start Date]],6),IF(Main[[#This Row],[Class]]="A",WORKDAY(Main[[#This Row],[Tech Start Date]],2),""))))</f>
        <v/>
      </c>
      <c r="N1001" s="114" t="str">
        <f>IF(Main[[#This Row],[Tech Start Date]]&lt;1/1/1990,"",IF(Main[[#This Row],[Class]]="C",WORKDAY(Main[[#This Row],[Tech Start Date]],19),IF(Main[[#This Row],[Class]]="B", WORKDAY(Main[[#This Row],[Tech Start Date]],12),IF(Main[[#This Row],[Class]]="A",WORKDAY(Main[[#This Row],[Tech Start Date]],4),""))))</f>
        <v/>
      </c>
      <c r="O1001" s="114" t="str">
        <f>IF(Main[[#This Row],[Tech Start Date]]&lt;1/1/1990,"",IF(Main[[#This Row],[Class]]="C",WORKDAY(Main[[#This Row],[Tech Start Date]],23),IF(Main[[#This Row],[Class]]="B", WORKDAY(Main[[#This Row],[Tech Start Date]],15),IF(Main[[#This Row],[Class]]="A",WORKDAY(Main[[#This Row],[Tech Start Date]],5),""))))</f>
        <v/>
      </c>
      <c r="P1001" s="114" t="str">
        <f>IF(Main[[#This Row],[Tech Start Date]]&lt;1/1/1990,"",IF(Main[[#This Row],[Class]]="C",WORKDAY(Main[[#This Row],[Tech Start Date]],28),IF(Main[[#This Row],[Class]]="B", WORKDAY(Main[[#This Row],[Tech Start Date]],19),IF(Main[[#This Row],[Class]]="A",WORKDAY(Main[[#This Row],[Tech Start Date]],9),""))))</f>
        <v/>
      </c>
      <c r="Q1001" s="129"/>
      <c r="R1001" s="129"/>
      <c r="S1001" s="139" t="s">
        <v>17</v>
      </c>
      <c r="T1001" s="115" t="s">
        <v>4</v>
      </c>
      <c r="U1001" s="139" t="s">
        <v>14</v>
      </c>
      <c r="V1001" s="139" t="s">
        <v>1917</v>
      </c>
      <c r="W1001" s="139" t="s">
        <v>1919</v>
      </c>
      <c r="X1001" s="139" t="s">
        <v>2827</v>
      </c>
      <c r="Y1001" s="112" t="s">
        <v>3110</v>
      </c>
      <c r="Z1001" s="112" t="s">
        <v>4</v>
      </c>
      <c r="AA1001" s="139" t="s">
        <v>2827</v>
      </c>
    </row>
    <row r="1002" spans="1:27" ht="17.25" customHeight="1">
      <c r="A1002" s="69" t="str">
        <f>IF(priority(Main[[#This Row],[Comments]])&lt;&gt;0, priority(Main[[#This Row],[Comments]]),"")</f>
        <v/>
      </c>
      <c r="B1002" s="63" t="s">
        <v>1727</v>
      </c>
      <c r="C1002" s="148" t="s">
        <v>4</v>
      </c>
      <c r="D1002" s="113" t="s">
        <v>783</v>
      </c>
      <c r="E1002" s="129">
        <v>40584.407268518517</v>
      </c>
      <c r="F1002" s="129"/>
      <c r="G1002" s="69" t="str">
        <f>IF(stdProdLT(Main[[#This Row],[Comments]])=0.1,"N/A",IF(stdProdLT(Main[[#This Row],[Comments]])=0,"",stdProdLT(Main[[#This Row],[Comments]])))</f>
        <v/>
      </c>
      <c r="H1002" s="138" t="str">
        <f>IF(Main[[#This Row],[In Stock Date]]="N/A", "N/A",IF(AND(Main[[#This Row],[In Stock Date]]&lt;&gt;"",Main[[#This Row],[Revised Due Date]]&lt;&gt;"",Main[[#This Row],[In Stock Date]]&lt;&gt;""),Main[[#This Row],[In Stock Date]]-Main[[#This Row],[Revised Due Date]],""))</f>
        <v/>
      </c>
      <c r="I1002" s="139" t="s">
        <v>4</v>
      </c>
      <c r="J1002" s="139" t="s">
        <v>4</v>
      </c>
      <c r="K1002" s="139" t="s">
        <v>4</v>
      </c>
      <c r="L1002" s="129"/>
      <c r="M1002" s="114" t="str">
        <f>IF(Main[[#This Row],[Tech Start Date]]&lt;1/1/1990,"",IF(Main[[#This Row],[Class]]="C",WORKDAY(Main[[#This Row],[Tech Start Date]],9),IF(Main[[#This Row],[Class]]="B", WORKDAY(Main[[#This Row],[Tech Start Date]],6),IF(Main[[#This Row],[Class]]="A",WORKDAY(Main[[#This Row],[Tech Start Date]],2),""))))</f>
        <v/>
      </c>
      <c r="N1002" s="114" t="str">
        <f>IF(Main[[#This Row],[Tech Start Date]]&lt;1/1/1990,"",IF(Main[[#This Row],[Class]]="C",WORKDAY(Main[[#This Row],[Tech Start Date]],19),IF(Main[[#This Row],[Class]]="B", WORKDAY(Main[[#This Row],[Tech Start Date]],12),IF(Main[[#This Row],[Class]]="A",WORKDAY(Main[[#This Row],[Tech Start Date]],4),""))))</f>
        <v/>
      </c>
      <c r="O1002" s="114" t="str">
        <f>IF(Main[[#This Row],[Tech Start Date]]&lt;1/1/1990,"",IF(Main[[#This Row],[Class]]="C",WORKDAY(Main[[#This Row],[Tech Start Date]],23),IF(Main[[#This Row],[Class]]="B", WORKDAY(Main[[#This Row],[Tech Start Date]],15),IF(Main[[#This Row],[Class]]="A",WORKDAY(Main[[#This Row],[Tech Start Date]],5),""))))</f>
        <v/>
      </c>
      <c r="P1002" s="114" t="str">
        <f>IF(Main[[#This Row],[Tech Start Date]]&lt;1/1/1990,"",IF(Main[[#This Row],[Class]]="C",WORKDAY(Main[[#This Row],[Tech Start Date]],28),IF(Main[[#This Row],[Class]]="B", WORKDAY(Main[[#This Row],[Tech Start Date]],19),IF(Main[[#This Row],[Class]]="A",WORKDAY(Main[[#This Row],[Tech Start Date]],9),""))))</f>
        <v/>
      </c>
      <c r="Q1002" s="129">
        <v>40602</v>
      </c>
      <c r="R1002" s="129"/>
      <c r="S1002" s="139" t="s">
        <v>17</v>
      </c>
      <c r="T1002" s="115" t="s">
        <v>4</v>
      </c>
      <c r="U1002" s="139" t="s">
        <v>7</v>
      </c>
      <c r="V1002" s="139" t="s">
        <v>1914</v>
      </c>
      <c r="W1002" s="139" t="s">
        <v>1922</v>
      </c>
      <c r="X1002" s="139" t="s">
        <v>2828</v>
      </c>
      <c r="Y1002" s="112" t="s">
        <v>2950</v>
      </c>
      <c r="Z1002" s="112" t="s">
        <v>4</v>
      </c>
      <c r="AA1002" s="139" t="s">
        <v>2828</v>
      </c>
    </row>
    <row r="1003" spans="1:27" ht="17.25" customHeight="1">
      <c r="A1003" s="69" t="str">
        <f>IF(priority(Main[[#This Row],[Comments]])&lt;&gt;0, priority(Main[[#This Row],[Comments]]),"")</f>
        <v/>
      </c>
      <c r="B1003" s="63" t="s">
        <v>1785</v>
      </c>
      <c r="C1003" s="148" t="s">
        <v>4</v>
      </c>
      <c r="D1003" s="113" t="s">
        <v>829</v>
      </c>
      <c r="E1003" s="129"/>
      <c r="F1003" s="129"/>
      <c r="G1003" s="69" t="str">
        <f>IF(stdProdLT(Main[[#This Row],[Comments]])=0.1,"N/A",IF(stdProdLT(Main[[#This Row],[Comments]])=0,"",stdProdLT(Main[[#This Row],[Comments]])))</f>
        <v/>
      </c>
      <c r="H1003" s="138" t="str">
        <f>IF(Main[[#This Row],[In Stock Date]]="N/A", "N/A",IF(AND(Main[[#This Row],[In Stock Date]]&lt;&gt;"",Main[[#This Row],[Revised Due Date]]&lt;&gt;"",Main[[#This Row],[In Stock Date]]&lt;&gt;""),Main[[#This Row],[In Stock Date]]-Main[[#This Row],[Revised Due Date]],""))</f>
        <v/>
      </c>
      <c r="I1003" s="139" t="s">
        <v>4</v>
      </c>
      <c r="J1003" s="139" t="s">
        <v>4</v>
      </c>
      <c r="K1003" s="139" t="s">
        <v>4</v>
      </c>
      <c r="L1003" s="129"/>
      <c r="M1003" s="114" t="str">
        <f>IF(Main[[#This Row],[Tech Start Date]]&lt;1/1/1990,"",IF(Main[[#This Row],[Class]]="C",WORKDAY(Main[[#This Row],[Tech Start Date]],9),IF(Main[[#This Row],[Class]]="B", WORKDAY(Main[[#This Row],[Tech Start Date]],6),IF(Main[[#This Row],[Class]]="A",WORKDAY(Main[[#This Row],[Tech Start Date]],2),""))))</f>
        <v/>
      </c>
      <c r="N1003" s="114" t="str">
        <f>IF(Main[[#This Row],[Tech Start Date]]&lt;1/1/1990,"",IF(Main[[#This Row],[Class]]="C",WORKDAY(Main[[#This Row],[Tech Start Date]],19),IF(Main[[#This Row],[Class]]="B", WORKDAY(Main[[#This Row],[Tech Start Date]],12),IF(Main[[#This Row],[Class]]="A",WORKDAY(Main[[#This Row],[Tech Start Date]],4),""))))</f>
        <v/>
      </c>
      <c r="O1003" s="114" t="str">
        <f>IF(Main[[#This Row],[Tech Start Date]]&lt;1/1/1990,"",IF(Main[[#This Row],[Class]]="C",WORKDAY(Main[[#This Row],[Tech Start Date]],23),IF(Main[[#This Row],[Class]]="B", WORKDAY(Main[[#This Row],[Tech Start Date]],15),IF(Main[[#This Row],[Class]]="A",WORKDAY(Main[[#This Row],[Tech Start Date]],5),""))))</f>
        <v/>
      </c>
      <c r="P1003" s="114" t="str">
        <f>IF(Main[[#This Row],[Tech Start Date]]&lt;1/1/1990,"",IF(Main[[#This Row],[Class]]="C",WORKDAY(Main[[#This Row],[Tech Start Date]],28),IF(Main[[#This Row],[Class]]="B", WORKDAY(Main[[#This Row],[Tech Start Date]],19),IF(Main[[#This Row],[Class]]="A",WORKDAY(Main[[#This Row],[Tech Start Date]],9),""))))</f>
        <v/>
      </c>
      <c r="Q1003" s="129"/>
      <c r="R1003" s="129"/>
      <c r="S1003" s="139" t="s">
        <v>23</v>
      </c>
      <c r="T1003" s="115" t="s">
        <v>4</v>
      </c>
      <c r="U1003" s="139" t="s">
        <v>14</v>
      </c>
      <c r="V1003" s="139" t="s">
        <v>1914</v>
      </c>
      <c r="W1003" s="139" t="s">
        <v>1918</v>
      </c>
      <c r="X1003" s="139" t="s">
        <v>306</v>
      </c>
      <c r="Y1003" s="112" t="s">
        <v>4</v>
      </c>
      <c r="Z1003" s="112" t="s">
        <v>4</v>
      </c>
      <c r="AA1003" s="139" t="s">
        <v>3442</v>
      </c>
    </row>
    <row r="1004" spans="1:27" ht="17.25" customHeight="1">
      <c r="A1004" s="69" t="str">
        <f>IF(priority(Main[[#This Row],[Comments]])&lt;&gt;0, priority(Main[[#This Row],[Comments]]),"")</f>
        <v/>
      </c>
      <c r="B1004" s="63" t="s">
        <v>1804</v>
      </c>
      <c r="C1004" s="148" t="s">
        <v>95</v>
      </c>
      <c r="D1004" s="113" t="s">
        <v>851</v>
      </c>
      <c r="E1004" s="129">
        <v>40060.34884259259</v>
      </c>
      <c r="F1004" s="129">
        <v>40195</v>
      </c>
      <c r="G1004" s="69" t="str">
        <f>IF(stdProdLT(Main[[#This Row],[Comments]])=0.1,"N/A",IF(stdProdLT(Main[[#This Row],[Comments]])=0,"",stdProdLT(Main[[#This Row],[Comments]])))</f>
        <v/>
      </c>
      <c r="H1004" s="138">
        <f>IF(Main[[#This Row],[In Stock Date]]="N/A", "N/A",IF(AND(Main[[#This Row],[In Stock Date]]&lt;&gt;"",Main[[#This Row],[Revised Due Date]]&lt;&gt;"",Main[[#This Row],[In Stock Date]]&lt;&gt;""),Main[[#This Row],[In Stock Date]]-Main[[#This Row],[Revised Due Date]],""))</f>
        <v>17</v>
      </c>
      <c r="I1004" s="139" t="s">
        <v>852</v>
      </c>
      <c r="J1004" s="139" t="s">
        <v>4</v>
      </c>
      <c r="K1004" s="139" t="s">
        <v>4</v>
      </c>
      <c r="L1004" s="129"/>
      <c r="M1004" s="114" t="str">
        <f>IF(Main[[#This Row],[Tech Start Date]]&lt;1/1/1990,"",IF(Main[[#This Row],[Class]]="C",WORKDAY(Main[[#This Row],[Tech Start Date]],9),IF(Main[[#This Row],[Class]]="B", WORKDAY(Main[[#This Row],[Tech Start Date]],6),IF(Main[[#This Row],[Class]]="A",WORKDAY(Main[[#This Row],[Tech Start Date]],2),""))))</f>
        <v/>
      </c>
      <c r="N1004" s="114" t="str">
        <f>IF(Main[[#This Row],[Tech Start Date]]&lt;1/1/1990,"",IF(Main[[#This Row],[Class]]="C",WORKDAY(Main[[#This Row],[Tech Start Date]],19),IF(Main[[#This Row],[Class]]="B", WORKDAY(Main[[#This Row],[Tech Start Date]],12),IF(Main[[#This Row],[Class]]="A",WORKDAY(Main[[#This Row],[Tech Start Date]],4),""))))</f>
        <v/>
      </c>
      <c r="O1004" s="114" t="str">
        <f>IF(Main[[#This Row],[Tech Start Date]]&lt;1/1/1990,"",IF(Main[[#This Row],[Class]]="C",WORKDAY(Main[[#This Row],[Tech Start Date]],23),IF(Main[[#This Row],[Class]]="B", WORKDAY(Main[[#This Row],[Tech Start Date]],15),IF(Main[[#This Row],[Class]]="A",WORKDAY(Main[[#This Row],[Tech Start Date]],5),""))))</f>
        <v/>
      </c>
      <c r="P1004" s="114" t="str">
        <f>IF(Main[[#This Row],[Tech Start Date]]&lt;1/1/1990,"",IF(Main[[#This Row],[Class]]="C",WORKDAY(Main[[#This Row],[Tech Start Date]],28),IF(Main[[#This Row],[Class]]="B", WORKDAY(Main[[#This Row],[Tech Start Date]],19),IF(Main[[#This Row],[Class]]="A",WORKDAY(Main[[#This Row],[Tech Start Date]],9),""))))</f>
        <v/>
      </c>
      <c r="Q1004" s="129">
        <v>40080</v>
      </c>
      <c r="R1004" s="129">
        <v>40178</v>
      </c>
      <c r="S1004" s="139" t="s">
        <v>17</v>
      </c>
      <c r="T1004" s="115" t="s">
        <v>4</v>
      </c>
      <c r="U1004" s="139" t="s">
        <v>29</v>
      </c>
      <c r="V1004" s="139" t="s">
        <v>1917</v>
      </c>
      <c r="W1004" s="139" t="s">
        <v>1922</v>
      </c>
      <c r="X1004" s="139" t="s">
        <v>2876</v>
      </c>
      <c r="Y1004" s="112" t="s">
        <v>4</v>
      </c>
      <c r="Z1004" s="112" t="s">
        <v>81</v>
      </c>
      <c r="AA1004" s="139" t="s">
        <v>3406</v>
      </c>
    </row>
    <row r="1005" spans="1:27" ht="17.25" customHeight="1">
      <c r="A1005" s="69" t="str">
        <f>IF(priority(Main[[#This Row],[Comments]])&lt;&gt;0, priority(Main[[#This Row],[Comments]]),"")</f>
        <v/>
      </c>
      <c r="B1005" s="63" t="s">
        <v>3175</v>
      </c>
      <c r="C1005" s="148" t="s">
        <v>4</v>
      </c>
      <c r="D1005" s="113" t="s">
        <v>3258</v>
      </c>
      <c r="E1005" s="129">
        <v>40919.388969907406</v>
      </c>
      <c r="F1005" s="129"/>
      <c r="G1005" s="69" t="str">
        <f>IF(stdProdLT(Main[[#This Row],[Comments]])=0.1,"N/A",IF(stdProdLT(Main[[#This Row],[Comments]])=0,"",stdProdLT(Main[[#This Row],[Comments]])))</f>
        <v/>
      </c>
      <c r="H1005" s="138" t="str">
        <f>IF(Main[[#This Row],[In Stock Date]]="N/A", "N/A",IF(AND(Main[[#This Row],[In Stock Date]]&lt;&gt;"",Main[[#This Row],[Revised Due Date]]&lt;&gt;"",Main[[#This Row],[In Stock Date]]&lt;&gt;""),Main[[#This Row],[In Stock Date]]-Main[[#This Row],[Revised Due Date]],""))</f>
        <v/>
      </c>
      <c r="I1005" s="139" t="s">
        <v>30</v>
      </c>
      <c r="J1005" s="139" t="s">
        <v>28</v>
      </c>
      <c r="K1005" s="139" t="s">
        <v>1923</v>
      </c>
      <c r="L1005" s="129"/>
      <c r="M1005" s="114" t="str">
        <f>IF(Main[[#This Row],[Tech Start Date]]&lt;1/1/1990,"",IF(Main[[#This Row],[Class]]="C",WORKDAY(Main[[#This Row],[Tech Start Date]],9),IF(Main[[#This Row],[Class]]="B", WORKDAY(Main[[#This Row],[Tech Start Date]],6),IF(Main[[#This Row],[Class]]="A",WORKDAY(Main[[#This Row],[Tech Start Date]],2),""))))</f>
        <v/>
      </c>
      <c r="N1005" s="114" t="str">
        <f>IF(Main[[#This Row],[Tech Start Date]]&lt;1/1/1990,"",IF(Main[[#This Row],[Class]]="C",WORKDAY(Main[[#This Row],[Tech Start Date]],19),IF(Main[[#This Row],[Class]]="B", WORKDAY(Main[[#This Row],[Tech Start Date]],12),IF(Main[[#This Row],[Class]]="A",WORKDAY(Main[[#This Row],[Tech Start Date]],4),""))))</f>
        <v/>
      </c>
      <c r="O1005" s="114" t="str">
        <f>IF(Main[[#This Row],[Tech Start Date]]&lt;1/1/1990,"",IF(Main[[#This Row],[Class]]="C",WORKDAY(Main[[#This Row],[Tech Start Date]],23),IF(Main[[#This Row],[Class]]="B", WORKDAY(Main[[#This Row],[Tech Start Date]],15),IF(Main[[#This Row],[Class]]="A",WORKDAY(Main[[#This Row],[Tech Start Date]],5),""))))</f>
        <v/>
      </c>
      <c r="P1005" s="114" t="str">
        <f>IF(Main[[#This Row],[Tech Start Date]]&lt;1/1/1990,"",IF(Main[[#This Row],[Class]]="C",WORKDAY(Main[[#This Row],[Tech Start Date]],28),IF(Main[[#This Row],[Class]]="B", WORKDAY(Main[[#This Row],[Tech Start Date]],19),IF(Main[[#This Row],[Class]]="A",WORKDAY(Main[[#This Row],[Tech Start Date]],9),""))))</f>
        <v/>
      </c>
      <c r="Q1005" s="129">
        <v>40928</v>
      </c>
      <c r="R1005" s="129"/>
      <c r="S1005" s="139" t="s">
        <v>6</v>
      </c>
      <c r="T1005" s="115" t="s">
        <v>4</v>
      </c>
      <c r="U1005" s="139" t="s">
        <v>29</v>
      </c>
      <c r="V1005" s="139" t="s">
        <v>1917</v>
      </c>
      <c r="W1005" s="139" t="s">
        <v>1918</v>
      </c>
      <c r="X1005" s="139" t="s">
        <v>2903</v>
      </c>
      <c r="Y1005" s="112" t="s">
        <v>3083</v>
      </c>
      <c r="Z1005" s="112" t="s">
        <v>30</v>
      </c>
      <c r="AA1005" s="139" t="s">
        <v>2903</v>
      </c>
    </row>
    <row r="1006" spans="1:27" ht="17.25" customHeight="1">
      <c r="A1006" s="69" t="str">
        <f>IF(priority(Main[[#This Row],[Comments]])&lt;&gt;0, priority(Main[[#This Row],[Comments]]),"")</f>
        <v/>
      </c>
      <c r="B1006" s="63" t="s">
        <v>2128</v>
      </c>
      <c r="C1006" s="148" t="s">
        <v>951</v>
      </c>
      <c r="D1006" s="113" t="s">
        <v>2129</v>
      </c>
      <c r="E1006" s="129"/>
      <c r="F1006" s="129">
        <v>40871</v>
      </c>
      <c r="G1006" s="69" t="str">
        <f>IF(stdProdLT(Main[[#This Row],[Comments]])=0.1,"N/A",IF(stdProdLT(Main[[#This Row],[Comments]])=0,"",stdProdLT(Main[[#This Row],[Comments]])))</f>
        <v/>
      </c>
      <c r="H1006" s="138" t="str">
        <f>IF(Main[[#This Row],[In Stock Date]]="N/A", "N/A",IF(AND(Main[[#This Row],[In Stock Date]]&lt;&gt;"",Main[[#This Row],[Revised Due Date]]&lt;&gt;"",Main[[#This Row],[In Stock Date]]&lt;&gt;""),Main[[#This Row],[In Stock Date]]-Main[[#This Row],[Revised Due Date]],""))</f>
        <v/>
      </c>
      <c r="I1006" s="139" t="s">
        <v>399</v>
      </c>
      <c r="J1006" s="139" t="s">
        <v>51</v>
      </c>
      <c r="K1006" s="139" t="s">
        <v>1923</v>
      </c>
      <c r="L1006" s="129"/>
      <c r="M1006" s="114" t="str">
        <f>IF(Main[[#This Row],[Tech Start Date]]&lt;1/1/1990,"",IF(Main[[#This Row],[Class]]="C",WORKDAY(Main[[#This Row],[Tech Start Date]],9),IF(Main[[#This Row],[Class]]="B", WORKDAY(Main[[#This Row],[Tech Start Date]],6),IF(Main[[#This Row],[Class]]="A",WORKDAY(Main[[#This Row],[Tech Start Date]],2),""))))</f>
        <v/>
      </c>
      <c r="N1006" s="114" t="str">
        <f>IF(Main[[#This Row],[Tech Start Date]]&lt;1/1/1990,"",IF(Main[[#This Row],[Class]]="C",WORKDAY(Main[[#This Row],[Tech Start Date]],19),IF(Main[[#This Row],[Class]]="B", WORKDAY(Main[[#This Row],[Tech Start Date]],12),IF(Main[[#This Row],[Class]]="A",WORKDAY(Main[[#This Row],[Tech Start Date]],4),""))))</f>
        <v/>
      </c>
      <c r="O1006" s="114" t="str">
        <f>IF(Main[[#This Row],[Tech Start Date]]&lt;1/1/1990,"",IF(Main[[#This Row],[Class]]="C",WORKDAY(Main[[#This Row],[Tech Start Date]],23),IF(Main[[#This Row],[Class]]="B", WORKDAY(Main[[#This Row],[Tech Start Date]],15),IF(Main[[#This Row],[Class]]="A",WORKDAY(Main[[#This Row],[Tech Start Date]],5),""))))</f>
        <v/>
      </c>
      <c r="P1006" s="114" t="str">
        <f>IF(Main[[#This Row],[Tech Start Date]]&lt;1/1/1990,"",IF(Main[[#This Row],[Class]]="C",WORKDAY(Main[[#This Row],[Tech Start Date]],28),IF(Main[[#This Row],[Class]]="B", WORKDAY(Main[[#This Row],[Tech Start Date]],19),IF(Main[[#This Row],[Class]]="A",WORKDAY(Main[[#This Row],[Tech Start Date]],9),""))))</f>
        <v/>
      </c>
      <c r="Q1006" s="129"/>
      <c r="R1006" s="129"/>
      <c r="S1006" s="139" t="s">
        <v>11</v>
      </c>
      <c r="T1006" s="115" t="s">
        <v>4</v>
      </c>
      <c r="U1006" s="139" t="s">
        <v>14</v>
      </c>
      <c r="V1006" s="139" t="s">
        <v>1914</v>
      </c>
      <c r="W1006" s="139" t="s">
        <v>1920</v>
      </c>
      <c r="X1006" s="139" t="s">
        <v>50</v>
      </c>
      <c r="Y1006" s="112" t="s">
        <v>2961</v>
      </c>
      <c r="Z1006" s="112" t="s">
        <v>306</v>
      </c>
      <c r="AA1006" s="139" t="s">
        <v>50</v>
      </c>
    </row>
    <row r="1007" spans="1:27" ht="17.25" customHeight="1">
      <c r="A1007" s="69" t="str">
        <f>IF(priority(Main[[#This Row],[Comments]])&lt;&gt;0, priority(Main[[#This Row],[Comments]]),"")</f>
        <v/>
      </c>
      <c r="B1007" s="63" t="s">
        <v>2130</v>
      </c>
      <c r="C1007" s="148" t="s">
        <v>951</v>
      </c>
      <c r="D1007" s="113" t="s">
        <v>2131</v>
      </c>
      <c r="E1007" s="129"/>
      <c r="F1007" s="129">
        <v>40871</v>
      </c>
      <c r="G1007" s="69" t="str">
        <f>IF(stdProdLT(Main[[#This Row],[Comments]])=0.1,"N/A",IF(stdProdLT(Main[[#This Row],[Comments]])=0,"",stdProdLT(Main[[#This Row],[Comments]])))</f>
        <v/>
      </c>
      <c r="H1007" s="138" t="str">
        <f>IF(Main[[#This Row],[In Stock Date]]="N/A", "N/A",IF(AND(Main[[#This Row],[In Stock Date]]&lt;&gt;"",Main[[#This Row],[Revised Due Date]]&lt;&gt;"",Main[[#This Row],[In Stock Date]]&lt;&gt;""),Main[[#This Row],[In Stock Date]]-Main[[#This Row],[Revised Due Date]],""))</f>
        <v/>
      </c>
      <c r="I1007" s="139" t="s">
        <v>4</v>
      </c>
      <c r="J1007" s="139" t="s">
        <v>4</v>
      </c>
      <c r="K1007" s="139" t="s">
        <v>4</v>
      </c>
      <c r="L1007" s="129"/>
      <c r="M1007" s="114" t="str">
        <f>IF(Main[[#This Row],[Tech Start Date]]&lt;1/1/1990,"",IF(Main[[#This Row],[Class]]="C",WORKDAY(Main[[#This Row],[Tech Start Date]],9),IF(Main[[#This Row],[Class]]="B", WORKDAY(Main[[#This Row],[Tech Start Date]],6),IF(Main[[#This Row],[Class]]="A",WORKDAY(Main[[#This Row],[Tech Start Date]],2),""))))</f>
        <v/>
      </c>
      <c r="N1007" s="114" t="str">
        <f>IF(Main[[#This Row],[Tech Start Date]]&lt;1/1/1990,"",IF(Main[[#This Row],[Class]]="C",WORKDAY(Main[[#This Row],[Tech Start Date]],19),IF(Main[[#This Row],[Class]]="B", WORKDAY(Main[[#This Row],[Tech Start Date]],12),IF(Main[[#This Row],[Class]]="A",WORKDAY(Main[[#This Row],[Tech Start Date]],4),""))))</f>
        <v/>
      </c>
      <c r="O1007" s="114" t="str">
        <f>IF(Main[[#This Row],[Tech Start Date]]&lt;1/1/1990,"",IF(Main[[#This Row],[Class]]="C",WORKDAY(Main[[#This Row],[Tech Start Date]],23),IF(Main[[#This Row],[Class]]="B", WORKDAY(Main[[#This Row],[Tech Start Date]],15),IF(Main[[#This Row],[Class]]="A",WORKDAY(Main[[#This Row],[Tech Start Date]],5),""))))</f>
        <v/>
      </c>
      <c r="P1007" s="114" t="str">
        <f>IF(Main[[#This Row],[Tech Start Date]]&lt;1/1/1990,"",IF(Main[[#This Row],[Class]]="C",WORKDAY(Main[[#This Row],[Tech Start Date]],28),IF(Main[[#This Row],[Class]]="B", WORKDAY(Main[[#This Row],[Tech Start Date]],19),IF(Main[[#This Row],[Class]]="A",WORKDAY(Main[[#This Row],[Tech Start Date]],9),""))))</f>
        <v/>
      </c>
      <c r="Q1007" s="129"/>
      <c r="R1007" s="129"/>
      <c r="S1007" s="139" t="s">
        <v>11</v>
      </c>
      <c r="T1007" s="115" t="s">
        <v>4</v>
      </c>
      <c r="U1007" s="139" t="s">
        <v>14</v>
      </c>
      <c r="V1007" s="139" t="s">
        <v>1917</v>
      </c>
      <c r="W1007" s="139" t="s">
        <v>1922</v>
      </c>
      <c r="X1007" s="139" t="s">
        <v>50</v>
      </c>
      <c r="Y1007" s="112" t="s">
        <v>2961</v>
      </c>
      <c r="Z1007" s="112" t="s">
        <v>4</v>
      </c>
      <c r="AA1007" s="139" t="s">
        <v>50</v>
      </c>
    </row>
    <row r="1008" spans="1:27" ht="17.25" customHeight="1">
      <c r="A1008" s="69" t="str">
        <f>IF(priority(Main[[#This Row],[Comments]])&lt;&gt;0, priority(Main[[#This Row],[Comments]]),"")</f>
        <v/>
      </c>
      <c r="B1008" s="63" t="s">
        <v>2125</v>
      </c>
      <c r="C1008" s="148" t="s">
        <v>4</v>
      </c>
      <c r="D1008" s="113" t="s">
        <v>3620</v>
      </c>
      <c r="E1008" s="129">
        <v>40764.690844907411</v>
      </c>
      <c r="F1008" s="129"/>
      <c r="G1008" s="69" t="str">
        <f>IF(stdProdLT(Main[[#This Row],[Comments]])=0.1,"N/A",IF(stdProdLT(Main[[#This Row],[Comments]])=0,"",stdProdLT(Main[[#This Row],[Comments]])))</f>
        <v/>
      </c>
      <c r="H1008" s="138" t="str">
        <f>IF(Main[[#This Row],[In Stock Date]]="N/A", "N/A",IF(AND(Main[[#This Row],[In Stock Date]]&lt;&gt;"",Main[[#This Row],[Revised Due Date]]&lt;&gt;"",Main[[#This Row],[In Stock Date]]&lt;&gt;""),Main[[#This Row],[In Stock Date]]-Main[[#This Row],[Revised Due Date]],""))</f>
        <v/>
      </c>
      <c r="I1008" s="139" t="s">
        <v>2211</v>
      </c>
      <c r="J1008" s="139" t="s">
        <v>4</v>
      </c>
      <c r="K1008" s="139" t="s">
        <v>4</v>
      </c>
      <c r="L1008" s="129"/>
      <c r="M1008" s="114" t="str">
        <f>IF(Main[[#This Row],[Tech Start Date]]&lt;1/1/1990,"",IF(Main[[#This Row],[Class]]="C",WORKDAY(Main[[#This Row],[Tech Start Date]],9),IF(Main[[#This Row],[Class]]="B", WORKDAY(Main[[#This Row],[Tech Start Date]],6),IF(Main[[#This Row],[Class]]="A",WORKDAY(Main[[#This Row],[Tech Start Date]],2),""))))</f>
        <v/>
      </c>
      <c r="N1008" s="114" t="str">
        <f>IF(Main[[#This Row],[Tech Start Date]]&lt;1/1/1990,"",IF(Main[[#This Row],[Class]]="C",WORKDAY(Main[[#This Row],[Tech Start Date]],19),IF(Main[[#This Row],[Class]]="B", WORKDAY(Main[[#This Row],[Tech Start Date]],12),IF(Main[[#This Row],[Class]]="A",WORKDAY(Main[[#This Row],[Tech Start Date]],4),""))))</f>
        <v/>
      </c>
      <c r="O1008" s="114" t="str">
        <f>IF(Main[[#This Row],[Tech Start Date]]&lt;1/1/1990,"",IF(Main[[#This Row],[Class]]="C",WORKDAY(Main[[#This Row],[Tech Start Date]],23),IF(Main[[#This Row],[Class]]="B", WORKDAY(Main[[#This Row],[Tech Start Date]],15),IF(Main[[#This Row],[Class]]="A",WORKDAY(Main[[#This Row],[Tech Start Date]],5),""))))</f>
        <v/>
      </c>
      <c r="P1008" s="114" t="str">
        <f>IF(Main[[#This Row],[Tech Start Date]]&lt;1/1/1990,"",IF(Main[[#This Row],[Class]]="C",WORKDAY(Main[[#This Row],[Tech Start Date]],28),IF(Main[[#This Row],[Class]]="B", WORKDAY(Main[[#This Row],[Tech Start Date]],19),IF(Main[[#This Row],[Class]]="A",WORKDAY(Main[[#This Row],[Tech Start Date]],9),""))))</f>
        <v/>
      </c>
      <c r="Q1008" s="129"/>
      <c r="R1008" s="129"/>
      <c r="S1008" s="139" t="s">
        <v>6</v>
      </c>
      <c r="T1008" s="115" t="s">
        <v>4</v>
      </c>
      <c r="U1008" s="139" t="s">
        <v>7</v>
      </c>
      <c r="V1008" s="139" t="s">
        <v>1929</v>
      </c>
      <c r="W1008" s="139" t="s">
        <v>1916</v>
      </c>
      <c r="X1008" s="139" t="s">
        <v>306</v>
      </c>
      <c r="Y1008" s="112" t="s">
        <v>4</v>
      </c>
      <c r="Z1008" s="112" t="s">
        <v>2211</v>
      </c>
      <c r="AA1008" s="139" t="s">
        <v>4</v>
      </c>
    </row>
    <row r="1009" spans="1:27" ht="17.25" customHeight="1">
      <c r="A1009" s="69" t="str">
        <f>IF(priority(Main[[#This Row],[Comments]])&lt;&gt;0, priority(Main[[#This Row],[Comments]]),"")</f>
        <v/>
      </c>
      <c r="B1009" s="63" t="s">
        <v>3523</v>
      </c>
      <c r="C1009" s="148" t="s">
        <v>4</v>
      </c>
      <c r="D1009" s="113" t="s">
        <v>3524</v>
      </c>
      <c r="E1009" s="129"/>
      <c r="F1009" s="129"/>
      <c r="G1009" s="69" t="str">
        <f>IF(stdProdLT(Main[[#This Row],[Comments]])=0.1,"N/A",IF(stdProdLT(Main[[#This Row],[Comments]])=0,"",stdProdLT(Main[[#This Row],[Comments]])))</f>
        <v/>
      </c>
      <c r="H1009" s="138" t="str">
        <f>IF(Main[[#This Row],[In Stock Date]]="N/A", "N/A",IF(AND(Main[[#This Row],[In Stock Date]]&lt;&gt;"",Main[[#This Row],[Revised Due Date]]&lt;&gt;"",Main[[#This Row],[In Stock Date]]&lt;&gt;""),Main[[#This Row],[In Stock Date]]-Main[[#This Row],[Revised Due Date]],""))</f>
        <v/>
      </c>
      <c r="I1009" s="139" t="s">
        <v>4</v>
      </c>
      <c r="J1009" s="139" t="s">
        <v>4</v>
      </c>
      <c r="K1009" s="139" t="s">
        <v>4</v>
      </c>
      <c r="L1009" s="129"/>
      <c r="M1009" s="114" t="str">
        <f>IF(Main[[#This Row],[Tech Start Date]]&lt;1/1/1990,"",IF(Main[[#This Row],[Class]]="C",WORKDAY(Main[[#This Row],[Tech Start Date]],9),IF(Main[[#This Row],[Class]]="B", WORKDAY(Main[[#This Row],[Tech Start Date]],6),IF(Main[[#This Row],[Class]]="A",WORKDAY(Main[[#This Row],[Tech Start Date]],2),""))))</f>
        <v/>
      </c>
      <c r="N1009" s="114" t="str">
        <f>IF(Main[[#This Row],[Tech Start Date]]&lt;1/1/1990,"",IF(Main[[#This Row],[Class]]="C",WORKDAY(Main[[#This Row],[Tech Start Date]],19),IF(Main[[#This Row],[Class]]="B", WORKDAY(Main[[#This Row],[Tech Start Date]],12),IF(Main[[#This Row],[Class]]="A",WORKDAY(Main[[#This Row],[Tech Start Date]],4),""))))</f>
        <v/>
      </c>
      <c r="O1009" s="114" t="str">
        <f>IF(Main[[#This Row],[Tech Start Date]]&lt;1/1/1990,"",IF(Main[[#This Row],[Class]]="C",WORKDAY(Main[[#This Row],[Tech Start Date]],23),IF(Main[[#This Row],[Class]]="B", WORKDAY(Main[[#This Row],[Tech Start Date]],15),IF(Main[[#This Row],[Class]]="A",WORKDAY(Main[[#This Row],[Tech Start Date]],5),""))))</f>
        <v/>
      </c>
      <c r="P1009" s="114" t="str">
        <f>IF(Main[[#This Row],[Tech Start Date]]&lt;1/1/1990,"",IF(Main[[#This Row],[Class]]="C",WORKDAY(Main[[#This Row],[Tech Start Date]],28),IF(Main[[#This Row],[Class]]="B", WORKDAY(Main[[#This Row],[Tech Start Date]],19),IF(Main[[#This Row],[Class]]="A",WORKDAY(Main[[#This Row],[Tech Start Date]],9),""))))</f>
        <v/>
      </c>
      <c r="Q1009" s="129"/>
      <c r="R1009" s="129"/>
      <c r="S1009" s="139" t="s">
        <v>6</v>
      </c>
      <c r="T1009" s="115" t="s">
        <v>4</v>
      </c>
      <c r="U1009" s="139" t="s">
        <v>14</v>
      </c>
      <c r="V1009" s="139" t="s">
        <v>2283</v>
      </c>
      <c r="W1009" s="139" t="s">
        <v>1918</v>
      </c>
      <c r="X1009" s="139" t="s">
        <v>2841</v>
      </c>
      <c r="Y1009" s="112" t="s">
        <v>2971</v>
      </c>
      <c r="Z1009" s="112" t="s">
        <v>4</v>
      </c>
      <c r="AA1009" s="139" t="s">
        <v>2841</v>
      </c>
    </row>
    <row r="1010" spans="1:27" ht="17.25" customHeight="1">
      <c r="A1010" s="69" t="str">
        <f>IF(priority(Main[[#This Row],[Comments]])&lt;&gt;0, priority(Main[[#This Row],[Comments]]),"")</f>
        <v/>
      </c>
      <c r="B1010" s="63" t="s">
        <v>2511</v>
      </c>
      <c r="C1010" s="148" t="s">
        <v>47</v>
      </c>
      <c r="D1010" s="113" t="s">
        <v>3498</v>
      </c>
      <c r="E1010" s="129">
        <v>40857.653622685182</v>
      </c>
      <c r="F1010" s="129"/>
      <c r="G1010" s="69" t="str">
        <f>IF(stdProdLT(Main[[#This Row],[Comments]])=0.1,"N/A",IF(stdProdLT(Main[[#This Row],[Comments]])=0,"",stdProdLT(Main[[#This Row],[Comments]])))</f>
        <v/>
      </c>
      <c r="H1010" s="138" t="str">
        <f>IF(Main[[#This Row],[In Stock Date]]="N/A", "N/A",IF(AND(Main[[#This Row],[In Stock Date]]&lt;&gt;"",Main[[#This Row],[Revised Due Date]]&lt;&gt;"",Main[[#This Row],[In Stock Date]]&lt;&gt;""),Main[[#This Row],[In Stock Date]]-Main[[#This Row],[Revised Due Date]],""))</f>
        <v/>
      </c>
      <c r="I1010" s="139" t="s">
        <v>4</v>
      </c>
      <c r="J1010" s="139" t="s">
        <v>4</v>
      </c>
      <c r="K1010" s="139" t="s">
        <v>4</v>
      </c>
      <c r="L1010" s="129"/>
      <c r="M1010" s="114" t="str">
        <f>IF(Main[[#This Row],[Tech Start Date]]&lt;1/1/1990,"",IF(Main[[#This Row],[Class]]="C",WORKDAY(Main[[#This Row],[Tech Start Date]],9),IF(Main[[#This Row],[Class]]="B", WORKDAY(Main[[#This Row],[Tech Start Date]],6),IF(Main[[#This Row],[Class]]="A",WORKDAY(Main[[#This Row],[Tech Start Date]],2),""))))</f>
        <v/>
      </c>
      <c r="N1010" s="114" t="str">
        <f>IF(Main[[#This Row],[Tech Start Date]]&lt;1/1/1990,"",IF(Main[[#This Row],[Class]]="C",WORKDAY(Main[[#This Row],[Tech Start Date]],19),IF(Main[[#This Row],[Class]]="B", WORKDAY(Main[[#This Row],[Tech Start Date]],12),IF(Main[[#This Row],[Class]]="A",WORKDAY(Main[[#This Row],[Tech Start Date]],4),""))))</f>
        <v/>
      </c>
      <c r="O1010" s="114" t="str">
        <f>IF(Main[[#This Row],[Tech Start Date]]&lt;1/1/1990,"",IF(Main[[#This Row],[Class]]="C",WORKDAY(Main[[#This Row],[Tech Start Date]],23),IF(Main[[#This Row],[Class]]="B", WORKDAY(Main[[#This Row],[Tech Start Date]],15),IF(Main[[#This Row],[Class]]="A",WORKDAY(Main[[#This Row],[Tech Start Date]],5),""))))</f>
        <v/>
      </c>
      <c r="P1010" s="114" t="str">
        <f>IF(Main[[#This Row],[Tech Start Date]]&lt;1/1/1990,"",IF(Main[[#This Row],[Class]]="C",WORKDAY(Main[[#This Row],[Tech Start Date]],28),IF(Main[[#This Row],[Class]]="B", WORKDAY(Main[[#This Row],[Tech Start Date]],19),IF(Main[[#This Row],[Class]]="A",WORKDAY(Main[[#This Row],[Tech Start Date]],9),""))))</f>
        <v/>
      </c>
      <c r="Q1010" s="129">
        <v>40892</v>
      </c>
      <c r="R1010" s="129"/>
      <c r="S1010" s="139" t="s">
        <v>6</v>
      </c>
      <c r="T1010" s="115" t="s">
        <v>4</v>
      </c>
      <c r="U1010" s="139" t="s">
        <v>29</v>
      </c>
      <c r="V1010" s="139" t="s">
        <v>2283</v>
      </c>
      <c r="W1010" s="139" t="s">
        <v>4</v>
      </c>
      <c r="X1010" s="139" t="s">
        <v>2865</v>
      </c>
      <c r="Y1010" s="112" t="s">
        <v>3010</v>
      </c>
      <c r="Z1010" s="112" t="s">
        <v>4</v>
      </c>
      <c r="AA1010" s="139" t="s">
        <v>2865</v>
      </c>
    </row>
    <row r="1011" spans="1:27" ht="17.25" customHeight="1">
      <c r="A1011" s="69" t="str">
        <f>IF(priority(Main[[#This Row],[Comments]])&lt;&gt;0, priority(Main[[#This Row],[Comments]]),"")</f>
        <v/>
      </c>
      <c r="B1011" s="63" t="s">
        <v>2115</v>
      </c>
      <c r="C1011" s="148" t="s">
        <v>4</v>
      </c>
      <c r="D1011" s="113" t="s">
        <v>2116</v>
      </c>
      <c r="E1011" s="129"/>
      <c r="F1011" s="129"/>
      <c r="G1011" s="69" t="str">
        <f>IF(stdProdLT(Main[[#This Row],[Comments]])=0.1,"N/A",IF(stdProdLT(Main[[#This Row],[Comments]])=0,"",stdProdLT(Main[[#This Row],[Comments]])))</f>
        <v/>
      </c>
      <c r="H1011" s="138" t="str">
        <f>IF(Main[[#This Row],[In Stock Date]]="N/A", "N/A",IF(AND(Main[[#This Row],[In Stock Date]]&lt;&gt;"",Main[[#This Row],[Revised Due Date]]&lt;&gt;"",Main[[#This Row],[In Stock Date]]&lt;&gt;""),Main[[#This Row],[In Stock Date]]-Main[[#This Row],[Revised Due Date]],""))</f>
        <v/>
      </c>
      <c r="I1011" s="139" t="s">
        <v>69</v>
      </c>
      <c r="J1011" s="139" t="s">
        <v>70</v>
      </c>
      <c r="K1011" s="139" t="s">
        <v>1923</v>
      </c>
      <c r="L1011" s="129"/>
      <c r="M1011" s="114" t="str">
        <f>IF(Main[[#This Row],[Tech Start Date]]&lt;1/1/1990,"",IF(Main[[#This Row],[Class]]="C",WORKDAY(Main[[#This Row],[Tech Start Date]],9),IF(Main[[#This Row],[Class]]="B", WORKDAY(Main[[#This Row],[Tech Start Date]],6),IF(Main[[#This Row],[Class]]="A",WORKDAY(Main[[#This Row],[Tech Start Date]],2),""))))</f>
        <v/>
      </c>
      <c r="N1011" s="114" t="str">
        <f>IF(Main[[#This Row],[Tech Start Date]]&lt;1/1/1990,"",IF(Main[[#This Row],[Class]]="C",WORKDAY(Main[[#This Row],[Tech Start Date]],19),IF(Main[[#This Row],[Class]]="B", WORKDAY(Main[[#This Row],[Tech Start Date]],12),IF(Main[[#This Row],[Class]]="A",WORKDAY(Main[[#This Row],[Tech Start Date]],4),""))))</f>
        <v/>
      </c>
      <c r="O1011" s="114" t="str">
        <f>IF(Main[[#This Row],[Tech Start Date]]&lt;1/1/1990,"",IF(Main[[#This Row],[Class]]="C",WORKDAY(Main[[#This Row],[Tech Start Date]],23),IF(Main[[#This Row],[Class]]="B", WORKDAY(Main[[#This Row],[Tech Start Date]],15),IF(Main[[#This Row],[Class]]="A",WORKDAY(Main[[#This Row],[Tech Start Date]],5),""))))</f>
        <v/>
      </c>
      <c r="P1011" s="114" t="str">
        <f>IF(Main[[#This Row],[Tech Start Date]]&lt;1/1/1990,"",IF(Main[[#This Row],[Class]]="C",WORKDAY(Main[[#This Row],[Tech Start Date]],28),IF(Main[[#This Row],[Class]]="B", WORKDAY(Main[[#This Row],[Tech Start Date]],19),IF(Main[[#This Row],[Class]]="A",WORKDAY(Main[[#This Row],[Tech Start Date]],9),""))))</f>
        <v/>
      </c>
      <c r="Q1011" s="129">
        <v>40816</v>
      </c>
      <c r="R1011" s="129"/>
      <c r="S1011" s="139" t="s">
        <v>6</v>
      </c>
      <c r="T1011" s="115" t="s">
        <v>4</v>
      </c>
      <c r="U1011" s="139" t="s">
        <v>14</v>
      </c>
      <c r="V1011" s="139" t="s">
        <v>1917</v>
      </c>
      <c r="W1011" s="139" t="s">
        <v>1918</v>
      </c>
      <c r="X1011" s="139" t="s">
        <v>306</v>
      </c>
      <c r="Y1011" s="112" t="s">
        <v>3111</v>
      </c>
      <c r="Z1011" s="112" t="s">
        <v>30</v>
      </c>
      <c r="AA1011" s="139" t="s">
        <v>3386</v>
      </c>
    </row>
    <row r="1012" spans="1:27" ht="17.25" customHeight="1">
      <c r="A1012" s="69" t="str">
        <f>IF(priority(Main[[#This Row],[Comments]])&lt;&gt;0, priority(Main[[#This Row],[Comments]]),"")</f>
        <v/>
      </c>
      <c r="B1012" s="63" t="s">
        <v>2182</v>
      </c>
      <c r="C1012" s="148" t="s">
        <v>4</v>
      </c>
      <c r="D1012" s="113" t="s">
        <v>2183</v>
      </c>
      <c r="E1012" s="129">
        <v>40784.630833333336</v>
      </c>
      <c r="F1012" s="129">
        <v>41153</v>
      </c>
      <c r="G1012" s="69" t="str">
        <f>IF(stdProdLT(Main[[#This Row],[Comments]])=0.1,"N/A",IF(stdProdLT(Main[[#This Row],[Comments]])=0,"",stdProdLT(Main[[#This Row],[Comments]])))</f>
        <v/>
      </c>
      <c r="H1012" s="138" t="str">
        <f>IF(Main[[#This Row],[In Stock Date]]="N/A", "N/A",IF(AND(Main[[#This Row],[In Stock Date]]&lt;&gt;"",Main[[#This Row],[Revised Due Date]]&lt;&gt;"",Main[[#This Row],[In Stock Date]]&lt;&gt;""),Main[[#This Row],[In Stock Date]]-Main[[#This Row],[Revised Due Date]],""))</f>
        <v/>
      </c>
      <c r="I1012" s="139" t="s">
        <v>4</v>
      </c>
      <c r="J1012" s="139" t="s">
        <v>4</v>
      </c>
      <c r="K1012" s="139" t="s">
        <v>4</v>
      </c>
      <c r="L1012" s="129"/>
      <c r="M1012" s="114" t="str">
        <f>IF(Main[[#This Row],[Tech Start Date]]&lt;1/1/1990,"",IF(Main[[#This Row],[Class]]="C",WORKDAY(Main[[#This Row],[Tech Start Date]],9),IF(Main[[#This Row],[Class]]="B", WORKDAY(Main[[#This Row],[Tech Start Date]],6),IF(Main[[#This Row],[Class]]="A",WORKDAY(Main[[#This Row],[Tech Start Date]],2),""))))</f>
        <v/>
      </c>
      <c r="N1012" s="114" t="str">
        <f>IF(Main[[#This Row],[Tech Start Date]]&lt;1/1/1990,"",IF(Main[[#This Row],[Class]]="C",WORKDAY(Main[[#This Row],[Tech Start Date]],19),IF(Main[[#This Row],[Class]]="B", WORKDAY(Main[[#This Row],[Tech Start Date]],12),IF(Main[[#This Row],[Class]]="A",WORKDAY(Main[[#This Row],[Tech Start Date]],4),""))))</f>
        <v/>
      </c>
      <c r="O1012" s="114" t="str">
        <f>IF(Main[[#This Row],[Tech Start Date]]&lt;1/1/1990,"",IF(Main[[#This Row],[Class]]="C",WORKDAY(Main[[#This Row],[Tech Start Date]],23),IF(Main[[#This Row],[Class]]="B", WORKDAY(Main[[#This Row],[Tech Start Date]],15),IF(Main[[#This Row],[Class]]="A",WORKDAY(Main[[#This Row],[Tech Start Date]],5),""))))</f>
        <v/>
      </c>
      <c r="P1012" s="114" t="str">
        <f>IF(Main[[#This Row],[Tech Start Date]]&lt;1/1/1990,"",IF(Main[[#This Row],[Class]]="C",WORKDAY(Main[[#This Row],[Tech Start Date]],28),IF(Main[[#This Row],[Class]]="B", WORKDAY(Main[[#This Row],[Tech Start Date]],19),IF(Main[[#This Row],[Class]]="A",WORKDAY(Main[[#This Row],[Tech Start Date]],9),""))))</f>
        <v/>
      </c>
      <c r="Q1012" s="129"/>
      <c r="R1012" s="129"/>
      <c r="S1012" s="139" t="s">
        <v>17</v>
      </c>
      <c r="T1012" s="115" t="s">
        <v>4</v>
      </c>
      <c r="U1012" s="139" t="s">
        <v>7</v>
      </c>
      <c r="V1012" s="139" t="s">
        <v>1917</v>
      </c>
      <c r="W1012" s="139" t="s">
        <v>1919</v>
      </c>
      <c r="X1012" s="139" t="s">
        <v>2885</v>
      </c>
      <c r="Y1012" s="112" t="s">
        <v>3041</v>
      </c>
      <c r="Z1012" s="112" t="s">
        <v>4</v>
      </c>
      <c r="AA1012" s="139" t="s">
        <v>2885</v>
      </c>
    </row>
    <row r="1013" spans="1:27" ht="17.25" customHeight="1">
      <c r="A1013" s="69" t="str">
        <f>IF(priority(Main[[#This Row],[Comments]])&lt;&gt;0, priority(Main[[#This Row],[Comments]]),"")</f>
        <v/>
      </c>
      <c r="B1013" s="63" t="s">
        <v>2059</v>
      </c>
      <c r="C1013" s="148" t="s">
        <v>4</v>
      </c>
      <c r="D1013" s="113" t="s">
        <v>2060</v>
      </c>
      <c r="E1013" s="129">
        <v>40758.348310185182</v>
      </c>
      <c r="F1013" s="129"/>
      <c r="G1013" s="69" t="str">
        <f>IF(stdProdLT(Main[[#This Row],[Comments]])=0.1,"N/A",IF(stdProdLT(Main[[#This Row],[Comments]])=0,"",stdProdLT(Main[[#This Row],[Comments]])))</f>
        <v/>
      </c>
      <c r="H1013" s="138" t="str">
        <f>IF(Main[[#This Row],[In Stock Date]]="N/A", "N/A",IF(AND(Main[[#This Row],[In Stock Date]]&lt;&gt;"",Main[[#This Row],[Revised Due Date]]&lt;&gt;"",Main[[#This Row],[In Stock Date]]&lt;&gt;""),Main[[#This Row],[In Stock Date]]-Main[[#This Row],[Revised Due Date]],""))</f>
        <v/>
      </c>
      <c r="I1013" s="139" t="s">
        <v>415</v>
      </c>
      <c r="J1013" s="139" t="s">
        <v>28</v>
      </c>
      <c r="K1013" s="139" t="s">
        <v>1921</v>
      </c>
      <c r="L1013" s="129"/>
      <c r="M1013" s="114" t="str">
        <f>IF(Main[[#This Row],[Tech Start Date]]&lt;1/1/1990,"",IF(Main[[#This Row],[Class]]="C",WORKDAY(Main[[#This Row],[Tech Start Date]],9),IF(Main[[#This Row],[Class]]="B", WORKDAY(Main[[#This Row],[Tech Start Date]],6),IF(Main[[#This Row],[Class]]="A",WORKDAY(Main[[#This Row],[Tech Start Date]],2),""))))</f>
        <v/>
      </c>
      <c r="N1013" s="114" t="str">
        <f>IF(Main[[#This Row],[Tech Start Date]]&lt;1/1/1990,"",IF(Main[[#This Row],[Class]]="C",WORKDAY(Main[[#This Row],[Tech Start Date]],19),IF(Main[[#This Row],[Class]]="B", WORKDAY(Main[[#This Row],[Tech Start Date]],12),IF(Main[[#This Row],[Class]]="A",WORKDAY(Main[[#This Row],[Tech Start Date]],4),""))))</f>
        <v/>
      </c>
      <c r="O1013" s="114" t="str">
        <f>IF(Main[[#This Row],[Tech Start Date]]&lt;1/1/1990,"",IF(Main[[#This Row],[Class]]="C",WORKDAY(Main[[#This Row],[Tech Start Date]],23),IF(Main[[#This Row],[Class]]="B", WORKDAY(Main[[#This Row],[Tech Start Date]],15),IF(Main[[#This Row],[Class]]="A",WORKDAY(Main[[#This Row],[Tech Start Date]],5),""))))</f>
        <v/>
      </c>
      <c r="P1013" s="114" t="str">
        <f>IF(Main[[#This Row],[Tech Start Date]]&lt;1/1/1990,"",IF(Main[[#This Row],[Class]]="C",WORKDAY(Main[[#This Row],[Tech Start Date]],28),IF(Main[[#This Row],[Class]]="B", WORKDAY(Main[[#This Row],[Tech Start Date]],19),IF(Main[[#This Row],[Class]]="A",WORKDAY(Main[[#This Row],[Tech Start Date]],9),""))))</f>
        <v/>
      </c>
      <c r="Q1013" s="129"/>
      <c r="R1013" s="129"/>
      <c r="S1013" s="139" t="s">
        <v>6</v>
      </c>
      <c r="T1013" s="115" t="s">
        <v>4</v>
      </c>
      <c r="U1013" s="139" t="s">
        <v>29</v>
      </c>
      <c r="V1013" s="139" t="s">
        <v>1917</v>
      </c>
      <c r="W1013" s="139" t="s">
        <v>1916</v>
      </c>
      <c r="X1013" s="139" t="s">
        <v>2866</v>
      </c>
      <c r="Y1013" s="112" t="s">
        <v>3000</v>
      </c>
      <c r="Z1013" s="112" t="s">
        <v>415</v>
      </c>
      <c r="AA1013" s="139" t="s">
        <v>2866</v>
      </c>
    </row>
    <row r="1014" spans="1:27" ht="17.25" customHeight="1">
      <c r="A1014" s="69" t="str">
        <f>IF(priority(Main[[#This Row],[Comments]])&lt;&gt;0, priority(Main[[#This Row],[Comments]]),"")</f>
        <v/>
      </c>
      <c r="B1014" s="63" t="s">
        <v>2199</v>
      </c>
      <c r="C1014" s="148" t="s">
        <v>4</v>
      </c>
      <c r="D1014" s="113" t="s">
        <v>2200</v>
      </c>
      <c r="E1014" s="129">
        <v>40784.953148148146</v>
      </c>
      <c r="F1014" s="129"/>
      <c r="G1014" s="69" t="str">
        <f>IF(stdProdLT(Main[[#This Row],[Comments]])=0.1,"N/A",IF(stdProdLT(Main[[#This Row],[Comments]])=0,"",stdProdLT(Main[[#This Row],[Comments]])))</f>
        <v/>
      </c>
      <c r="H1014" s="138" t="str">
        <f>IF(Main[[#This Row],[In Stock Date]]="N/A", "N/A",IF(AND(Main[[#This Row],[In Stock Date]]&lt;&gt;"",Main[[#This Row],[Revised Due Date]]&lt;&gt;"",Main[[#This Row],[In Stock Date]]&lt;&gt;""),Main[[#This Row],[In Stock Date]]-Main[[#This Row],[Revised Due Date]],""))</f>
        <v/>
      </c>
      <c r="I1014" s="139" t="s">
        <v>489</v>
      </c>
      <c r="J1014" s="139" t="s">
        <v>70</v>
      </c>
      <c r="K1014" s="139" t="s">
        <v>1923</v>
      </c>
      <c r="L1014" s="129"/>
      <c r="M1014" s="114" t="str">
        <f>IF(Main[[#This Row],[Tech Start Date]]&lt;1/1/1990,"",IF(Main[[#This Row],[Class]]="C",WORKDAY(Main[[#This Row],[Tech Start Date]],9),IF(Main[[#This Row],[Class]]="B", WORKDAY(Main[[#This Row],[Tech Start Date]],6),IF(Main[[#This Row],[Class]]="A",WORKDAY(Main[[#This Row],[Tech Start Date]],2),""))))</f>
        <v/>
      </c>
      <c r="N1014" s="114" t="str">
        <f>IF(Main[[#This Row],[Tech Start Date]]&lt;1/1/1990,"",IF(Main[[#This Row],[Class]]="C",WORKDAY(Main[[#This Row],[Tech Start Date]],19),IF(Main[[#This Row],[Class]]="B", WORKDAY(Main[[#This Row],[Tech Start Date]],12),IF(Main[[#This Row],[Class]]="A",WORKDAY(Main[[#This Row],[Tech Start Date]],4),""))))</f>
        <v/>
      </c>
      <c r="O1014" s="114" t="str">
        <f>IF(Main[[#This Row],[Tech Start Date]]&lt;1/1/1990,"",IF(Main[[#This Row],[Class]]="C",WORKDAY(Main[[#This Row],[Tech Start Date]],23),IF(Main[[#This Row],[Class]]="B", WORKDAY(Main[[#This Row],[Tech Start Date]],15),IF(Main[[#This Row],[Class]]="A",WORKDAY(Main[[#This Row],[Tech Start Date]],5),""))))</f>
        <v/>
      </c>
      <c r="P1014" s="114" t="str">
        <f>IF(Main[[#This Row],[Tech Start Date]]&lt;1/1/1990,"",IF(Main[[#This Row],[Class]]="C",WORKDAY(Main[[#This Row],[Tech Start Date]],28),IF(Main[[#This Row],[Class]]="B", WORKDAY(Main[[#This Row],[Tech Start Date]],19),IF(Main[[#This Row],[Class]]="A",WORKDAY(Main[[#This Row],[Tech Start Date]],9),""))))</f>
        <v/>
      </c>
      <c r="Q1014" s="129">
        <v>40847</v>
      </c>
      <c r="R1014" s="129"/>
      <c r="S1014" s="139" t="s">
        <v>6</v>
      </c>
      <c r="T1014" s="115" t="s">
        <v>4</v>
      </c>
      <c r="U1014" s="139" t="s">
        <v>29</v>
      </c>
      <c r="V1014" s="139" t="s">
        <v>1917</v>
      </c>
      <c r="W1014" s="139" t="s">
        <v>1918</v>
      </c>
      <c r="X1014" s="139" t="s">
        <v>30</v>
      </c>
      <c r="Y1014" s="112" t="s">
        <v>3112</v>
      </c>
      <c r="Z1014" s="112" t="s">
        <v>30</v>
      </c>
      <c r="AA1014" s="139" t="s">
        <v>3443</v>
      </c>
    </row>
    <row r="1015" spans="1:27" ht="17.25" customHeight="1">
      <c r="A1015" s="69" t="str">
        <f>IF(priority(Main[[#This Row],[Comments]])&lt;&gt;0, priority(Main[[#This Row],[Comments]]),"")</f>
        <v/>
      </c>
      <c r="B1015" s="63" t="s">
        <v>1982</v>
      </c>
      <c r="C1015" s="148" t="s">
        <v>4</v>
      </c>
      <c r="D1015" s="113" t="s">
        <v>2016</v>
      </c>
      <c r="E1015" s="129">
        <v>40737.35056712963</v>
      </c>
      <c r="F1015" s="129"/>
      <c r="G1015" s="69" t="str">
        <f>IF(stdProdLT(Main[[#This Row],[Comments]])=0.1,"N/A",IF(stdProdLT(Main[[#This Row],[Comments]])=0,"",stdProdLT(Main[[#This Row],[Comments]])))</f>
        <v/>
      </c>
      <c r="H1015" s="138" t="str">
        <f>IF(Main[[#This Row],[In Stock Date]]="N/A", "N/A",IF(AND(Main[[#This Row],[In Stock Date]]&lt;&gt;"",Main[[#This Row],[Revised Due Date]]&lt;&gt;"",Main[[#This Row],[In Stock Date]]&lt;&gt;""),Main[[#This Row],[In Stock Date]]-Main[[#This Row],[Revised Due Date]],""))</f>
        <v/>
      </c>
      <c r="I1015" s="139" t="s">
        <v>2014</v>
      </c>
      <c r="J1015" s="139" t="s">
        <v>28</v>
      </c>
      <c r="K1015" s="139" t="s">
        <v>4</v>
      </c>
      <c r="L1015" s="129"/>
      <c r="M1015" s="114" t="str">
        <f>IF(Main[[#This Row],[Tech Start Date]]&lt;1/1/1990,"",IF(Main[[#This Row],[Class]]="C",WORKDAY(Main[[#This Row],[Tech Start Date]],9),IF(Main[[#This Row],[Class]]="B", WORKDAY(Main[[#This Row],[Tech Start Date]],6),IF(Main[[#This Row],[Class]]="A",WORKDAY(Main[[#This Row],[Tech Start Date]],2),""))))</f>
        <v/>
      </c>
      <c r="N1015" s="114" t="str">
        <f>IF(Main[[#This Row],[Tech Start Date]]&lt;1/1/1990,"",IF(Main[[#This Row],[Class]]="C",WORKDAY(Main[[#This Row],[Tech Start Date]],19),IF(Main[[#This Row],[Class]]="B", WORKDAY(Main[[#This Row],[Tech Start Date]],12),IF(Main[[#This Row],[Class]]="A",WORKDAY(Main[[#This Row],[Tech Start Date]],4),""))))</f>
        <v/>
      </c>
      <c r="O1015" s="114" t="str">
        <f>IF(Main[[#This Row],[Tech Start Date]]&lt;1/1/1990,"",IF(Main[[#This Row],[Class]]="C",WORKDAY(Main[[#This Row],[Tech Start Date]],23),IF(Main[[#This Row],[Class]]="B", WORKDAY(Main[[#This Row],[Tech Start Date]],15),IF(Main[[#This Row],[Class]]="A",WORKDAY(Main[[#This Row],[Tech Start Date]],5),""))))</f>
        <v/>
      </c>
      <c r="P1015" s="114" t="str">
        <f>IF(Main[[#This Row],[Tech Start Date]]&lt;1/1/1990,"",IF(Main[[#This Row],[Class]]="C",WORKDAY(Main[[#This Row],[Tech Start Date]],28),IF(Main[[#This Row],[Class]]="B", WORKDAY(Main[[#This Row],[Tech Start Date]],19),IF(Main[[#This Row],[Class]]="A",WORKDAY(Main[[#This Row],[Tech Start Date]],9),""))))</f>
        <v/>
      </c>
      <c r="Q1015" s="129"/>
      <c r="R1015" s="129"/>
      <c r="S1015" s="139" t="s">
        <v>17</v>
      </c>
      <c r="T1015" s="115" t="s">
        <v>4</v>
      </c>
      <c r="U1015" s="139" t="s">
        <v>7</v>
      </c>
      <c r="V1015" s="139" t="s">
        <v>1929</v>
      </c>
      <c r="W1015" s="139" t="s">
        <v>1918</v>
      </c>
      <c r="X1015" s="139" t="s">
        <v>922</v>
      </c>
      <c r="Y1015" s="112" t="s">
        <v>3113</v>
      </c>
      <c r="Z1015" s="112" t="s">
        <v>2211</v>
      </c>
      <c r="AA1015" s="139" t="s">
        <v>3444</v>
      </c>
    </row>
    <row r="1016" spans="1:27" ht="17.25" customHeight="1">
      <c r="A1016" s="69" t="str">
        <f>IF(priority(Main[[#This Row],[Comments]])&lt;&gt;0, priority(Main[[#This Row],[Comments]]),"")</f>
        <v/>
      </c>
      <c r="B1016" s="63" t="s">
        <v>1078</v>
      </c>
      <c r="C1016" s="148" t="s">
        <v>4</v>
      </c>
      <c r="D1016" s="113" t="s">
        <v>2162</v>
      </c>
      <c r="E1016" s="129">
        <v>40696.780057870368</v>
      </c>
      <c r="F1016" s="129"/>
      <c r="G1016" s="69" t="str">
        <f>IF(stdProdLT(Main[[#This Row],[Comments]])=0.1,"N/A",IF(stdProdLT(Main[[#This Row],[Comments]])=0,"",stdProdLT(Main[[#This Row],[Comments]])))</f>
        <v/>
      </c>
      <c r="H1016" s="138" t="str">
        <f>IF(Main[[#This Row],[In Stock Date]]="N/A", "N/A",IF(AND(Main[[#This Row],[In Stock Date]]&lt;&gt;"",Main[[#This Row],[Revised Due Date]]&lt;&gt;"",Main[[#This Row],[In Stock Date]]&lt;&gt;""),Main[[#This Row],[In Stock Date]]-Main[[#This Row],[Revised Due Date]],""))</f>
        <v/>
      </c>
      <c r="I1016" s="139" t="s">
        <v>489</v>
      </c>
      <c r="J1016" s="139" t="s">
        <v>52</v>
      </c>
      <c r="K1016" s="139" t="s">
        <v>1923</v>
      </c>
      <c r="L1016" s="129"/>
      <c r="M1016" s="114" t="str">
        <f>IF(Main[[#This Row],[Tech Start Date]]&lt;1/1/1990,"",IF(Main[[#This Row],[Class]]="C",WORKDAY(Main[[#This Row],[Tech Start Date]],9),IF(Main[[#This Row],[Class]]="B", WORKDAY(Main[[#This Row],[Tech Start Date]],6),IF(Main[[#This Row],[Class]]="A",WORKDAY(Main[[#This Row],[Tech Start Date]],2),""))))</f>
        <v/>
      </c>
      <c r="N1016" s="114" t="str">
        <f>IF(Main[[#This Row],[Tech Start Date]]&lt;1/1/1990,"",IF(Main[[#This Row],[Class]]="C",WORKDAY(Main[[#This Row],[Tech Start Date]],19),IF(Main[[#This Row],[Class]]="B", WORKDAY(Main[[#This Row],[Tech Start Date]],12),IF(Main[[#This Row],[Class]]="A",WORKDAY(Main[[#This Row],[Tech Start Date]],4),""))))</f>
        <v/>
      </c>
      <c r="O1016" s="114" t="str">
        <f>IF(Main[[#This Row],[Tech Start Date]]&lt;1/1/1990,"",IF(Main[[#This Row],[Class]]="C",WORKDAY(Main[[#This Row],[Tech Start Date]],23),IF(Main[[#This Row],[Class]]="B", WORKDAY(Main[[#This Row],[Tech Start Date]],15),IF(Main[[#This Row],[Class]]="A",WORKDAY(Main[[#This Row],[Tech Start Date]],5),""))))</f>
        <v/>
      </c>
      <c r="P1016" s="114" t="str">
        <f>IF(Main[[#This Row],[Tech Start Date]]&lt;1/1/1990,"",IF(Main[[#This Row],[Class]]="C",WORKDAY(Main[[#This Row],[Tech Start Date]],28),IF(Main[[#This Row],[Class]]="B", WORKDAY(Main[[#This Row],[Tech Start Date]],19),IF(Main[[#This Row],[Class]]="A",WORKDAY(Main[[#This Row],[Tech Start Date]],9),""))))</f>
        <v/>
      </c>
      <c r="Q1016" s="129">
        <v>40753</v>
      </c>
      <c r="R1016" s="129"/>
      <c r="S1016" s="139" t="s">
        <v>6</v>
      </c>
      <c r="T1016" s="115" t="s">
        <v>4</v>
      </c>
      <c r="U1016" s="139" t="s">
        <v>29</v>
      </c>
      <c r="V1016" s="139" t="s">
        <v>1924</v>
      </c>
      <c r="W1016" s="139" t="s">
        <v>1918</v>
      </c>
      <c r="X1016" s="139" t="s">
        <v>30</v>
      </c>
      <c r="Y1016" s="112" t="s">
        <v>2957</v>
      </c>
      <c r="Z1016" s="112" t="s">
        <v>44</v>
      </c>
      <c r="AA1016" s="139" t="s">
        <v>30</v>
      </c>
    </row>
    <row r="1017" spans="1:27" ht="17.25" customHeight="1">
      <c r="A1017" s="69" t="str">
        <f>IF(priority(Main[[#This Row],[Comments]])&lt;&gt;0, priority(Main[[#This Row],[Comments]]),"")</f>
        <v/>
      </c>
      <c r="B1017" s="63" t="s">
        <v>1812</v>
      </c>
      <c r="C1017" s="148" t="s">
        <v>67</v>
      </c>
      <c r="D1017" s="113" t="s">
        <v>861</v>
      </c>
      <c r="E1017" s="129">
        <v>39981.506990740738</v>
      </c>
      <c r="F1017" s="129"/>
      <c r="G1017" s="69" t="str">
        <f>IF(stdProdLT(Main[[#This Row],[Comments]])=0.1,"N/A",IF(stdProdLT(Main[[#This Row],[Comments]])=0,"",stdProdLT(Main[[#This Row],[Comments]])))</f>
        <v/>
      </c>
      <c r="H1017" s="138" t="str">
        <f>IF(Main[[#This Row],[In Stock Date]]="N/A", "N/A",IF(AND(Main[[#This Row],[In Stock Date]]&lt;&gt;"",Main[[#This Row],[Revised Due Date]]&lt;&gt;"",Main[[#This Row],[In Stock Date]]&lt;&gt;""),Main[[#This Row],[In Stock Date]]-Main[[#This Row],[Revised Due Date]],""))</f>
        <v/>
      </c>
      <c r="I1017" s="139" t="s">
        <v>852</v>
      </c>
      <c r="J1017" s="139" t="s">
        <v>4</v>
      </c>
      <c r="K1017" s="139" t="s">
        <v>1927</v>
      </c>
      <c r="L1017" s="129"/>
      <c r="M1017" s="114" t="str">
        <f>IF(Main[[#This Row],[Tech Start Date]]&lt;1/1/1990,"",IF(Main[[#This Row],[Class]]="C",WORKDAY(Main[[#This Row],[Tech Start Date]],9),IF(Main[[#This Row],[Class]]="B", WORKDAY(Main[[#This Row],[Tech Start Date]],6),IF(Main[[#This Row],[Class]]="A",WORKDAY(Main[[#This Row],[Tech Start Date]],2),""))))</f>
        <v/>
      </c>
      <c r="N1017" s="114" t="str">
        <f>IF(Main[[#This Row],[Tech Start Date]]&lt;1/1/1990,"",IF(Main[[#This Row],[Class]]="C",WORKDAY(Main[[#This Row],[Tech Start Date]],19),IF(Main[[#This Row],[Class]]="B", WORKDAY(Main[[#This Row],[Tech Start Date]],12),IF(Main[[#This Row],[Class]]="A",WORKDAY(Main[[#This Row],[Tech Start Date]],4),""))))</f>
        <v/>
      </c>
      <c r="O1017" s="114" t="str">
        <f>IF(Main[[#This Row],[Tech Start Date]]&lt;1/1/1990,"",IF(Main[[#This Row],[Class]]="C",WORKDAY(Main[[#This Row],[Tech Start Date]],23),IF(Main[[#This Row],[Class]]="B", WORKDAY(Main[[#This Row],[Tech Start Date]],15),IF(Main[[#This Row],[Class]]="A",WORKDAY(Main[[#This Row],[Tech Start Date]],5),""))))</f>
        <v/>
      </c>
      <c r="P1017" s="114" t="str">
        <f>IF(Main[[#This Row],[Tech Start Date]]&lt;1/1/1990,"",IF(Main[[#This Row],[Class]]="C",WORKDAY(Main[[#This Row],[Tech Start Date]],28),IF(Main[[#This Row],[Class]]="B", WORKDAY(Main[[#This Row],[Tech Start Date]],19),IF(Main[[#This Row],[Class]]="A",WORKDAY(Main[[#This Row],[Tech Start Date]],9),""))))</f>
        <v/>
      </c>
      <c r="Q1017" s="129">
        <v>40142</v>
      </c>
      <c r="R1017" s="129">
        <v>40259</v>
      </c>
      <c r="S1017" s="139" t="s">
        <v>17</v>
      </c>
      <c r="T1017" s="115" t="s">
        <v>4</v>
      </c>
      <c r="U1017" s="139" t="s">
        <v>29</v>
      </c>
      <c r="V1017" s="139" t="s">
        <v>1924</v>
      </c>
      <c r="W1017" s="139" t="s">
        <v>1919</v>
      </c>
      <c r="X1017" s="139" t="s">
        <v>2820</v>
      </c>
      <c r="Y1017" s="112" t="s">
        <v>3028</v>
      </c>
      <c r="Z1017" s="112" t="s">
        <v>81</v>
      </c>
      <c r="AA1017" s="139" t="s">
        <v>3409</v>
      </c>
    </row>
    <row r="1018" spans="1:27" ht="17.25" customHeight="1">
      <c r="A1018" s="69" t="str">
        <f>IF(priority(Main[[#This Row],[Comments]])&lt;&gt;0, priority(Main[[#This Row],[Comments]]),"")</f>
        <v/>
      </c>
      <c r="B1018" s="63" t="s">
        <v>2252</v>
      </c>
      <c r="C1018" s="148" t="s">
        <v>4</v>
      </c>
      <c r="D1018" s="113" t="s">
        <v>2253</v>
      </c>
      <c r="E1018" s="129">
        <v>40806.34847222222</v>
      </c>
      <c r="F1018" s="129"/>
      <c r="G1018" s="69" t="str">
        <f>IF(stdProdLT(Main[[#This Row],[Comments]])=0.1,"N/A",IF(stdProdLT(Main[[#This Row],[Comments]])=0,"",stdProdLT(Main[[#This Row],[Comments]])))</f>
        <v/>
      </c>
      <c r="H1018" s="138" t="str">
        <f>IF(Main[[#This Row],[In Stock Date]]="N/A", "N/A",IF(AND(Main[[#This Row],[In Stock Date]]&lt;&gt;"",Main[[#This Row],[Revised Due Date]]&lt;&gt;"",Main[[#This Row],[In Stock Date]]&lt;&gt;""),Main[[#This Row],[In Stock Date]]-Main[[#This Row],[Revised Due Date]],""))</f>
        <v/>
      </c>
      <c r="I1018" s="139" t="s">
        <v>4</v>
      </c>
      <c r="J1018" s="139" t="s">
        <v>4</v>
      </c>
      <c r="K1018" s="139" t="s">
        <v>4</v>
      </c>
      <c r="L1018" s="129"/>
      <c r="M1018" s="114" t="str">
        <f>IF(Main[[#This Row],[Tech Start Date]]&lt;1/1/1990,"",IF(Main[[#This Row],[Class]]="C",WORKDAY(Main[[#This Row],[Tech Start Date]],9),IF(Main[[#This Row],[Class]]="B", WORKDAY(Main[[#This Row],[Tech Start Date]],6),IF(Main[[#This Row],[Class]]="A",WORKDAY(Main[[#This Row],[Tech Start Date]],2),""))))</f>
        <v/>
      </c>
      <c r="N1018" s="114" t="str">
        <f>IF(Main[[#This Row],[Tech Start Date]]&lt;1/1/1990,"",IF(Main[[#This Row],[Class]]="C",WORKDAY(Main[[#This Row],[Tech Start Date]],19),IF(Main[[#This Row],[Class]]="B", WORKDAY(Main[[#This Row],[Tech Start Date]],12),IF(Main[[#This Row],[Class]]="A",WORKDAY(Main[[#This Row],[Tech Start Date]],4),""))))</f>
        <v/>
      </c>
      <c r="O1018" s="114" t="str">
        <f>IF(Main[[#This Row],[Tech Start Date]]&lt;1/1/1990,"",IF(Main[[#This Row],[Class]]="C",WORKDAY(Main[[#This Row],[Tech Start Date]],23),IF(Main[[#This Row],[Class]]="B", WORKDAY(Main[[#This Row],[Tech Start Date]],15),IF(Main[[#This Row],[Class]]="A",WORKDAY(Main[[#This Row],[Tech Start Date]],5),""))))</f>
        <v/>
      </c>
      <c r="P1018" s="114" t="str">
        <f>IF(Main[[#This Row],[Tech Start Date]]&lt;1/1/1990,"",IF(Main[[#This Row],[Class]]="C",WORKDAY(Main[[#This Row],[Tech Start Date]],28),IF(Main[[#This Row],[Class]]="B", WORKDAY(Main[[#This Row],[Tech Start Date]],19),IF(Main[[#This Row],[Class]]="A",WORKDAY(Main[[#This Row],[Tech Start Date]],9),""))))</f>
        <v/>
      </c>
      <c r="Q1018" s="129">
        <v>40820</v>
      </c>
      <c r="R1018" s="129"/>
      <c r="S1018" s="139" t="s">
        <v>6</v>
      </c>
      <c r="T1018" s="115" t="s">
        <v>4</v>
      </c>
      <c r="U1018" s="139" t="s">
        <v>7</v>
      </c>
      <c r="V1018" s="139" t="s">
        <v>1914</v>
      </c>
      <c r="W1018" s="139" t="s">
        <v>4</v>
      </c>
      <c r="X1018" s="139" t="s">
        <v>2851</v>
      </c>
      <c r="Y1018" s="112" t="s">
        <v>2986</v>
      </c>
      <c r="Z1018" s="112" t="s">
        <v>4</v>
      </c>
      <c r="AA1018" s="139" t="s">
        <v>2851</v>
      </c>
    </row>
    <row r="1019" spans="1:27" ht="17.25" customHeight="1">
      <c r="A1019" s="69" t="str">
        <f>IF(priority(Main[[#This Row],[Comments]])&lt;&gt;0, priority(Main[[#This Row],[Comments]]),"")</f>
        <v/>
      </c>
      <c r="B1019" s="63" t="s">
        <v>2121</v>
      </c>
      <c r="C1019" s="148" t="s">
        <v>4</v>
      </c>
      <c r="D1019" s="113" t="s">
        <v>2122</v>
      </c>
      <c r="E1019" s="129">
        <v>40764.689583333333</v>
      </c>
      <c r="F1019" s="129"/>
      <c r="G1019" s="69" t="str">
        <f>IF(stdProdLT(Main[[#This Row],[Comments]])=0.1,"N/A",IF(stdProdLT(Main[[#This Row],[Comments]])=0,"",stdProdLT(Main[[#This Row],[Comments]])))</f>
        <v/>
      </c>
      <c r="H1019" s="138" t="str">
        <f>IF(Main[[#This Row],[In Stock Date]]="N/A", "N/A",IF(AND(Main[[#This Row],[In Stock Date]]&lt;&gt;"",Main[[#This Row],[Revised Due Date]]&lt;&gt;"",Main[[#This Row],[In Stock Date]]&lt;&gt;""),Main[[#This Row],[In Stock Date]]-Main[[#This Row],[Revised Due Date]],""))</f>
        <v/>
      </c>
      <c r="I1019" s="139" t="s">
        <v>877</v>
      </c>
      <c r="J1019" s="139" t="s">
        <v>4</v>
      </c>
      <c r="K1019" s="139" t="s">
        <v>4</v>
      </c>
      <c r="L1019" s="129"/>
      <c r="M1019" s="114" t="str">
        <f>IF(Main[[#This Row],[Tech Start Date]]&lt;1/1/1990,"",IF(Main[[#This Row],[Class]]="C",WORKDAY(Main[[#This Row],[Tech Start Date]],9),IF(Main[[#This Row],[Class]]="B", WORKDAY(Main[[#This Row],[Tech Start Date]],6),IF(Main[[#This Row],[Class]]="A",WORKDAY(Main[[#This Row],[Tech Start Date]],2),""))))</f>
        <v/>
      </c>
      <c r="N1019" s="114" t="str">
        <f>IF(Main[[#This Row],[Tech Start Date]]&lt;1/1/1990,"",IF(Main[[#This Row],[Class]]="C",WORKDAY(Main[[#This Row],[Tech Start Date]],19),IF(Main[[#This Row],[Class]]="B", WORKDAY(Main[[#This Row],[Tech Start Date]],12),IF(Main[[#This Row],[Class]]="A",WORKDAY(Main[[#This Row],[Tech Start Date]],4),""))))</f>
        <v/>
      </c>
      <c r="O1019" s="114" t="str">
        <f>IF(Main[[#This Row],[Tech Start Date]]&lt;1/1/1990,"",IF(Main[[#This Row],[Class]]="C",WORKDAY(Main[[#This Row],[Tech Start Date]],23),IF(Main[[#This Row],[Class]]="B", WORKDAY(Main[[#This Row],[Tech Start Date]],15),IF(Main[[#This Row],[Class]]="A",WORKDAY(Main[[#This Row],[Tech Start Date]],5),""))))</f>
        <v/>
      </c>
      <c r="P1019" s="114" t="str">
        <f>IF(Main[[#This Row],[Tech Start Date]]&lt;1/1/1990,"",IF(Main[[#This Row],[Class]]="C",WORKDAY(Main[[#This Row],[Tech Start Date]],28),IF(Main[[#This Row],[Class]]="B", WORKDAY(Main[[#This Row],[Tech Start Date]],19),IF(Main[[#This Row],[Class]]="A",WORKDAY(Main[[#This Row],[Tech Start Date]],9),""))))</f>
        <v/>
      </c>
      <c r="Q1019" s="129"/>
      <c r="R1019" s="129"/>
      <c r="S1019" s="139" t="s">
        <v>6</v>
      </c>
      <c r="T1019" s="115" t="s">
        <v>4</v>
      </c>
      <c r="U1019" s="139" t="s">
        <v>7</v>
      </c>
      <c r="V1019" s="139" t="s">
        <v>1914</v>
      </c>
      <c r="W1019" s="139" t="s">
        <v>1916</v>
      </c>
      <c r="X1019" s="139" t="s">
        <v>306</v>
      </c>
      <c r="Y1019" s="112" t="s">
        <v>4</v>
      </c>
      <c r="Z1019" s="112" t="s">
        <v>877</v>
      </c>
      <c r="AA1019" s="139" t="s">
        <v>4</v>
      </c>
    </row>
    <row r="1020" spans="1:27" ht="17.25" customHeight="1">
      <c r="A1020" s="69" t="str">
        <f>IF(priority(Main[[#This Row],[Comments]])&lt;&gt;0, priority(Main[[#This Row],[Comments]]),"")</f>
        <v/>
      </c>
      <c r="B1020" s="63" t="s">
        <v>1076</v>
      </c>
      <c r="C1020" s="148" t="s">
        <v>4</v>
      </c>
      <c r="D1020" s="113" t="s">
        <v>2233</v>
      </c>
      <c r="E1020" s="129">
        <v>40659.528229166666</v>
      </c>
      <c r="F1020" s="129"/>
      <c r="G1020" s="69" t="str">
        <f>IF(stdProdLT(Main[[#This Row],[Comments]])=0.1,"N/A",IF(stdProdLT(Main[[#This Row],[Comments]])=0,"",stdProdLT(Main[[#This Row],[Comments]])))</f>
        <v/>
      </c>
      <c r="H1020" s="138" t="str">
        <f>IF(Main[[#This Row],[In Stock Date]]="N/A", "N/A",IF(AND(Main[[#This Row],[In Stock Date]]&lt;&gt;"",Main[[#This Row],[Revised Due Date]]&lt;&gt;"",Main[[#This Row],[In Stock Date]]&lt;&gt;""),Main[[#This Row],[In Stock Date]]-Main[[#This Row],[Revised Due Date]],""))</f>
        <v/>
      </c>
      <c r="I1020" s="139" t="s">
        <v>102</v>
      </c>
      <c r="J1020" s="139" t="s">
        <v>51</v>
      </c>
      <c r="K1020" s="139" t="s">
        <v>1923</v>
      </c>
      <c r="L1020" s="129"/>
      <c r="M1020" s="114" t="str">
        <f>IF(Main[[#This Row],[Tech Start Date]]&lt;1/1/1990,"",IF(Main[[#This Row],[Class]]="C",WORKDAY(Main[[#This Row],[Tech Start Date]],9),IF(Main[[#This Row],[Class]]="B", WORKDAY(Main[[#This Row],[Tech Start Date]],6),IF(Main[[#This Row],[Class]]="A",WORKDAY(Main[[#This Row],[Tech Start Date]],2),""))))</f>
        <v/>
      </c>
      <c r="N1020" s="114" t="str">
        <f>IF(Main[[#This Row],[Tech Start Date]]&lt;1/1/1990,"",IF(Main[[#This Row],[Class]]="C",WORKDAY(Main[[#This Row],[Tech Start Date]],19),IF(Main[[#This Row],[Class]]="B", WORKDAY(Main[[#This Row],[Tech Start Date]],12),IF(Main[[#This Row],[Class]]="A",WORKDAY(Main[[#This Row],[Tech Start Date]],4),""))))</f>
        <v/>
      </c>
      <c r="O1020" s="114" t="str">
        <f>IF(Main[[#This Row],[Tech Start Date]]&lt;1/1/1990,"",IF(Main[[#This Row],[Class]]="C",WORKDAY(Main[[#This Row],[Tech Start Date]],23),IF(Main[[#This Row],[Class]]="B", WORKDAY(Main[[#This Row],[Tech Start Date]],15),IF(Main[[#This Row],[Class]]="A",WORKDAY(Main[[#This Row],[Tech Start Date]],5),""))))</f>
        <v/>
      </c>
      <c r="P1020" s="114" t="str">
        <f>IF(Main[[#This Row],[Tech Start Date]]&lt;1/1/1990,"",IF(Main[[#This Row],[Class]]="C",WORKDAY(Main[[#This Row],[Tech Start Date]],28),IF(Main[[#This Row],[Class]]="B", WORKDAY(Main[[#This Row],[Tech Start Date]],19),IF(Main[[#This Row],[Class]]="A",WORKDAY(Main[[#This Row],[Tech Start Date]],9),""))))</f>
        <v/>
      </c>
      <c r="Q1020" s="129"/>
      <c r="R1020" s="129"/>
      <c r="S1020" s="139" t="s">
        <v>6</v>
      </c>
      <c r="T1020" s="115" t="s">
        <v>4</v>
      </c>
      <c r="U1020" s="139" t="s">
        <v>29</v>
      </c>
      <c r="V1020" s="139" t="s">
        <v>1917</v>
      </c>
      <c r="W1020" s="139" t="s">
        <v>1918</v>
      </c>
      <c r="X1020" s="139" t="s">
        <v>102</v>
      </c>
      <c r="Y1020" s="112" t="s">
        <v>3114</v>
      </c>
      <c r="Z1020" s="112" t="s">
        <v>306</v>
      </c>
      <c r="AA1020" s="139" t="s">
        <v>3445</v>
      </c>
    </row>
    <row r="1021" spans="1:27" ht="17.25" customHeight="1">
      <c r="A1021" s="69" t="str">
        <f>IF(priority(Main[[#This Row],[Comments]])&lt;&gt;0, priority(Main[[#This Row],[Comments]]),"")</f>
        <v/>
      </c>
      <c r="B1021" s="63" t="s">
        <v>3249</v>
      </c>
      <c r="C1021" s="148" t="s">
        <v>4</v>
      </c>
      <c r="D1021" s="113" t="s">
        <v>3621</v>
      </c>
      <c r="E1021" s="129">
        <v>40935.463946759257</v>
      </c>
      <c r="F1021" s="129"/>
      <c r="G1021" s="69" t="str">
        <f>IF(stdProdLT(Main[[#This Row],[Comments]])=0.1,"N/A",IF(stdProdLT(Main[[#This Row],[Comments]])=0,"",stdProdLT(Main[[#This Row],[Comments]])))</f>
        <v/>
      </c>
      <c r="H1021" s="138" t="str">
        <f>IF(Main[[#This Row],[In Stock Date]]="N/A", "N/A",IF(AND(Main[[#This Row],[In Stock Date]]&lt;&gt;"",Main[[#This Row],[Revised Due Date]]&lt;&gt;"",Main[[#This Row],[In Stock Date]]&lt;&gt;""),Main[[#This Row],[In Stock Date]]-Main[[#This Row],[Revised Due Date]],""))</f>
        <v/>
      </c>
      <c r="I1021" s="139" t="s">
        <v>69</v>
      </c>
      <c r="J1021" s="139" t="s">
        <v>70</v>
      </c>
      <c r="K1021" s="139" t="s">
        <v>1923</v>
      </c>
      <c r="L1021" s="129"/>
      <c r="M1021" s="114" t="str">
        <f>IF(Main[[#This Row],[Tech Start Date]]&lt;1/1/1990,"",IF(Main[[#This Row],[Class]]="C",WORKDAY(Main[[#This Row],[Tech Start Date]],9),IF(Main[[#This Row],[Class]]="B", WORKDAY(Main[[#This Row],[Tech Start Date]],6),IF(Main[[#This Row],[Class]]="A",WORKDAY(Main[[#This Row],[Tech Start Date]],2),""))))</f>
        <v/>
      </c>
      <c r="N1021" s="114" t="str">
        <f>IF(Main[[#This Row],[Tech Start Date]]&lt;1/1/1990,"",IF(Main[[#This Row],[Class]]="C",WORKDAY(Main[[#This Row],[Tech Start Date]],19),IF(Main[[#This Row],[Class]]="B", WORKDAY(Main[[#This Row],[Tech Start Date]],12),IF(Main[[#This Row],[Class]]="A",WORKDAY(Main[[#This Row],[Tech Start Date]],4),""))))</f>
        <v/>
      </c>
      <c r="O1021" s="114" t="str">
        <f>IF(Main[[#This Row],[Tech Start Date]]&lt;1/1/1990,"",IF(Main[[#This Row],[Class]]="C",WORKDAY(Main[[#This Row],[Tech Start Date]],23),IF(Main[[#This Row],[Class]]="B", WORKDAY(Main[[#This Row],[Tech Start Date]],15),IF(Main[[#This Row],[Class]]="A",WORKDAY(Main[[#This Row],[Tech Start Date]],5),""))))</f>
        <v/>
      </c>
      <c r="P1021" s="114" t="str">
        <f>IF(Main[[#This Row],[Tech Start Date]]&lt;1/1/1990,"",IF(Main[[#This Row],[Class]]="C",WORKDAY(Main[[#This Row],[Tech Start Date]],28),IF(Main[[#This Row],[Class]]="B", WORKDAY(Main[[#This Row],[Tech Start Date]],19),IF(Main[[#This Row],[Class]]="A",WORKDAY(Main[[#This Row],[Tech Start Date]],9),""))))</f>
        <v/>
      </c>
      <c r="Q1021" s="129">
        <v>40999</v>
      </c>
      <c r="R1021" s="129"/>
      <c r="S1021" s="139" t="s">
        <v>6</v>
      </c>
      <c r="T1021" s="115" t="s">
        <v>4</v>
      </c>
      <c r="U1021" s="139" t="s">
        <v>29</v>
      </c>
      <c r="V1021" s="139" t="s">
        <v>1924</v>
      </c>
      <c r="W1021" s="139" t="s">
        <v>1918</v>
      </c>
      <c r="X1021" s="139" t="s">
        <v>2841</v>
      </c>
      <c r="Y1021" s="112" t="s">
        <v>2971</v>
      </c>
      <c r="Z1021" s="112" t="s">
        <v>30</v>
      </c>
      <c r="AA1021" s="139" t="s">
        <v>2841</v>
      </c>
    </row>
    <row r="1022" spans="1:27" ht="17.25" customHeight="1">
      <c r="A1022" s="69" t="str">
        <f>IF(priority(Main[[#This Row],[Comments]])&lt;&gt;0, priority(Main[[#This Row],[Comments]]),"")</f>
        <v/>
      </c>
      <c r="B1022" s="63" t="s">
        <v>2494</v>
      </c>
      <c r="C1022" s="148" t="s">
        <v>47</v>
      </c>
      <c r="D1022" s="113" t="s">
        <v>3331</v>
      </c>
      <c r="E1022" s="129">
        <v>40865.812858796293</v>
      </c>
      <c r="F1022" s="129"/>
      <c r="G1022" s="69" t="str">
        <f>IF(stdProdLT(Main[[#This Row],[Comments]])=0.1,"N/A",IF(stdProdLT(Main[[#This Row],[Comments]])=0,"",stdProdLT(Main[[#This Row],[Comments]])))</f>
        <v/>
      </c>
      <c r="H1022" s="138" t="str">
        <f>IF(Main[[#This Row],[In Stock Date]]="N/A", "N/A",IF(AND(Main[[#This Row],[In Stock Date]]&lt;&gt;"",Main[[#This Row],[Revised Due Date]]&lt;&gt;"",Main[[#This Row],[In Stock Date]]&lt;&gt;""),Main[[#This Row],[In Stock Date]]-Main[[#This Row],[Revised Due Date]],""))</f>
        <v/>
      </c>
      <c r="I1022" s="139" t="s">
        <v>4</v>
      </c>
      <c r="J1022" s="139" t="s">
        <v>4</v>
      </c>
      <c r="K1022" s="139" t="s">
        <v>4</v>
      </c>
      <c r="L1022" s="129"/>
      <c r="M1022" s="114" t="str">
        <f>IF(Main[[#This Row],[Tech Start Date]]&lt;1/1/1990,"",IF(Main[[#This Row],[Class]]="C",WORKDAY(Main[[#This Row],[Tech Start Date]],9),IF(Main[[#This Row],[Class]]="B", WORKDAY(Main[[#This Row],[Tech Start Date]],6),IF(Main[[#This Row],[Class]]="A",WORKDAY(Main[[#This Row],[Tech Start Date]],2),""))))</f>
        <v/>
      </c>
      <c r="N1022" s="114" t="str">
        <f>IF(Main[[#This Row],[Tech Start Date]]&lt;1/1/1990,"",IF(Main[[#This Row],[Class]]="C",WORKDAY(Main[[#This Row],[Tech Start Date]],19),IF(Main[[#This Row],[Class]]="B", WORKDAY(Main[[#This Row],[Tech Start Date]],12),IF(Main[[#This Row],[Class]]="A",WORKDAY(Main[[#This Row],[Tech Start Date]],4),""))))</f>
        <v/>
      </c>
      <c r="O1022" s="114" t="str">
        <f>IF(Main[[#This Row],[Tech Start Date]]&lt;1/1/1990,"",IF(Main[[#This Row],[Class]]="C",WORKDAY(Main[[#This Row],[Tech Start Date]],23),IF(Main[[#This Row],[Class]]="B", WORKDAY(Main[[#This Row],[Tech Start Date]],15),IF(Main[[#This Row],[Class]]="A",WORKDAY(Main[[#This Row],[Tech Start Date]],5),""))))</f>
        <v/>
      </c>
      <c r="P1022" s="114" t="str">
        <f>IF(Main[[#This Row],[Tech Start Date]]&lt;1/1/1990,"",IF(Main[[#This Row],[Class]]="C",WORKDAY(Main[[#This Row],[Tech Start Date]],28),IF(Main[[#This Row],[Class]]="B", WORKDAY(Main[[#This Row],[Tech Start Date]],19),IF(Main[[#This Row],[Class]]="A",WORKDAY(Main[[#This Row],[Tech Start Date]],9),""))))</f>
        <v/>
      </c>
      <c r="Q1022" s="129">
        <v>40906</v>
      </c>
      <c r="R1022" s="129"/>
      <c r="S1022" s="139" t="s">
        <v>6</v>
      </c>
      <c r="T1022" s="115" t="s">
        <v>4</v>
      </c>
      <c r="U1022" s="139" t="s">
        <v>29</v>
      </c>
      <c r="V1022" s="139" t="s">
        <v>2283</v>
      </c>
      <c r="W1022" s="139" t="s">
        <v>4</v>
      </c>
      <c r="X1022" s="139" t="s">
        <v>2865</v>
      </c>
      <c r="Y1022" s="112" t="s">
        <v>3010</v>
      </c>
      <c r="Z1022" s="112" t="s">
        <v>4</v>
      </c>
      <c r="AA1022" s="139" t="s">
        <v>2865</v>
      </c>
    </row>
    <row r="1023" spans="1:27" ht="17.25" customHeight="1">
      <c r="A1023" s="69" t="str">
        <f>IF(priority(Main[[#This Row],[Comments]])&lt;&gt;0, priority(Main[[#This Row],[Comments]]),"")</f>
        <v/>
      </c>
      <c r="B1023" s="63" t="s">
        <v>1513</v>
      </c>
      <c r="C1023" s="148" t="s">
        <v>4</v>
      </c>
      <c r="D1023" s="113" t="s">
        <v>589</v>
      </c>
      <c r="E1023" s="129"/>
      <c r="F1023" s="129"/>
      <c r="G1023" s="69" t="str">
        <f>IF(stdProdLT(Main[[#This Row],[Comments]])=0.1,"N/A",IF(stdProdLT(Main[[#This Row],[Comments]])=0,"",stdProdLT(Main[[#This Row],[Comments]])))</f>
        <v/>
      </c>
      <c r="H1023" s="138" t="str">
        <f>IF(Main[[#This Row],[In Stock Date]]="N/A", "N/A",IF(AND(Main[[#This Row],[In Stock Date]]&lt;&gt;"",Main[[#This Row],[Revised Due Date]]&lt;&gt;"",Main[[#This Row],[In Stock Date]]&lt;&gt;""),Main[[#This Row],[In Stock Date]]-Main[[#This Row],[Revised Due Date]],""))</f>
        <v/>
      </c>
      <c r="I1023" s="139" t="s">
        <v>306</v>
      </c>
      <c r="J1023" s="139" t="s">
        <v>28</v>
      </c>
      <c r="K1023" s="139" t="s">
        <v>4</v>
      </c>
      <c r="L1023" s="129"/>
      <c r="M1023" s="114" t="str">
        <f>IF(Main[[#This Row],[Tech Start Date]]&lt;1/1/1990,"",IF(Main[[#This Row],[Class]]="C",WORKDAY(Main[[#This Row],[Tech Start Date]],9),IF(Main[[#This Row],[Class]]="B", WORKDAY(Main[[#This Row],[Tech Start Date]],6),IF(Main[[#This Row],[Class]]="A",WORKDAY(Main[[#This Row],[Tech Start Date]],2),""))))</f>
        <v/>
      </c>
      <c r="N1023" s="114" t="str">
        <f>IF(Main[[#This Row],[Tech Start Date]]&lt;1/1/1990,"",IF(Main[[#This Row],[Class]]="C",WORKDAY(Main[[#This Row],[Tech Start Date]],19),IF(Main[[#This Row],[Class]]="B", WORKDAY(Main[[#This Row],[Tech Start Date]],12),IF(Main[[#This Row],[Class]]="A",WORKDAY(Main[[#This Row],[Tech Start Date]],4),""))))</f>
        <v/>
      </c>
      <c r="O1023" s="114" t="str">
        <f>IF(Main[[#This Row],[Tech Start Date]]&lt;1/1/1990,"",IF(Main[[#This Row],[Class]]="C",WORKDAY(Main[[#This Row],[Tech Start Date]],23),IF(Main[[#This Row],[Class]]="B", WORKDAY(Main[[#This Row],[Tech Start Date]],15),IF(Main[[#This Row],[Class]]="A",WORKDAY(Main[[#This Row],[Tech Start Date]],5),""))))</f>
        <v/>
      </c>
      <c r="P1023" s="114" t="str">
        <f>IF(Main[[#This Row],[Tech Start Date]]&lt;1/1/1990,"",IF(Main[[#This Row],[Class]]="C",WORKDAY(Main[[#This Row],[Tech Start Date]],28),IF(Main[[#This Row],[Class]]="B", WORKDAY(Main[[#This Row],[Tech Start Date]],19),IF(Main[[#This Row],[Class]]="A",WORKDAY(Main[[#This Row],[Tech Start Date]],9),""))))</f>
        <v/>
      </c>
      <c r="Q1023" s="129"/>
      <c r="R1023" s="129"/>
      <c r="S1023" s="139" t="s">
        <v>6</v>
      </c>
      <c r="T1023" s="115" t="s">
        <v>4</v>
      </c>
      <c r="U1023" s="139" t="s">
        <v>14</v>
      </c>
      <c r="V1023" s="139" t="s">
        <v>1917</v>
      </c>
      <c r="W1023" s="139" t="s">
        <v>1916</v>
      </c>
      <c r="X1023" s="139" t="s">
        <v>306</v>
      </c>
      <c r="Y1023" s="112" t="s">
        <v>3104</v>
      </c>
      <c r="Z1023" s="112" t="s">
        <v>306</v>
      </c>
      <c r="AA1023" s="139" t="s">
        <v>306</v>
      </c>
    </row>
    <row r="1024" spans="1:27" ht="17.25" customHeight="1">
      <c r="A1024" s="69" t="str">
        <f>IF(priority(Main[[#This Row],[Comments]])&lt;&gt;0, priority(Main[[#This Row],[Comments]]),"")</f>
        <v/>
      </c>
      <c r="B1024" s="63" t="s">
        <v>1767</v>
      </c>
      <c r="C1024" s="148" t="s">
        <v>4</v>
      </c>
      <c r="D1024" s="113" t="s">
        <v>812</v>
      </c>
      <c r="E1024" s="129"/>
      <c r="F1024" s="129"/>
      <c r="G1024" s="69" t="str">
        <f>IF(stdProdLT(Main[[#This Row],[Comments]])=0.1,"N/A",IF(stdProdLT(Main[[#This Row],[Comments]])=0,"",stdProdLT(Main[[#This Row],[Comments]])))</f>
        <v/>
      </c>
      <c r="H1024" s="138" t="str">
        <f>IF(Main[[#This Row],[In Stock Date]]="N/A", "N/A",IF(AND(Main[[#This Row],[In Stock Date]]&lt;&gt;"",Main[[#This Row],[Revised Due Date]]&lt;&gt;"",Main[[#This Row],[In Stock Date]]&lt;&gt;""),Main[[#This Row],[In Stock Date]]-Main[[#This Row],[Revised Due Date]],""))</f>
        <v/>
      </c>
      <c r="I1024" s="139" t="s">
        <v>4</v>
      </c>
      <c r="J1024" s="139" t="s">
        <v>4</v>
      </c>
      <c r="K1024" s="139" t="s">
        <v>4</v>
      </c>
      <c r="L1024" s="129"/>
      <c r="M1024" s="114" t="str">
        <f>IF(Main[[#This Row],[Tech Start Date]]&lt;1/1/1990,"",IF(Main[[#This Row],[Class]]="C",WORKDAY(Main[[#This Row],[Tech Start Date]],9),IF(Main[[#This Row],[Class]]="B", WORKDAY(Main[[#This Row],[Tech Start Date]],6),IF(Main[[#This Row],[Class]]="A",WORKDAY(Main[[#This Row],[Tech Start Date]],2),""))))</f>
        <v/>
      </c>
      <c r="N1024" s="114" t="str">
        <f>IF(Main[[#This Row],[Tech Start Date]]&lt;1/1/1990,"",IF(Main[[#This Row],[Class]]="C",WORKDAY(Main[[#This Row],[Tech Start Date]],19),IF(Main[[#This Row],[Class]]="B", WORKDAY(Main[[#This Row],[Tech Start Date]],12),IF(Main[[#This Row],[Class]]="A",WORKDAY(Main[[#This Row],[Tech Start Date]],4),""))))</f>
        <v/>
      </c>
      <c r="O1024" s="114" t="str">
        <f>IF(Main[[#This Row],[Tech Start Date]]&lt;1/1/1990,"",IF(Main[[#This Row],[Class]]="C",WORKDAY(Main[[#This Row],[Tech Start Date]],23),IF(Main[[#This Row],[Class]]="B", WORKDAY(Main[[#This Row],[Tech Start Date]],15),IF(Main[[#This Row],[Class]]="A",WORKDAY(Main[[#This Row],[Tech Start Date]],5),""))))</f>
        <v/>
      </c>
      <c r="P1024" s="114" t="str">
        <f>IF(Main[[#This Row],[Tech Start Date]]&lt;1/1/1990,"",IF(Main[[#This Row],[Class]]="C",WORKDAY(Main[[#This Row],[Tech Start Date]],28),IF(Main[[#This Row],[Class]]="B", WORKDAY(Main[[#This Row],[Tech Start Date]],19),IF(Main[[#This Row],[Class]]="A",WORKDAY(Main[[#This Row],[Tech Start Date]],9),""))))</f>
        <v/>
      </c>
      <c r="Q1024" s="129">
        <v>40209</v>
      </c>
      <c r="R1024" s="129"/>
      <c r="S1024" s="139" t="s">
        <v>6</v>
      </c>
      <c r="T1024" s="115" t="s">
        <v>4</v>
      </c>
      <c r="U1024" s="139" t="s">
        <v>14</v>
      </c>
      <c r="V1024" s="139" t="s">
        <v>1917</v>
      </c>
      <c r="W1024" s="139" t="s">
        <v>4</v>
      </c>
      <c r="X1024" s="139" t="s">
        <v>2887</v>
      </c>
      <c r="Y1024" s="112" t="s">
        <v>3043</v>
      </c>
      <c r="Z1024" s="112" t="s">
        <v>4</v>
      </c>
      <c r="AA1024" s="139" t="s">
        <v>2887</v>
      </c>
    </row>
    <row r="1025" spans="1:27" ht="17.25" customHeight="1">
      <c r="A1025" s="69" t="str">
        <f>IF(priority(Main[[#This Row],[Comments]])&lt;&gt;0, priority(Main[[#This Row],[Comments]]),"")</f>
        <v/>
      </c>
      <c r="B1025" s="63" t="s">
        <v>1768</v>
      </c>
      <c r="C1025" s="148" t="s">
        <v>813</v>
      </c>
      <c r="D1025" s="113" t="s">
        <v>814</v>
      </c>
      <c r="E1025" s="129"/>
      <c r="F1025" s="129">
        <v>40678</v>
      </c>
      <c r="G1025" s="69" t="str">
        <f>IF(stdProdLT(Main[[#This Row],[Comments]])=0.1,"N/A",IF(stdProdLT(Main[[#This Row],[Comments]])=0,"",stdProdLT(Main[[#This Row],[Comments]])))</f>
        <v/>
      </c>
      <c r="H1025" s="138" t="str">
        <f>IF(Main[[#This Row],[In Stock Date]]="N/A", "N/A",IF(AND(Main[[#This Row],[In Stock Date]]&lt;&gt;"",Main[[#This Row],[Revised Due Date]]&lt;&gt;"",Main[[#This Row],[In Stock Date]]&lt;&gt;""),Main[[#This Row],[In Stock Date]]-Main[[#This Row],[Revised Due Date]],""))</f>
        <v/>
      </c>
      <c r="I1025" s="139" t="s">
        <v>4</v>
      </c>
      <c r="J1025" s="139" t="s">
        <v>4</v>
      </c>
      <c r="K1025" s="139" t="s">
        <v>4</v>
      </c>
      <c r="L1025" s="129"/>
      <c r="M1025" s="114" t="str">
        <f>IF(Main[[#This Row],[Tech Start Date]]&lt;1/1/1990,"",IF(Main[[#This Row],[Class]]="C",WORKDAY(Main[[#This Row],[Tech Start Date]],9),IF(Main[[#This Row],[Class]]="B", WORKDAY(Main[[#This Row],[Tech Start Date]],6),IF(Main[[#This Row],[Class]]="A",WORKDAY(Main[[#This Row],[Tech Start Date]],2),""))))</f>
        <v/>
      </c>
      <c r="N1025" s="114" t="str">
        <f>IF(Main[[#This Row],[Tech Start Date]]&lt;1/1/1990,"",IF(Main[[#This Row],[Class]]="C",WORKDAY(Main[[#This Row],[Tech Start Date]],19),IF(Main[[#This Row],[Class]]="B", WORKDAY(Main[[#This Row],[Tech Start Date]],12),IF(Main[[#This Row],[Class]]="A",WORKDAY(Main[[#This Row],[Tech Start Date]],4),""))))</f>
        <v/>
      </c>
      <c r="O1025" s="114" t="str">
        <f>IF(Main[[#This Row],[Tech Start Date]]&lt;1/1/1990,"",IF(Main[[#This Row],[Class]]="C",WORKDAY(Main[[#This Row],[Tech Start Date]],23),IF(Main[[#This Row],[Class]]="B", WORKDAY(Main[[#This Row],[Tech Start Date]],15),IF(Main[[#This Row],[Class]]="A",WORKDAY(Main[[#This Row],[Tech Start Date]],5),""))))</f>
        <v/>
      </c>
      <c r="P1025" s="114" t="str">
        <f>IF(Main[[#This Row],[Tech Start Date]]&lt;1/1/1990,"",IF(Main[[#This Row],[Class]]="C",WORKDAY(Main[[#This Row],[Tech Start Date]],28),IF(Main[[#This Row],[Class]]="B", WORKDAY(Main[[#This Row],[Tech Start Date]],19),IF(Main[[#This Row],[Class]]="A",WORKDAY(Main[[#This Row],[Tech Start Date]],9),""))))</f>
        <v/>
      </c>
      <c r="Q1025" s="129">
        <v>40602</v>
      </c>
      <c r="R1025" s="129"/>
      <c r="S1025" s="139" t="s">
        <v>11</v>
      </c>
      <c r="T1025" s="115" t="s">
        <v>4</v>
      </c>
      <c r="U1025" s="139" t="s">
        <v>14</v>
      </c>
      <c r="V1025" s="139" t="s">
        <v>1914</v>
      </c>
      <c r="W1025" s="139" t="s">
        <v>1920</v>
      </c>
      <c r="X1025" s="139" t="s">
        <v>2824</v>
      </c>
      <c r="Y1025" s="112" t="s">
        <v>2943</v>
      </c>
      <c r="Z1025" s="112" t="s">
        <v>4</v>
      </c>
      <c r="AA1025" s="139" t="s">
        <v>2824</v>
      </c>
    </row>
    <row r="1026" spans="1:27" ht="17.25" customHeight="1">
      <c r="A1026" s="69" t="str">
        <f>IF(priority(Main[[#This Row],[Comments]])&lt;&gt;0, priority(Main[[#This Row],[Comments]]),"")</f>
        <v/>
      </c>
      <c r="B1026" s="63" t="s">
        <v>1771</v>
      </c>
      <c r="C1026" s="148" t="s">
        <v>815</v>
      </c>
      <c r="D1026" s="113" t="s">
        <v>816</v>
      </c>
      <c r="E1026" s="129"/>
      <c r="F1026" s="129"/>
      <c r="G1026" s="69" t="str">
        <f>IF(stdProdLT(Main[[#This Row],[Comments]])=0.1,"N/A",IF(stdProdLT(Main[[#This Row],[Comments]])=0,"",stdProdLT(Main[[#This Row],[Comments]])))</f>
        <v/>
      </c>
      <c r="H1026" s="138" t="str">
        <f>IF(Main[[#This Row],[In Stock Date]]="N/A", "N/A",IF(AND(Main[[#This Row],[In Stock Date]]&lt;&gt;"",Main[[#This Row],[Revised Due Date]]&lt;&gt;"",Main[[#This Row],[In Stock Date]]&lt;&gt;""),Main[[#This Row],[In Stock Date]]-Main[[#This Row],[Revised Due Date]],""))</f>
        <v/>
      </c>
      <c r="I1026" s="139" t="s">
        <v>4</v>
      </c>
      <c r="J1026" s="139" t="s">
        <v>4</v>
      </c>
      <c r="K1026" s="139" t="s">
        <v>4</v>
      </c>
      <c r="L1026" s="129"/>
      <c r="M1026" s="114" t="str">
        <f>IF(Main[[#This Row],[Tech Start Date]]&lt;1/1/1990,"",IF(Main[[#This Row],[Class]]="C",WORKDAY(Main[[#This Row],[Tech Start Date]],9),IF(Main[[#This Row],[Class]]="B", WORKDAY(Main[[#This Row],[Tech Start Date]],6),IF(Main[[#This Row],[Class]]="A",WORKDAY(Main[[#This Row],[Tech Start Date]],2),""))))</f>
        <v/>
      </c>
      <c r="N1026" s="114" t="str">
        <f>IF(Main[[#This Row],[Tech Start Date]]&lt;1/1/1990,"",IF(Main[[#This Row],[Class]]="C",WORKDAY(Main[[#This Row],[Tech Start Date]],19),IF(Main[[#This Row],[Class]]="B", WORKDAY(Main[[#This Row],[Tech Start Date]],12),IF(Main[[#This Row],[Class]]="A",WORKDAY(Main[[#This Row],[Tech Start Date]],4),""))))</f>
        <v/>
      </c>
      <c r="O1026" s="114" t="str">
        <f>IF(Main[[#This Row],[Tech Start Date]]&lt;1/1/1990,"",IF(Main[[#This Row],[Class]]="C",WORKDAY(Main[[#This Row],[Tech Start Date]],23),IF(Main[[#This Row],[Class]]="B", WORKDAY(Main[[#This Row],[Tech Start Date]],15),IF(Main[[#This Row],[Class]]="A",WORKDAY(Main[[#This Row],[Tech Start Date]],5),""))))</f>
        <v/>
      </c>
      <c r="P1026" s="114" t="str">
        <f>IF(Main[[#This Row],[Tech Start Date]]&lt;1/1/1990,"",IF(Main[[#This Row],[Class]]="C",WORKDAY(Main[[#This Row],[Tech Start Date]],28),IF(Main[[#This Row],[Class]]="B", WORKDAY(Main[[#This Row],[Tech Start Date]],19),IF(Main[[#This Row],[Class]]="A",WORKDAY(Main[[#This Row],[Tech Start Date]],9),""))))</f>
        <v/>
      </c>
      <c r="Q1026" s="129">
        <v>40715</v>
      </c>
      <c r="R1026" s="129"/>
      <c r="S1026" s="139" t="s">
        <v>11</v>
      </c>
      <c r="T1026" s="115" t="s">
        <v>4</v>
      </c>
      <c r="U1026" s="139" t="s">
        <v>14</v>
      </c>
      <c r="V1026" s="139" t="s">
        <v>1915</v>
      </c>
      <c r="W1026" s="139" t="s">
        <v>1916</v>
      </c>
      <c r="X1026" s="139" t="s">
        <v>2816</v>
      </c>
      <c r="Y1026" s="112" t="s">
        <v>4</v>
      </c>
      <c r="Z1026" s="112" t="s">
        <v>4</v>
      </c>
      <c r="AA1026" s="139" t="s">
        <v>2816</v>
      </c>
    </row>
    <row r="1027" spans="1:27" ht="17.25" customHeight="1">
      <c r="A1027" s="69" t="str">
        <f>IF(priority(Main[[#This Row],[Comments]])&lt;&gt;0, priority(Main[[#This Row],[Comments]]),"")</f>
        <v/>
      </c>
      <c r="B1027" s="63" t="s">
        <v>2166</v>
      </c>
      <c r="C1027" s="148" t="s">
        <v>2160</v>
      </c>
      <c r="D1027" s="113" t="s">
        <v>2161</v>
      </c>
      <c r="E1027" s="129">
        <v>40781.39603009259</v>
      </c>
      <c r="F1027" s="129"/>
      <c r="G1027" s="69" t="str">
        <f>IF(stdProdLT(Main[[#This Row],[Comments]])=0.1,"N/A",IF(stdProdLT(Main[[#This Row],[Comments]])=0,"",stdProdLT(Main[[#This Row],[Comments]])))</f>
        <v/>
      </c>
      <c r="H1027" s="138" t="str">
        <f>IF(Main[[#This Row],[In Stock Date]]="N/A", "N/A",IF(AND(Main[[#This Row],[In Stock Date]]&lt;&gt;"",Main[[#This Row],[Revised Due Date]]&lt;&gt;"",Main[[#This Row],[In Stock Date]]&lt;&gt;""),Main[[#This Row],[In Stock Date]]-Main[[#This Row],[Revised Due Date]],""))</f>
        <v/>
      </c>
      <c r="I1027" s="139" t="s">
        <v>69</v>
      </c>
      <c r="J1027" s="139" t="s">
        <v>1978</v>
      </c>
      <c r="K1027" s="139" t="s">
        <v>1923</v>
      </c>
      <c r="L1027" s="129"/>
      <c r="M1027" s="114" t="str">
        <f>IF(Main[[#This Row],[Tech Start Date]]&lt;1/1/1990,"",IF(Main[[#This Row],[Class]]="C",WORKDAY(Main[[#This Row],[Tech Start Date]],9),IF(Main[[#This Row],[Class]]="B", WORKDAY(Main[[#This Row],[Tech Start Date]],6),IF(Main[[#This Row],[Class]]="A",WORKDAY(Main[[#This Row],[Tech Start Date]],2),""))))</f>
        <v/>
      </c>
      <c r="N1027" s="114" t="str">
        <f>IF(Main[[#This Row],[Tech Start Date]]&lt;1/1/1990,"",IF(Main[[#This Row],[Class]]="C",WORKDAY(Main[[#This Row],[Tech Start Date]],19),IF(Main[[#This Row],[Class]]="B", WORKDAY(Main[[#This Row],[Tech Start Date]],12),IF(Main[[#This Row],[Class]]="A",WORKDAY(Main[[#This Row],[Tech Start Date]],4),""))))</f>
        <v/>
      </c>
      <c r="O1027" s="114" t="str">
        <f>IF(Main[[#This Row],[Tech Start Date]]&lt;1/1/1990,"",IF(Main[[#This Row],[Class]]="C",WORKDAY(Main[[#This Row],[Tech Start Date]],23),IF(Main[[#This Row],[Class]]="B", WORKDAY(Main[[#This Row],[Tech Start Date]],15),IF(Main[[#This Row],[Class]]="A",WORKDAY(Main[[#This Row],[Tech Start Date]],5),""))))</f>
        <v/>
      </c>
      <c r="P1027" s="114" t="str">
        <f>IF(Main[[#This Row],[Tech Start Date]]&lt;1/1/1990,"",IF(Main[[#This Row],[Class]]="C",WORKDAY(Main[[#This Row],[Tech Start Date]],28),IF(Main[[#This Row],[Class]]="B", WORKDAY(Main[[#This Row],[Tech Start Date]],19),IF(Main[[#This Row],[Class]]="A",WORKDAY(Main[[#This Row],[Tech Start Date]],9),""))))</f>
        <v/>
      </c>
      <c r="Q1027" s="129">
        <v>40836</v>
      </c>
      <c r="R1027" s="129"/>
      <c r="S1027" s="139" t="s">
        <v>6</v>
      </c>
      <c r="T1027" s="115" t="s">
        <v>4</v>
      </c>
      <c r="U1027" s="139" t="s">
        <v>29</v>
      </c>
      <c r="V1027" s="139" t="s">
        <v>1917</v>
      </c>
      <c r="W1027" s="139" t="s">
        <v>1918</v>
      </c>
      <c r="X1027" s="139" t="s">
        <v>2836</v>
      </c>
      <c r="Y1027" s="112" t="s">
        <v>2965</v>
      </c>
      <c r="Z1027" s="112" t="s">
        <v>30</v>
      </c>
      <c r="AA1027" s="139" t="s">
        <v>2836</v>
      </c>
    </row>
    <row r="1028" spans="1:27" ht="17.25" customHeight="1">
      <c r="A1028" s="69" t="str">
        <f>IF(priority(Main[[#This Row],[Comments]])&lt;&gt;0, priority(Main[[#This Row],[Comments]]),"")</f>
        <v/>
      </c>
      <c r="B1028" s="63" t="s">
        <v>1781</v>
      </c>
      <c r="C1028" s="148" t="s">
        <v>180</v>
      </c>
      <c r="D1028" s="113" t="s">
        <v>823</v>
      </c>
      <c r="E1028" s="129"/>
      <c r="F1028" s="129">
        <v>40389</v>
      </c>
      <c r="G1028" s="69" t="str">
        <f>IF(stdProdLT(Main[[#This Row],[Comments]])=0.1,"N/A",IF(stdProdLT(Main[[#This Row],[Comments]])=0,"",stdProdLT(Main[[#This Row],[Comments]])))</f>
        <v/>
      </c>
      <c r="H1028" s="138" t="str">
        <f>IF(Main[[#This Row],[In Stock Date]]="N/A", "N/A",IF(AND(Main[[#This Row],[In Stock Date]]&lt;&gt;"",Main[[#This Row],[Revised Due Date]]&lt;&gt;"",Main[[#This Row],[In Stock Date]]&lt;&gt;""),Main[[#This Row],[In Stock Date]]-Main[[#This Row],[Revised Due Date]],""))</f>
        <v/>
      </c>
      <c r="I1028" s="139" t="s">
        <v>4</v>
      </c>
      <c r="J1028" s="139" t="s">
        <v>4</v>
      </c>
      <c r="K1028" s="139" t="s">
        <v>4</v>
      </c>
      <c r="L1028" s="129"/>
      <c r="M1028" s="114" t="str">
        <f>IF(Main[[#This Row],[Tech Start Date]]&lt;1/1/1990,"",IF(Main[[#This Row],[Class]]="C",WORKDAY(Main[[#This Row],[Tech Start Date]],9),IF(Main[[#This Row],[Class]]="B", WORKDAY(Main[[#This Row],[Tech Start Date]],6),IF(Main[[#This Row],[Class]]="A",WORKDAY(Main[[#This Row],[Tech Start Date]],2),""))))</f>
        <v/>
      </c>
      <c r="N1028" s="114" t="str">
        <f>IF(Main[[#This Row],[Tech Start Date]]&lt;1/1/1990,"",IF(Main[[#This Row],[Class]]="C",WORKDAY(Main[[#This Row],[Tech Start Date]],19),IF(Main[[#This Row],[Class]]="B", WORKDAY(Main[[#This Row],[Tech Start Date]],12),IF(Main[[#This Row],[Class]]="A",WORKDAY(Main[[#This Row],[Tech Start Date]],4),""))))</f>
        <v/>
      </c>
      <c r="O1028" s="114" t="str">
        <f>IF(Main[[#This Row],[Tech Start Date]]&lt;1/1/1990,"",IF(Main[[#This Row],[Class]]="C",WORKDAY(Main[[#This Row],[Tech Start Date]],23),IF(Main[[#This Row],[Class]]="B", WORKDAY(Main[[#This Row],[Tech Start Date]],15),IF(Main[[#This Row],[Class]]="A",WORKDAY(Main[[#This Row],[Tech Start Date]],5),""))))</f>
        <v/>
      </c>
      <c r="P1028" s="114" t="str">
        <f>IF(Main[[#This Row],[Tech Start Date]]&lt;1/1/1990,"",IF(Main[[#This Row],[Class]]="C",WORKDAY(Main[[#This Row],[Tech Start Date]],28),IF(Main[[#This Row],[Class]]="B", WORKDAY(Main[[#This Row],[Tech Start Date]],19),IF(Main[[#This Row],[Class]]="A",WORKDAY(Main[[#This Row],[Tech Start Date]],9),""))))</f>
        <v/>
      </c>
      <c r="Q1028" s="129">
        <v>40298</v>
      </c>
      <c r="R1028" s="129"/>
      <c r="S1028" s="139" t="s">
        <v>11</v>
      </c>
      <c r="T1028" s="115" t="s">
        <v>4</v>
      </c>
      <c r="U1028" s="139" t="s">
        <v>14</v>
      </c>
      <c r="V1028" s="139" t="s">
        <v>1914</v>
      </c>
      <c r="W1028" s="139" t="s">
        <v>1920</v>
      </c>
      <c r="X1028" s="139" t="s">
        <v>2824</v>
      </c>
      <c r="Y1028" s="112" t="s">
        <v>2943</v>
      </c>
      <c r="Z1028" s="112" t="s">
        <v>4</v>
      </c>
      <c r="AA1028" s="139" t="s">
        <v>2824</v>
      </c>
    </row>
    <row r="1029" spans="1:27" ht="17.25" customHeight="1">
      <c r="A1029" s="69" t="str">
        <f>IF(priority(Main[[#This Row],[Comments]])&lt;&gt;0, priority(Main[[#This Row],[Comments]]),"")</f>
        <v/>
      </c>
      <c r="B1029" s="63" t="s">
        <v>1782</v>
      </c>
      <c r="C1029" s="148" t="s">
        <v>824</v>
      </c>
      <c r="D1029" s="113" t="s">
        <v>825</v>
      </c>
      <c r="E1029" s="129"/>
      <c r="F1029" s="129"/>
      <c r="G1029" s="69" t="str">
        <f>IF(stdProdLT(Main[[#This Row],[Comments]])=0.1,"N/A",IF(stdProdLT(Main[[#This Row],[Comments]])=0,"",stdProdLT(Main[[#This Row],[Comments]])))</f>
        <v/>
      </c>
      <c r="H1029" s="138" t="str">
        <f>IF(Main[[#This Row],[In Stock Date]]="N/A", "N/A",IF(AND(Main[[#This Row],[In Stock Date]]&lt;&gt;"",Main[[#This Row],[Revised Due Date]]&lt;&gt;"",Main[[#This Row],[In Stock Date]]&lt;&gt;""),Main[[#This Row],[In Stock Date]]-Main[[#This Row],[Revised Due Date]],""))</f>
        <v/>
      </c>
      <c r="I1029" s="139" t="s">
        <v>4</v>
      </c>
      <c r="J1029" s="139" t="s">
        <v>4</v>
      </c>
      <c r="K1029" s="139" t="s">
        <v>4</v>
      </c>
      <c r="L1029" s="129"/>
      <c r="M1029" s="114" t="str">
        <f>IF(Main[[#This Row],[Tech Start Date]]&lt;1/1/1990,"",IF(Main[[#This Row],[Class]]="C",WORKDAY(Main[[#This Row],[Tech Start Date]],9),IF(Main[[#This Row],[Class]]="B", WORKDAY(Main[[#This Row],[Tech Start Date]],6),IF(Main[[#This Row],[Class]]="A",WORKDAY(Main[[#This Row],[Tech Start Date]],2),""))))</f>
        <v/>
      </c>
      <c r="N1029" s="114" t="str">
        <f>IF(Main[[#This Row],[Tech Start Date]]&lt;1/1/1990,"",IF(Main[[#This Row],[Class]]="C",WORKDAY(Main[[#This Row],[Tech Start Date]],19),IF(Main[[#This Row],[Class]]="B", WORKDAY(Main[[#This Row],[Tech Start Date]],12),IF(Main[[#This Row],[Class]]="A",WORKDAY(Main[[#This Row],[Tech Start Date]],4),""))))</f>
        <v/>
      </c>
      <c r="O1029" s="114" t="str">
        <f>IF(Main[[#This Row],[Tech Start Date]]&lt;1/1/1990,"",IF(Main[[#This Row],[Class]]="C",WORKDAY(Main[[#This Row],[Tech Start Date]],23),IF(Main[[#This Row],[Class]]="B", WORKDAY(Main[[#This Row],[Tech Start Date]],15),IF(Main[[#This Row],[Class]]="A",WORKDAY(Main[[#This Row],[Tech Start Date]],5),""))))</f>
        <v/>
      </c>
      <c r="P1029" s="114" t="str">
        <f>IF(Main[[#This Row],[Tech Start Date]]&lt;1/1/1990,"",IF(Main[[#This Row],[Class]]="C",WORKDAY(Main[[#This Row],[Tech Start Date]],28),IF(Main[[#This Row],[Class]]="B", WORKDAY(Main[[#This Row],[Tech Start Date]],19),IF(Main[[#This Row],[Class]]="A",WORKDAY(Main[[#This Row],[Tech Start Date]],9),""))))</f>
        <v/>
      </c>
      <c r="Q1029" s="129"/>
      <c r="R1029" s="129"/>
      <c r="S1029" s="139" t="s">
        <v>11</v>
      </c>
      <c r="T1029" s="115" t="s">
        <v>4</v>
      </c>
      <c r="U1029" s="139" t="s">
        <v>14</v>
      </c>
      <c r="V1029" s="139" t="s">
        <v>1917</v>
      </c>
      <c r="W1029" s="139" t="s">
        <v>1925</v>
      </c>
      <c r="X1029" s="139" t="s">
        <v>2868</v>
      </c>
      <c r="Y1029" s="112" t="s">
        <v>3012</v>
      </c>
      <c r="Z1029" s="112" t="s">
        <v>4</v>
      </c>
      <c r="AA1029" s="139" t="s">
        <v>3441</v>
      </c>
    </row>
    <row r="1030" spans="1:27" ht="17.25" customHeight="1">
      <c r="A1030" s="69" t="str">
        <f>IF(priority(Main[[#This Row],[Comments]])&lt;&gt;0, priority(Main[[#This Row],[Comments]]),"")</f>
        <v/>
      </c>
      <c r="B1030" s="63" t="s">
        <v>1784</v>
      </c>
      <c r="C1030" s="148" t="s">
        <v>4</v>
      </c>
      <c r="D1030" s="113" t="s">
        <v>828</v>
      </c>
      <c r="E1030" s="129"/>
      <c r="F1030" s="129"/>
      <c r="G1030" s="69" t="str">
        <f>IF(stdProdLT(Main[[#This Row],[Comments]])=0.1,"N/A",IF(stdProdLT(Main[[#This Row],[Comments]])=0,"",stdProdLT(Main[[#This Row],[Comments]])))</f>
        <v/>
      </c>
      <c r="H1030" s="138" t="str">
        <f>IF(Main[[#This Row],[In Stock Date]]="N/A", "N/A",IF(AND(Main[[#This Row],[In Stock Date]]&lt;&gt;"",Main[[#This Row],[Revised Due Date]]&lt;&gt;"",Main[[#This Row],[In Stock Date]]&lt;&gt;""),Main[[#This Row],[In Stock Date]]-Main[[#This Row],[Revised Due Date]],""))</f>
        <v/>
      </c>
      <c r="I1030" s="139" t="s">
        <v>4</v>
      </c>
      <c r="J1030" s="139" t="s">
        <v>4</v>
      </c>
      <c r="K1030" s="139" t="s">
        <v>4</v>
      </c>
      <c r="L1030" s="129"/>
      <c r="M1030" s="114" t="str">
        <f>IF(Main[[#This Row],[Tech Start Date]]&lt;1/1/1990,"",IF(Main[[#This Row],[Class]]="C",WORKDAY(Main[[#This Row],[Tech Start Date]],9),IF(Main[[#This Row],[Class]]="B", WORKDAY(Main[[#This Row],[Tech Start Date]],6),IF(Main[[#This Row],[Class]]="A",WORKDAY(Main[[#This Row],[Tech Start Date]],2),""))))</f>
        <v/>
      </c>
      <c r="N1030" s="114" t="str">
        <f>IF(Main[[#This Row],[Tech Start Date]]&lt;1/1/1990,"",IF(Main[[#This Row],[Class]]="C",WORKDAY(Main[[#This Row],[Tech Start Date]],19),IF(Main[[#This Row],[Class]]="B", WORKDAY(Main[[#This Row],[Tech Start Date]],12),IF(Main[[#This Row],[Class]]="A",WORKDAY(Main[[#This Row],[Tech Start Date]],4),""))))</f>
        <v/>
      </c>
      <c r="O1030" s="114" t="str">
        <f>IF(Main[[#This Row],[Tech Start Date]]&lt;1/1/1990,"",IF(Main[[#This Row],[Class]]="C",WORKDAY(Main[[#This Row],[Tech Start Date]],23),IF(Main[[#This Row],[Class]]="B", WORKDAY(Main[[#This Row],[Tech Start Date]],15),IF(Main[[#This Row],[Class]]="A",WORKDAY(Main[[#This Row],[Tech Start Date]],5),""))))</f>
        <v/>
      </c>
      <c r="P1030" s="114" t="str">
        <f>IF(Main[[#This Row],[Tech Start Date]]&lt;1/1/1990,"",IF(Main[[#This Row],[Class]]="C",WORKDAY(Main[[#This Row],[Tech Start Date]],28),IF(Main[[#This Row],[Class]]="B", WORKDAY(Main[[#This Row],[Tech Start Date]],19),IF(Main[[#This Row],[Class]]="A",WORKDAY(Main[[#This Row],[Tech Start Date]],9),""))))</f>
        <v/>
      </c>
      <c r="Q1030" s="129"/>
      <c r="R1030" s="129"/>
      <c r="S1030" s="139" t="s">
        <v>11</v>
      </c>
      <c r="T1030" s="115" t="s">
        <v>4</v>
      </c>
      <c r="U1030" s="139" t="s">
        <v>12</v>
      </c>
      <c r="V1030" s="139" t="s">
        <v>1915</v>
      </c>
      <c r="W1030" s="139" t="s">
        <v>1919</v>
      </c>
      <c r="X1030" s="139" t="s">
        <v>969</v>
      </c>
      <c r="Y1030" s="112" t="s">
        <v>3085</v>
      </c>
      <c r="Z1030" s="112" t="s">
        <v>4</v>
      </c>
      <c r="AA1030" s="139" t="s">
        <v>969</v>
      </c>
    </row>
    <row r="1031" spans="1:27" ht="17.25" customHeight="1">
      <c r="A1031" s="69" t="str">
        <f>IF(priority(Main[[#This Row],[Comments]])&lt;&gt;0, priority(Main[[#This Row],[Comments]]),"")</f>
        <v/>
      </c>
      <c r="B1031" s="63" t="s">
        <v>1755</v>
      </c>
      <c r="C1031" s="148" t="s">
        <v>4</v>
      </c>
      <c r="D1031" s="113" t="s">
        <v>803</v>
      </c>
      <c r="E1031" s="129">
        <v>40584.403622685182</v>
      </c>
      <c r="F1031" s="129">
        <v>40602</v>
      </c>
      <c r="G1031" s="69" t="str">
        <f>IF(stdProdLT(Main[[#This Row],[Comments]])=0.1,"N/A",IF(stdProdLT(Main[[#This Row],[Comments]])=0,"",stdProdLT(Main[[#This Row],[Comments]])))</f>
        <v/>
      </c>
      <c r="H1031" s="138" t="str">
        <f>IF(Main[[#This Row],[In Stock Date]]="N/A", "N/A",IF(AND(Main[[#This Row],[In Stock Date]]&lt;&gt;"",Main[[#This Row],[Revised Due Date]]&lt;&gt;"",Main[[#This Row],[In Stock Date]]&lt;&gt;""),Main[[#This Row],[In Stock Date]]-Main[[#This Row],[Revised Due Date]],""))</f>
        <v/>
      </c>
      <c r="I1031" s="139" t="s">
        <v>4</v>
      </c>
      <c r="J1031" s="139" t="s">
        <v>28</v>
      </c>
      <c r="K1031" s="139" t="s">
        <v>1926</v>
      </c>
      <c r="L1031" s="129"/>
      <c r="M1031" s="114" t="str">
        <f>IF(Main[[#This Row],[Tech Start Date]]&lt;1/1/1990,"",IF(Main[[#This Row],[Class]]="C",WORKDAY(Main[[#This Row],[Tech Start Date]],9),IF(Main[[#This Row],[Class]]="B", WORKDAY(Main[[#This Row],[Tech Start Date]],6),IF(Main[[#This Row],[Class]]="A",WORKDAY(Main[[#This Row],[Tech Start Date]],2),""))))</f>
        <v/>
      </c>
      <c r="N1031" s="114" t="str">
        <f>IF(Main[[#This Row],[Tech Start Date]]&lt;1/1/1990,"",IF(Main[[#This Row],[Class]]="C",WORKDAY(Main[[#This Row],[Tech Start Date]],19),IF(Main[[#This Row],[Class]]="B", WORKDAY(Main[[#This Row],[Tech Start Date]],12),IF(Main[[#This Row],[Class]]="A",WORKDAY(Main[[#This Row],[Tech Start Date]],4),""))))</f>
        <v/>
      </c>
      <c r="O1031" s="114" t="str">
        <f>IF(Main[[#This Row],[Tech Start Date]]&lt;1/1/1990,"",IF(Main[[#This Row],[Class]]="C",WORKDAY(Main[[#This Row],[Tech Start Date]],23),IF(Main[[#This Row],[Class]]="B", WORKDAY(Main[[#This Row],[Tech Start Date]],15),IF(Main[[#This Row],[Class]]="A",WORKDAY(Main[[#This Row],[Tech Start Date]],5),""))))</f>
        <v/>
      </c>
      <c r="P1031" s="114" t="str">
        <f>IF(Main[[#This Row],[Tech Start Date]]&lt;1/1/1990,"",IF(Main[[#This Row],[Class]]="C",WORKDAY(Main[[#This Row],[Tech Start Date]],28),IF(Main[[#This Row],[Class]]="B", WORKDAY(Main[[#This Row],[Tech Start Date]],19),IF(Main[[#This Row],[Class]]="A",WORKDAY(Main[[#This Row],[Tech Start Date]],9),""))))</f>
        <v/>
      </c>
      <c r="Q1031" s="129">
        <v>40602</v>
      </c>
      <c r="R1031" s="129"/>
      <c r="S1031" s="139" t="s">
        <v>17</v>
      </c>
      <c r="T1031" s="115" t="s">
        <v>4</v>
      </c>
      <c r="U1031" s="139" t="s">
        <v>7</v>
      </c>
      <c r="V1031" s="139" t="s">
        <v>1914</v>
      </c>
      <c r="W1031" s="139" t="s">
        <v>1922</v>
      </c>
      <c r="X1031" s="139" t="s">
        <v>2828</v>
      </c>
      <c r="Y1031" s="112" t="s">
        <v>2950</v>
      </c>
      <c r="Z1031" s="112" t="s">
        <v>129</v>
      </c>
      <c r="AA1031" s="139" t="s">
        <v>2828</v>
      </c>
    </row>
    <row r="1032" spans="1:27" ht="17.25" customHeight="1">
      <c r="A1032" s="69" t="str">
        <f>IF(priority(Main[[#This Row],[Comments]])&lt;&gt;0, priority(Main[[#This Row],[Comments]]),"")</f>
        <v/>
      </c>
      <c r="B1032" s="63" t="s">
        <v>1732</v>
      </c>
      <c r="C1032" s="148" t="s">
        <v>4</v>
      </c>
      <c r="D1032" s="113" t="s">
        <v>2228</v>
      </c>
      <c r="E1032" s="129"/>
      <c r="F1032" s="129"/>
      <c r="G1032" s="69" t="str">
        <f>IF(stdProdLT(Main[[#This Row],[Comments]])=0.1,"N/A",IF(stdProdLT(Main[[#This Row],[Comments]])=0,"",stdProdLT(Main[[#This Row],[Comments]])))</f>
        <v/>
      </c>
      <c r="H1032" s="138" t="str">
        <f>IF(Main[[#This Row],[In Stock Date]]="N/A", "N/A",IF(AND(Main[[#This Row],[In Stock Date]]&lt;&gt;"",Main[[#This Row],[Revised Due Date]]&lt;&gt;"",Main[[#This Row],[In Stock Date]]&lt;&gt;""),Main[[#This Row],[In Stock Date]]-Main[[#This Row],[Revised Due Date]],""))</f>
        <v/>
      </c>
      <c r="I1032" s="139" t="s">
        <v>912</v>
      </c>
      <c r="J1032" s="139" t="s">
        <v>21</v>
      </c>
      <c r="K1032" s="139" t="s">
        <v>1923</v>
      </c>
      <c r="L1032" s="129"/>
      <c r="M1032" s="114" t="str">
        <f>IF(Main[[#This Row],[Tech Start Date]]&lt;1/1/1990,"",IF(Main[[#This Row],[Class]]="C",WORKDAY(Main[[#This Row],[Tech Start Date]],9),IF(Main[[#This Row],[Class]]="B", WORKDAY(Main[[#This Row],[Tech Start Date]],6),IF(Main[[#This Row],[Class]]="A",WORKDAY(Main[[#This Row],[Tech Start Date]],2),""))))</f>
        <v/>
      </c>
      <c r="N1032" s="114" t="str">
        <f>IF(Main[[#This Row],[Tech Start Date]]&lt;1/1/1990,"",IF(Main[[#This Row],[Class]]="C",WORKDAY(Main[[#This Row],[Tech Start Date]],19),IF(Main[[#This Row],[Class]]="B", WORKDAY(Main[[#This Row],[Tech Start Date]],12),IF(Main[[#This Row],[Class]]="A",WORKDAY(Main[[#This Row],[Tech Start Date]],4),""))))</f>
        <v/>
      </c>
      <c r="O1032" s="114" t="str">
        <f>IF(Main[[#This Row],[Tech Start Date]]&lt;1/1/1990,"",IF(Main[[#This Row],[Class]]="C",WORKDAY(Main[[#This Row],[Tech Start Date]],23),IF(Main[[#This Row],[Class]]="B", WORKDAY(Main[[#This Row],[Tech Start Date]],15),IF(Main[[#This Row],[Class]]="A",WORKDAY(Main[[#This Row],[Tech Start Date]],5),""))))</f>
        <v/>
      </c>
      <c r="P1032" s="114" t="str">
        <f>IF(Main[[#This Row],[Tech Start Date]]&lt;1/1/1990,"",IF(Main[[#This Row],[Class]]="C",WORKDAY(Main[[#This Row],[Tech Start Date]],28),IF(Main[[#This Row],[Class]]="B", WORKDAY(Main[[#This Row],[Tech Start Date]],19),IF(Main[[#This Row],[Class]]="A",WORKDAY(Main[[#This Row],[Tech Start Date]],9),""))))</f>
        <v/>
      </c>
      <c r="Q1032" s="129"/>
      <c r="R1032" s="129"/>
      <c r="S1032" s="139" t="s">
        <v>23</v>
      </c>
      <c r="T1032" s="115" t="s">
        <v>4</v>
      </c>
      <c r="U1032" s="139" t="s">
        <v>14</v>
      </c>
      <c r="V1032" s="139" t="s">
        <v>1914</v>
      </c>
      <c r="W1032" s="139" t="s">
        <v>1918</v>
      </c>
      <c r="X1032" s="139" t="s">
        <v>399</v>
      </c>
      <c r="Y1032" s="112" t="s">
        <v>4</v>
      </c>
      <c r="Z1032" s="112" t="s">
        <v>912</v>
      </c>
      <c r="AA1032" s="139" t="s">
        <v>3447</v>
      </c>
    </row>
    <row r="1033" spans="1:27" ht="17.25" customHeight="1">
      <c r="A1033" s="69" t="str">
        <f>IF(priority(Main[[#This Row],[Comments]])&lt;&gt;0, priority(Main[[#This Row],[Comments]]),"")</f>
        <v/>
      </c>
      <c r="B1033" s="63" t="s">
        <v>1401</v>
      </c>
      <c r="C1033" s="148" t="s">
        <v>4</v>
      </c>
      <c r="D1033" s="113" t="s">
        <v>2196</v>
      </c>
      <c r="E1033" s="129"/>
      <c r="F1033" s="129"/>
      <c r="G1033" s="69" t="str">
        <f>IF(stdProdLT(Main[[#This Row],[Comments]])=0.1,"N/A",IF(stdProdLT(Main[[#This Row],[Comments]])=0,"",stdProdLT(Main[[#This Row],[Comments]])))</f>
        <v/>
      </c>
      <c r="H1033" s="138" t="str">
        <f>IF(Main[[#This Row],[In Stock Date]]="N/A", "N/A",IF(AND(Main[[#This Row],[In Stock Date]]&lt;&gt;"",Main[[#This Row],[Revised Due Date]]&lt;&gt;"",Main[[#This Row],[In Stock Date]]&lt;&gt;""),Main[[#This Row],[In Stock Date]]-Main[[#This Row],[Revised Due Date]],""))</f>
        <v/>
      </c>
      <c r="I1033" s="139" t="s">
        <v>530</v>
      </c>
      <c r="J1033" s="139" t="s">
        <v>52</v>
      </c>
      <c r="K1033" s="139" t="s">
        <v>1923</v>
      </c>
      <c r="L1033" s="129"/>
      <c r="M1033" s="114" t="str">
        <f>IF(Main[[#This Row],[Tech Start Date]]&lt;1/1/1990,"",IF(Main[[#This Row],[Class]]="C",WORKDAY(Main[[#This Row],[Tech Start Date]],9),IF(Main[[#This Row],[Class]]="B", WORKDAY(Main[[#This Row],[Tech Start Date]],6),IF(Main[[#This Row],[Class]]="A",WORKDAY(Main[[#This Row],[Tech Start Date]],2),""))))</f>
        <v/>
      </c>
      <c r="N1033" s="114" t="str">
        <f>IF(Main[[#This Row],[Tech Start Date]]&lt;1/1/1990,"",IF(Main[[#This Row],[Class]]="C",WORKDAY(Main[[#This Row],[Tech Start Date]],19),IF(Main[[#This Row],[Class]]="B", WORKDAY(Main[[#This Row],[Tech Start Date]],12),IF(Main[[#This Row],[Class]]="A",WORKDAY(Main[[#This Row],[Tech Start Date]],4),""))))</f>
        <v/>
      </c>
      <c r="O1033" s="114" t="str">
        <f>IF(Main[[#This Row],[Tech Start Date]]&lt;1/1/1990,"",IF(Main[[#This Row],[Class]]="C",WORKDAY(Main[[#This Row],[Tech Start Date]],23),IF(Main[[#This Row],[Class]]="B", WORKDAY(Main[[#This Row],[Tech Start Date]],15),IF(Main[[#This Row],[Class]]="A",WORKDAY(Main[[#This Row],[Tech Start Date]],5),""))))</f>
        <v/>
      </c>
      <c r="P1033" s="114" t="str">
        <f>IF(Main[[#This Row],[Tech Start Date]]&lt;1/1/1990,"",IF(Main[[#This Row],[Class]]="C",WORKDAY(Main[[#This Row],[Tech Start Date]],28),IF(Main[[#This Row],[Class]]="B", WORKDAY(Main[[#This Row],[Tech Start Date]],19),IF(Main[[#This Row],[Class]]="A",WORKDAY(Main[[#This Row],[Tech Start Date]],9),""))))</f>
        <v/>
      </c>
      <c r="Q1033" s="129">
        <v>40390</v>
      </c>
      <c r="R1033" s="129"/>
      <c r="S1033" s="139" t="s">
        <v>6</v>
      </c>
      <c r="T1033" s="115" t="s">
        <v>4</v>
      </c>
      <c r="U1033" s="139" t="s">
        <v>14</v>
      </c>
      <c r="V1033" s="139" t="s">
        <v>1917</v>
      </c>
      <c r="W1033" s="139" t="s">
        <v>1918</v>
      </c>
      <c r="X1033" s="139" t="s">
        <v>2819</v>
      </c>
      <c r="Y1033" s="112" t="s">
        <v>2932</v>
      </c>
      <c r="Z1033" s="112" t="s">
        <v>44</v>
      </c>
      <c r="AA1033" s="139" t="s">
        <v>2819</v>
      </c>
    </row>
    <row r="1034" spans="1:27" ht="17.25" customHeight="1">
      <c r="A1034" s="69" t="str">
        <f>IF(priority(Main[[#This Row],[Comments]])&lt;&gt;0, priority(Main[[#This Row],[Comments]]),"")</f>
        <v/>
      </c>
      <c r="B1034" s="63" t="s">
        <v>1647</v>
      </c>
      <c r="C1034" s="148" t="s">
        <v>499</v>
      </c>
      <c r="D1034" s="113" t="s">
        <v>2174</v>
      </c>
      <c r="E1034" s="129">
        <v>40655.401631944442</v>
      </c>
      <c r="F1034" s="129"/>
      <c r="G1034" s="69" t="str">
        <f>IF(stdProdLT(Main[[#This Row],[Comments]])=0.1,"N/A",IF(stdProdLT(Main[[#This Row],[Comments]])=0,"",stdProdLT(Main[[#This Row],[Comments]])))</f>
        <v/>
      </c>
      <c r="H1034" s="138" t="str">
        <f>IF(Main[[#This Row],[In Stock Date]]="N/A", "N/A",IF(AND(Main[[#This Row],[In Stock Date]]&lt;&gt;"",Main[[#This Row],[Revised Due Date]]&lt;&gt;"",Main[[#This Row],[In Stock Date]]&lt;&gt;""),Main[[#This Row],[In Stock Date]]-Main[[#This Row],[Revised Due Date]],""))</f>
        <v/>
      </c>
      <c r="I1034" s="139" t="s">
        <v>50</v>
      </c>
      <c r="J1034" s="139" t="s">
        <v>52</v>
      </c>
      <c r="K1034" s="139" t="s">
        <v>1923</v>
      </c>
      <c r="L1034" s="129"/>
      <c r="M1034" s="114" t="str">
        <f>IF(Main[[#This Row],[Tech Start Date]]&lt;1/1/1990,"",IF(Main[[#This Row],[Class]]="C",WORKDAY(Main[[#This Row],[Tech Start Date]],9),IF(Main[[#This Row],[Class]]="B", WORKDAY(Main[[#This Row],[Tech Start Date]],6),IF(Main[[#This Row],[Class]]="A",WORKDAY(Main[[#This Row],[Tech Start Date]],2),""))))</f>
        <v/>
      </c>
      <c r="N1034" s="114" t="str">
        <f>IF(Main[[#This Row],[Tech Start Date]]&lt;1/1/1990,"",IF(Main[[#This Row],[Class]]="C",WORKDAY(Main[[#This Row],[Tech Start Date]],19),IF(Main[[#This Row],[Class]]="B", WORKDAY(Main[[#This Row],[Tech Start Date]],12),IF(Main[[#This Row],[Class]]="A",WORKDAY(Main[[#This Row],[Tech Start Date]],4),""))))</f>
        <v/>
      </c>
      <c r="O1034" s="114" t="str">
        <f>IF(Main[[#This Row],[Tech Start Date]]&lt;1/1/1990,"",IF(Main[[#This Row],[Class]]="C",WORKDAY(Main[[#This Row],[Tech Start Date]],23),IF(Main[[#This Row],[Class]]="B", WORKDAY(Main[[#This Row],[Tech Start Date]],15),IF(Main[[#This Row],[Class]]="A",WORKDAY(Main[[#This Row],[Tech Start Date]],5),""))))</f>
        <v/>
      </c>
      <c r="P1034" s="114" t="str">
        <f>IF(Main[[#This Row],[Tech Start Date]]&lt;1/1/1990,"",IF(Main[[#This Row],[Class]]="C",WORKDAY(Main[[#This Row],[Tech Start Date]],28),IF(Main[[#This Row],[Class]]="B", WORKDAY(Main[[#This Row],[Tech Start Date]],19),IF(Main[[#This Row],[Class]]="A",WORKDAY(Main[[#This Row],[Tech Start Date]],9),""))))</f>
        <v/>
      </c>
      <c r="Q1034" s="129"/>
      <c r="R1034" s="129"/>
      <c r="S1034" s="139" t="s">
        <v>6</v>
      </c>
      <c r="T1034" s="115" t="s">
        <v>4</v>
      </c>
      <c r="U1034" s="139" t="s">
        <v>534</v>
      </c>
      <c r="V1034" s="139" t="s">
        <v>1914</v>
      </c>
      <c r="W1034" s="139" t="s">
        <v>1920</v>
      </c>
      <c r="X1034" s="139" t="s">
        <v>399</v>
      </c>
      <c r="Y1034" s="112" t="s">
        <v>4</v>
      </c>
      <c r="Z1034" s="112" t="s">
        <v>129</v>
      </c>
      <c r="AA1034" s="139" t="s">
        <v>3448</v>
      </c>
    </row>
    <row r="1035" spans="1:27" ht="17.25" customHeight="1">
      <c r="A1035" s="69" t="str">
        <f>IF(priority(Main[[#This Row],[Comments]])&lt;&gt;0, priority(Main[[#This Row],[Comments]]),"")</f>
        <v/>
      </c>
      <c r="B1035" s="63" t="s">
        <v>1863</v>
      </c>
      <c r="C1035" s="148" t="s">
        <v>4</v>
      </c>
      <c r="D1035" s="113" t="s">
        <v>2672</v>
      </c>
      <c r="E1035" s="129">
        <v>40501.677928240744</v>
      </c>
      <c r="F1035" s="129"/>
      <c r="G1035" s="69" t="str">
        <f>IF(stdProdLT(Main[[#This Row],[Comments]])=0.1,"N/A",IF(stdProdLT(Main[[#This Row],[Comments]])=0,"",stdProdLT(Main[[#This Row],[Comments]])))</f>
        <v/>
      </c>
      <c r="H1035" s="138" t="str">
        <f>IF(Main[[#This Row],[In Stock Date]]="N/A", "N/A",IF(AND(Main[[#This Row],[In Stock Date]]&lt;&gt;"",Main[[#This Row],[Revised Due Date]]&lt;&gt;"",Main[[#This Row],[In Stock Date]]&lt;&gt;""),Main[[#This Row],[In Stock Date]]-Main[[#This Row],[Revised Due Date]],""))</f>
        <v/>
      </c>
      <c r="I1035" s="139" t="s">
        <v>907</v>
      </c>
      <c r="J1035" s="139" t="s">
        <v>28</v>
      </c>
      <c r="K1035" s="139" t="s">
        <v>1926</v>
      </c>
      <c r="L1035" s="129"/>
      <c r="M1035" s="114" t="str">
        <f>IF(Main[[#This Row],[Tech Start Date]]&lt;1/1/1990,"",IF(Main[[#This Row],[Class]]="C",WORKDAY(Main[[#This Row],[Tech Start Date]],9),IF(Main[[#This Row],[Class]]="B", WORKDAY(Main[[#This Row],[Tech Start Date]],6),IF(Main[[#This Row],[Class]]="A",WORKDAY(Main[[#This Row],[Tech Start Date]],2),""))))</f>
        <v/>
      </c>
      <c r="N1035" s="114" t="str">
        <f>IF(Main[[#This Row],[Tech Start Date]]&lt;1/1/1990,"",IF(Main[[#This Row],[Class]]="C",WORKDAY(Main[[#This Row],[Tech Start Date]],19),IF(Main[[#This Row],[Class]]="B", WORKDAY(Main[[#This Row],[Tech Start Date]],12),IF(Main[[#This Row],[Class]]="A",WORKDAY(Main[[#This Row],[Tech Start Date]],4),""))))</f>
        <v/>
      </c>
      <c r="O1035" s="114" t="str">
        <f>IF(Main[[#This Row],[Tech Start Date]]&lt;1/1/1990,"",IF(Main[[#This Row],[Class]]="C",WORKDAY(Main[[#This Row],[Tech Start Date]],23),IF(Main[[#This Row],[Class]]="B", WORKDAY(Main[[#This Row],[Tech Start Date]],15),IF(Main[[#This Row],[Class]]="A",WORKDAY(Main[[#This Row],[Tech Start Date]],5),""))))</f>
        <v/>
      </c>
      <c r="P1035" s="114" t="str">
        <f>IF(Main[[#This Row],[Tech Start Date]]&lt;1/1/1990,"",IF(Main[[#This Row],[Class]]="C",WORKDAY(Main[[#This Row],[Tech Start Date]],28),IF(Main[[#This Row],[Class]]="B", WORKDAY(Main[[#This Row],[Tech Start Date]],19),IF(Main[[#This Row],[Class]]="A",WORKDAY(Main[[#This Row],[Tech Start Date]],9),""))))</f>
        <v/>
      </c>
      <c r="Q1035" s="129">
        <v>41274</v>
      </c>
      <c r="R1035" s="129">
        <v>41274</v>
      </c>
      <c r="S1035" s="139" t="s">
        <v>17</v>
      </c>
      <c r="T1035" s="115" t="s">
        <v>4</v>
      </c>
      <c r="U1035" s="139" t="s">
        <v>29</v>
      </c>
      <c r="V1035" s="139" t="s">
        <v>1914</v>
      </c>
      <c r="W1035" s="139" t="s">
        <v>1919</v>
      </c>
      <c r="X1035" s="139" t="s">
        <v>907</v>
      </c>
      <c r="Y1035" s="112" t="s">
        <v>4</v>
      </c>
      <c r="Z1035" s="112" t="s">
        <v>129</v>
      </c>
      <c r="AA1035" s="139" t="s">
        <v>2828</v>
      </c>
    </row>
    <row r="1036" spans="1:27" ht="17.25" customHeight="1">
      <c r="A1036" s="69" t="str">
        <f>IF(priority(Main[[#This Row],[Comments]])&lt;&gt;0, priority(Main[[#This Row],[Comments]]),"")</f>
        <v/>
      </c>
      <c r="B1036" s="63" t="s">
        <v>2234</v>
      </c>
      <c r="C1036" s="148" t="s">
        <v>4</v>
      </c>
      <c r="D1036" s="113" t="s">
        <v>2235</v>
      </c>
      <c r="E1036" s="129"/>
      <c r="F1036" s="129"/>
      <c r="G1036" s="69" t="str">
        <f>IF(stdProdLT(Main[[#This Row],[Comments]])=0.1,"N/A",IF(stdProdLT(Main[[#This Row],[Comments]])=0,"",stdProdLT(Main[[#This Row],[Comments]])))</f>
        <v/>
      </c>
      <c r="H1036" s="138" t="str">
        <f>IF(Main[[#This Row],[In Stock Date]]="N/A", "N/A",IF(AND(Main[[#This Row],[In Stock Date]]&lt;&gt;"",Main[[#This Row],[Revised Due Date]]&lt;&gt;"",Main[[#This Row],[In Stock Date]]&lt;&gt;""),Main[[#This Row],[In Stock Date]]-Main[[#This Row],[Revised Due Date]],""))</f>
        <v/>
      </c>
      <c r="I1036" s="139" t="s">
        <v>4</v>
      </c>
      <c r="J1036" s="139" t="s">
        <v>4</v>
      </c>
      <c r="K1036" s="139" t="s">
        <v>4</v>
      </c>
      <c r="L1036" s="129"/>
      <c r="M1036" s="114" t="str">
        <f>IF(Main[[#This Row],[Tech Start Date]]&lt;1/1/1990,"",IF(Main[[#This Row],[Class]]="C",WORKDAY(Main[[#This Row],[Tech Start Date]],9),IF(Main[[#This Row],[Class]]="B", WORKDAY(Main[[#This Row],[Tech Start Date]],6),IF(Main[[#This Row],[Class]]="A",WORKDAY(Main[[#This Row],[Tech Start Date]],2),""))))</f>
        <v/>
      </c>
      <c r="N1036" s="114" t="str">
        <f>IF(Main[[#This Row],[Tech Start Date]]&lt;1/1/1990,"",IF(Main[[#This Row],[Class]]="C",WORKDAY(Main[[#This Row],[Tech Start Date]],19),IF(Main[[#This Row],[Class]]="B", WORKDAY(Main[[#This Row],[Tech Start Date]],12),IF(Main[[#This Row],[Class]]="A",WORKDAY(Main[[#This Row],[Tech Start Date]],4),""))))</f>
        <v/>
      </c>
      <c r="O1036" s="114" t="str">
        <f>IF(Main[[#This Row],[Tech Start Date]]&lt;1/1/1990,"",IF(Main[[#This Row],[Class]]="C",WORKDAY(Main[[#This Row],[Tech Start Date]],23),IF(Main[[#This Row],[Class]]="B", WORKDAY(Main[[#This Row],[Tech Start Date]],15),IF(Main[[#This Row],[Class]]="A",WORKDAY(Main[[#This Row],[Tech Start Date]],5),""))))</f>
        <v/>
      </c>
      <c r="P1036" s="114" t="str">
        <f>IF(Main[[#This Row],[Tech Start Date]]&lt;1/1/1990,"",IF(Main[[#This Row],[Class]]="C",WORKDAY(Main[[#This Row],[Tech Start Date]],28),IF(Main[[#This Row],[Class]]="B", WORKDAY(Main[[#This Row],[Tech Start Date]],19),IF(Main[[#This Row],[Class]]="A",WORKDAY(Main[[#This Row],[Tech Start Date]],9),""))))</f>
        <v/>
      </c>
      <c r="Q1036" s="129"/>
      <c r="R1036" s="129"/>
      <c r="S1036" s="139" t="s">
        <v>49</v>
      </c>
      <c r="T1036" s="115" t="s">
        <v>4</v>
      </c>
      <c r="U1036" s="139" t="s">
        <v>14</v>
      </c>
      <c r="V1036" s="139" t="s">
        <v>1929</v>
      </c>
      <c r="W1036" s="139" t="s">
        <v>1918</v>
      </c>
      <c r="X1036" s="139" t="s">
        <v>306</v>
      </c>
      <c r="Y1036" s="112" t="s">
        <v>4</v>
      </c>
      <c r="Z1036" s="112" t="s">
        <v>4</v>
      </c>
      <c r="AA1036" s="139" t="s">
        <v>4</v>
      </c>
    </row>
    <row r="1037" spans="1:27" ht="17.25" customHeight="1">
      <c r="A1037" s="69" t="str">
        <f>IF(priority(Main[[#This Row],[Comments]])&lt;&gt;0, priority(Main[[#This Row],[Comments]]),"")</f>
        <v/>
      </c>
      <c r="B1037" s="63" t="s">
        <v>2404</v>
      </c>
      <c r="C1037" s="148" t="s">
        <v>2008</v>
      </c>
      <c r="D1037" s="113" t="s">
        <v>2377</v>
      </c>
      <c r="E1037" s="129"/>
      <c r="F1037" s="129"/>
      <c r="G1037" s="69" t="str">
        <f>IF(stdProdLT(Main[[#This Row],[Comments]])=0.1,"N/A",IF(stdProdLT(Main[[#This Row],[Comments]])=0,"",stdProdLT(Main[[#This Row],[Comments]])))</f>
        <v/>
      </c>
      <c r="H1037" s="138" t="str">
        <f>IF(Main[[#This Row],[In Stock Date]]="N/A", "N/A",IF(AND(Main[[#This Row],[In Stock Date]]&lt;&gt;"",Main[[#This Row],[Revised Due Date]]&lt;&gt;"",Main[[#This Row],[In Stock Date]]&lt;&gt;""),Main[[#This Row],[In Stock Date]]-Main[[#This Row],[Revised Due Date]],""))</f>
        <v/>
      </c>
      <c r="I1037" s="139" t="s">
        <v>4</v>
      </c>
      <c r="J1037" s="139" t="s">
        <v>4</v>
      </c>
      <c r="K1037" s="139" t="s">
        <v>4</v>
      </c>
      <c r="L1037" s="129"/>
      <c r="M1037" s="114" t="str">
        <f>IF(Main[[#This Row],[Tech Start Date]]&lt;1/1/1990,"",IF(Main[[#This Row],[Class]]="C",WORKDAY(Main[[#This Row],[Tech Start Date]],9),IF(Main[[#This Row],[Class]]="B", WORKDAY(Main[[#This Row],[Tech Start Date]],6),IF(Main[[#This Row],[Class]]="A",WORKDAY(Main[[#This Row],[Tech Start Date]],2),""))))</f>
        <v/>
      </c>
      <c r="N1037" s="114" t="str">
        <f>IF(Main[[#This Row],[Tech Start Date]]&lt;1/1/1990,"",IF(Main[[#This Row],[Class]]="C",WORKDAY(Main[[#This Row],[Tech Start Date]],19),IF(Main[[#This Row],[Class]]="B", WORKDAY(Main[[#This Row],[Tech Start Date]],12),IF(Main[[#This Row],[Class]]="A",WORKDAY(Main[[#This Row],[Tech Start Date]],4),""))))</f>
        <v/>
      </c>
      <c r="O1037" s="114" t="str">
        <f>IF(Main[[#This Row],[Tech Start Date]]&lt;1/1/1990,"",IF(Main[[#This Row],[Class]]="C",WORKDAY(Main[[#This Row],[Tech Start Date]],23),IF(Main[[#This Row],[Class]]="B", WORKDAY(Main[[#This Row],[Tech Start Date]],15),IF(Main[[#This Row],[Class]]="A",WORKDAY(Main[[#This Row],[Tech Start Date]],5),""))))</f>
        <v/>
      </c>
      <c r="P1037" s="114" t="str">
        <f>IF(Main[[#This Row],[Tech Start Date]]&lt;1/1/1990,"",IF(Main[[#This Row],[Class]]="C",WORKDAY(Main[[#This Row],[Tech Start Date]],28),IF(Main[[#This Row],[Class]]="B", WORKDAY(Main[[#This Row],[Tech Start Date]],19),IF(Main[[#This Row],[Class]]="A",WORKDAY(Main[[#This Row],[Tech Start Date]],9),""))))</f>
        <v/>
      </c>
      <c r="Q1037" s="129">
        <v>40908</v>
      </c>
      <c r="R1037" s="129"/>
      <c r="S1037" s="139" t="s">
        <v>11</v>
      </c>
      <c r="T1037" s="115" t="s">
        <v>4</v>
      </c>
      <c r="U1037" s="139" t="s">
        <v>14</v>
      </c>
      <c r="V1037" s="139" t="s">
        <v>1917</v>
      </c>
      <c r="W1037" s="139" t="s">
        <v>1916</v>
      </c>
      <c r="X1037" s="139" t="s">
        <v>553</v>
      </c>
      <c r="Y1037" s="112" t="s">
        <v>2952</v>
      </c>
      <c r="Z1037" s="112" t="s">
        <v>4</v>
      </c>
      <c r="AA1037" s="139" t="s">
        <v>553</v>
      </c>
    </row>
    <row r="1038" spans="1:27" ht="17.25" customHeight="1">
      <c r="A1038" s="69" t="str">
        <f>IF(priority(Main[[#This Row],[Comments]])&lt;&gt;0, priority(Main[[#This Row],[Comments]]),"")</f>
        <v/>
      </c>
      <c r="B1038" s="63" t="s">
        <v>3983</v>
      </c>
      <c r="C1038" s="148" t="s">
        <v>58</v>
      </c>
      <c r="D1038" s="62" t="s">
        <v>3984</v>
      </c>
      <c r="E1038" s="129">
        <v>40968.637592592589</v>
      </c>
      <c r="F1038" s="129">
        <v>41108</v>
      </c>
      <c r="G1038" s="69" t="str">
        <f>IF(stdProdLT(Main[[#This Row],[Comments]])=0.1,"N/A",IF(stdProdLT(Main[[#This Row],[Comments]])=0,"",stdProdLT(Main[[#This Row],[Comments]])))</f>
        <v/>
      </c>
      <c r="H1038" s="138" t="str">
        <f>IF(Main[[#This Row],[In Stock Date]]="N/A", "N/A",IF(AND(Main[[#This Row],[In Stock Date]]&lt;&gt;"",Main[[#This Row],[Revised Due Date]]&lt;&gt;"",Main[[#This Row],[In Stock Date]]&lt;&gt;""),Main[[#This Row],[In Stock Date]]-Main[[#This Row],[Revised Due Date]],""))</f>
        <v/>
      </c>
      <c r="I1038" s="139" t="s">
        <v>4</v>
      </c>
      <c r="J1038" s="139" t="s">
        <v>75</v>
      </c>
      <c r="K1038" s="139" t="s">
        <v>4</v>
      </c>
      <c r="L1038" s="129"/>
      <c r="M1038" s="114" t="str">
        <f>IF(Main[[#This Row],[Tech Start Date]]&lt;1/1/1990,"",IF(Main[[#This Row],[Class]]="C",WORKDAY(Main[[#This Row],[Tech Start Date]],9),IF(Main[[#This Row],[Class]]="B", WORKDAY(Main[[#This Row],[Tech Start Date]],6),IF(Main[[#This Row],[Class]]="A",WORKDAY(Main[[#This Row],[Tech Start Date]],2),""))))</f>
        <v/>
      </c>
      <c r="N1038" s="114" t="str">
        <f>IF(Main[[#This Row],[Tech Start Date]]&lt;1/1/1990,"",IF(Main[[#This Row],[Class]]="C",WORKDAY(Main[[#This Row],[Tech Start Date]],19),IF(Main[[#This Row],[Class]]="B", WORKDAY(Main[[#This Row],[Tech Start Date]],12),IF(Main[[#This Row],[Class]]="A",WORKDAY(Main[[#This Row],[Tech Start Date]],4),""))))</f>
        <v/>
      </c>
      <c r="O1038" s="114" t="str">
        <f>IF(Main[[#This Row],[Tech Start Date]]&lt;1/1/1990,"",IF(Main[[#This Row],[Class]]="C",WORKDAY(Main[[#This Row],[Tech Start Date]],23),IF(Main[[#This Row],[Class]]="B", WORKDAY(Main[[#This Row],[Tech Start Date]],15),IF(Main[[#This Row],[Class]]="A",WORKDAY(Main[[#This Row],[Tech Start Date]],5),""))))</f>
        <v/>
      </c>
      <c r="P1038" s="114" t="str">
        <f>IF(Main[[#This Row],[Tech Start Date]]&lt;1/1/1990,"",IF(Main[[#This Row],[Class]]="C",WORKDAY(Main[[#This Row],[Tech Start Date]],28),IF(Main[[#This Row],[Class]]="B", WORKDAY(Main[[#This Row],[Tech Start Date]],19),IF(Main[[#This Row],[Class]]="A",WORKDAY(Main[[#This Row],[Tech Start Date]],9),""))))</f>
        <v/>
      </c>
      <c r="Q1038" s="129">
        <v>40996</v>
      </c>
      <c r="R1038" s="129"/>
      <c r="S1038" s="139" t="s">
        <v>11</v>
      </c>
      <c r="T1038" s="115" t="s">
        <v>4</v>
      </c>
      <c r="U1038" s="139" t="s">
        <v>7</v>
      </c>
      <c r="V1038" s="139" t="s">
        <v>1914</v>
      </c>
      <c r="W1038" s="139" t="s">
        <v>1925</v>
      </c>
      <c r="X1038" s="139" t="s">
        <v>2829</v>
      </c>
      <c r="Y1038" s="112" t="s">
        <v>3985</v>
      </c>
      <c r="Z1038" s="112" t="s">
        <v>306</v>
      </c>
      <c r="AA1038" s="139" t="s">
        <v>2829</v>
      </c>
    </row>
    <row r="1039" spans="1:27" ht="17.25" customHeight="1">
      <c r="A1039" s="69" t="str">
        <f>IF(priority(Main[[#This Row],[Comments]])&lt;&gt;0, priority(Main[[#This Row],[Comments]]),"")</f>
        <v/>
      </c>
      <c r="B1039" s="63" t="s">
        <v>2280</v>
      </c>
      <c r="C1039" s="148" t="s">
        <v>2278</v>
      </c>
      <c r="D1039" s="113" t="s">
        <v>2281</v>
      </c>
      <c r="E1039" s="129"/>
      <c r="F1039" s="129">
        <v>40907</v>
      </c>
      <c r="G1039" s="69" t="str">
        <f>IF(stdProdLT(Main[[#This Row],[Comments]])=0.1,"N/A",IF(stdProdLT(Main[[#This Row],[Comments]])=0,"",stdProdLT(Main[[#This Row],[Comments]])))</f>
        <v/>
      </c>
      <c r="H1039" s="138" t="str">
        <f>IF(Main[[#This Row],[In Stock Date]]="N/A", "N/A",IF(AND(Main[[#This Row],[In Stock Date]]&lt;&gt;"",Main[[#This Row],[Revised Due Date]]&lt;&gt;"",Main[[#This Row],[In Stock Date]]&lt;&gt;""),Main[[#This Row],[In Stock Date]]-Main[[#This Row],[Revised Due Date]],""))</f>
        <v/>
      </c>
      <c r="I1039" s="139" t="s">
        <v>4</v>
      </c>
      <c r="J1039" s="139" t="s">
        <v>4</v>
      </c>
      <c r="K1039" s="139" t="s">
        <v>4</v>
      </c>
      <c r="L1039" s="129"/>
      <c r="M1039" s="114" t="str">
        <f>IF(Main[[#This Row],[Tech Start Date]]&lt;1/1/1990,"",IF(Main[[#This Row],[Class]]="C",WORKDAY(Main[[#This Row],[Tech Start Date]],9),IF(Main[[#This Row],[Class]]="B", WORKDAY(Main[[#This Row],[Tech Start Date]],6),IF(Main[[#This Row],[Class]]="A",WORKDAY(Main[[#This Row],[Tech Start Date]],2),""))))</f>
        <v/>
      </c>
      <c r="N1039" s="114" t="str">
        <f>IF(Main[[#This Row],[Tech Start Date]]&lt;1/1/1990,"",IF(Main[[#This Row],[Class]]="C",WORKDAY(Main[[#This Row],[Tech Start Date]],19),IF(Main[[#This Row],[Class]]="B", WORKDAY(Main[[#This Row],[Tech Start Date]],12),IF(Main[[#This Row],[Class]]="A",WORKDAY(Main[[#This Row],[Tech Start Date]],4),""))))</f>
        <v/>
      </c>
      <c r="O1039" s="114" t="str">
        <f>IF(Main[[#This Row],[Tech Start Date]]&lt;1/1/1990,"",IF(Main[[#This Row],[Class]]="C",WORKDAY(Main[[#This Row],[Tech Start Date]],23),IF(Main[[#This Row],[Class]]="B", WORKDAY(Main[[#This Row],[Tech Start Date]],15),IF(Main[[#This Row],[Class]]="A",WORKDAY(Main[[#This Row],[Tech Start Date]],5),""))))</f>
        <v/>
      </c>
      <c r="P1039" s="114" t="str">
        <f>IF(Main[[#This Row],[Tech Start Date]]&lt;1/1/1990,"",IF(Main[[#This Row],[Class]]="C",WORKDAY(Main[[#This Row],[Tech Start Date]],28),IF(Main[[#This Row],[Class]]="B", WORKDAY(Main[[#This Row],[Tech Start Date]],19),IF(Main[[#This Row],[Class]]="A",WORKDAY(Main[[#This Row],[Tech Start Date]],9),""))))</f>
        <v/>
      </c>
      <c r="Q1039" s="129">
        <v>40816</v>
      </c>
      <c r="R1039" s="129"/>
      <c r="S1039" s="139" t="s">
        <v>296</v>
      </c>
      <c r="T1039" s="115" t="s">
        <v>4</v>
      </c>
      <c r="U1039" s="139" t="s">
        <v>14</v>
      </c>
      <c r="V1039" s="139" t="s">
        <v>1924</v>
      </c>
      <c r="W1039" s="139" t="s">
        <v>1922</v>
      </c>
      <c r="X1039" s="139" t="s">
        <v>2910</v>
      </c>
      <c r="Y1039" s="112" t="s">
        <v>3117</v>
      </c>
      <c r="Z1039" s="112" t="s">
        <v>4</v>
      </c>
      <c r="AA1039" s="139" t="s">
        <v>3449</v>
      </c>
    </row>
    <row r="1040" spans="1:27" ht="17.25" customHeight="1">
      <c r="A1040" s="69" t="str">
        <f>IF(priority(Main[[#This Row],[Comments]])&lt;&gt;0, priority(Main[[#This Row],[Comments]]),"")</f>
        <v/>
      </c>
      <c r="B1040" s="63" t="s">
        <v>2274</v>
      </c>
      <c r="C1040" s="148" t="s">
        <v>518</v>
      </c>
      <c r="D1040" s="113" t="s">
        <v>2275</v>
      </c>
      <c r="E1040" s="129"/>
      <c r="F1040" s="129">
        <v>40854</v>
      </c>
      <c r="G1040" s="69" t="str">
        <f>IF(stdProdLT(Main[[#This Row],[Comments]])=0.1,"N/A",IF(stdProdLT(Main[[#This Row],[Comments]])=0,"",stdProdLT(Main[[#This Row],[Comments]])))</f>
        <v/>
      </c>
      <c r="H1040" s="138" t="str">
        <f>IF(Main[[#This Row],[In Stock Date]]="N/A", "N/A",IF(AND(Main[[#This Row],[In Stock Date]]&lt;&gt;"",Main[[#This Row],[Revised Due Date]]&lt;&gt;"",Main[[#This Row],[In Stock Date]]&lt;&gt;""),Main[[#This Row],[In Stock Date]]-Main[[#This Row],[Revised Due Date]],""))</f>
        <v/>
      </c>
      <c r="I1040" s="139" t="s">
        <v>4</v>
      </c>
      <c r="J1040" s="139" t="s">
        <v>4</v>
      </c>
      <c r="K1040" s="140" t="s">
        <v>4</v>
      </c>
      <c r="L1040" s="129"/>
      <c r="M1040" s="114" t="str">
        <f>IF(Main[[#This Row],[Tech Start Date]]&lt;1/1/1990,"",IF(Main[[#This Row],[Class]]="C",WORKDAY(Main[[#This Row],[Tech Start Date]],9),IF(Main[[#This Row],[Class]]="B", WORKDAY(Main[[#This Row],[Tech Start Date]],6),IF(Main[[#This Row],[Class]]="A",WORKDAY(Main[[#This Row],[Tech Start Date]],2),""))))</f>
        <v/>
      </c>
      <c r="N1040" s="114" t="str">
        <f>IF(Main[[#This Row],[Tech Start Date]]&lt;1/1/1990,"",IF(Main[[#This Row],[Class]]="C",WORKDAY(Main[[#This Row],[Tech Start Date]],19),IF(Main[[#This Row],[Class]]="B", WORKDAY(Main[[#This Row],[Tech Start Date]],12),IF(Main[[#This Row],[Class]]="A",WORKDAY(Main[[#This Row],[Tech Start Date]],4),""))))</f>
        <v/>
      </c>
      <c r="O1040" s="114" t="str">
        <f>IF(Main[[#This Row],[Tech Start Date]]&lt;1/1/1990,"",IF(Main[[#This Row],[Class]]="C",WORKDAY(Main[[#This Row],[Tech Start Date]],23),IF(Main[[#This Row],[Class]]="B", WORKDAY(Main[[#This Row],[Tech Start Date]],15),IF(Main[[#This Row],[Class]]="A",WORKDAY(Main[[#This Row],[Tech Start Date]],5),""))))</f>
        <v/>
      </c>
      <c r="P1040" s="114" t="str">
        <f>IF(Main[[#This Row],[Tech Start Date]]&lt;1/1/1990,"",IF(Main[[#This Row],[Class]]="C",WORKDAY(Main[[#This Row],[Tech Start Date]],28),IF(Main[[#This Row],[Class]]="B", WORKDAY(Main[[#This Row],[Tech Start Date]],19),IF(Main[[#This Row],[Class]]="A",WORKDAY(Main[[#This Row],[Tech Start Date]],9),""))))</f>
        <v/>
      </c>
      <c r="Q1040" s="129">
        <v>40816</v>
      </c>
      <c r="R1040" s="129"/>
      <c r="S1040" s="139" t="s">
        <v>296</v>
      </c>
      <c r="T1040" s="115" t="s">
        <v>4</v>
      </c>
      <c r="U1040" s="139" t="s">
        <v>14</v>
      </c>
      <c r="V1040" s="139" t="s">
        <v>1924</v>
      </c>
      <c r="W1040" s="139" t="s">
        <v>1922</v>
      </c>
      <c r="X1040" s="139" t="s">
        <v>2910</v>
      </c>
      <c r="Y1040" s="112" t="s">
        <v>3118</v>
      </c>
      <c r="Z1040" s="112" t="s">
        <v>4</v>
      </c>
      <c r="AA1040" s="139" t="s">
        <v>3449</v>
      </c>
    </row>
    <row r="1041" spans="1:27" ht="17.25" customHeight="1">
      <c r="A1041" s="69" t="str">
        <f>IF(priority(Main[[#This Row],[Comments]])&lt;&gt;0, priority(Main[[#This Row],[Comments]]),"")</f>
        <v/>
      </c>
      <c r="B1041" s="63" t="s">
        <v>2236</v>
      </c>
      <c r="C1041" s="148" t="s">
        <v>4</v>
      </c>
      <c r="D1041" s="113" t="s">
        <v>2237</v>
      </c>
      <c r="E1041" s="129"/>
      <c r="F1041" s="129"/>
      <c r="G1041" s="69" t="str">
        <f>IF(stdProdLT(Main[[#This Row],[Comments]])=0.1,"N/A",IF(stdProdLT(Main[[#This Row],[Comments]])=0,"",stdProdLT(Main[[#This Row],[Comments]])))</f>
        <v/>
      </c>
      <c r="H1041" s="138" t="str">
        <f>IF(Main[[#This Row],[In Stock Date]]="N/A", "N/A",IF(AND(Main[[#This Row],[In Stock Date]]&lt;&gt;"",Main[[#This Row],[Revised Due Date]]&lt;&gt;"",Main[[#This Row],[In Stock Date]]&lt;&gt;""),Main[[#This Row],[In Stock Date]]-Main[[#This Row],[Revised Due Date]],""))</f>
        <v/>
      </c>
      <c r="I1041" s="139" t="s">
        <v>4</v>
      </c>
      <c r="J1041" s="139" t="s">
        <v>4</v>
      </c>
      <c r="K1041" s="139" t="s">
        <v>4</v>
      </c>
      <c r="L1041" s="129"/>
      <c r="M1041" s="114" t="str">
        <f>IF(Main[[#This Row],[Tech Start Date]]&lt;1/1/1990,"",IF(Main[[#This Row],[Class]]="C",WORKDAY(Main[[#This Row],[Tech Start Date]],9),IF(Main[[#This Row],[Class]]="B", WORKDAY(Main[[#This Row],[Tech Start Date]],6),IF(Main[[#This Row],[Class]]="A",WORKDAY(Main[[#This Row],[Tech Start Date]],2),""))))</f>
        <v/>
      </c>
      <c r="N1041" s="114" t="str">
        <f>IF(Main[[#This Row],[Tech Start Date]]&lt;1/1/1990,"",IF(Main[[#This Row],[Class]]="C",WORKDAY(Main[[#This Row],[Tech Start Date]],19),IF(Main[[#This Row],[Class]]="B", WORKDAY(Main[[#This Row],[Tech Start Date]],12),IF(Main[[#This Row],[Class]]="A",WORKDAY(Main[[#This Row],[Tech Start Date]],4),""))))</f>
        <v/>
      </c>
      <c r="O1041" s="114" t="str">
        <f>IF(Main[[#This Row],[Tech Start Date]]&lt;1/1/1990,"",IF(Main[[#This Row],[Class]]="C",WORKDAY(Main[[#This Row],[Tech Start Date]],23),IF(Main[[#This Row],[Class]]="B", WORKDAY(Main[[#This Row],[Tech Start Date]],15),IF(Main[[#This Row],[Class]]="A",WORKDAY(Main[[#This Row],[Tech Start Date]],5),""))))</f>
        <v/>
      </c>
      <c r="P1041" s="114" t="str">
        <f>IF(Main[[#This Row],[Tech Start Date]]&lt;1/1/1990,"",IF(Main[[#This Row],[Class]]="C",WORKDAY(Main[[#This Row],[Tech Start Date]],28),IF(Main[[#This Row],[Class]]="B", WORKDAY(Main[[#This Row],[Tech Start Date]],19),IF(Main[[#This Row],[Class]]="A",WORKDAY(Main[[#This Row],[Tech Start Date]],9),""))))</f>
        <v/>
      </c>
      <c r="Q1041" s="129"/>
      <c r="R1041" s="129"/>
      <c r="S1041" s="139" t="s">
        <v>49</v>
      </c>
      <c r="T1041" s="115" t="s">
        <v>4</v>
      </c>
      <c r="U1041" s="139" t="s">
        <v>14</v>
      </c>
      <c r="V1041" s="139" t="s">
        <v>1914</v>
      </c>
      <c r="W1041" s="139" t="s">
        <v>1918</v>
      </c>
      <c r="X1041" s="139" t="s">
        <v>306</v>
      </c>
      <c r="Y1041" s="112" t="s">
        <v>4</v>
      </c>
      <c r="Z1041" s="112" t="s">
        <v>4</v>
      </c>
      <c r="AA1041" s="139" t="s">
        <v>4</v>
      </c>
    </row>
    <row r="1042" spans="1:27" ht="17.25" customHeight="1">
      <c r="A1042" s="69" t="str">
        <f>IF(priority(Main[[#This Row],[Comments]])&lt;&gt;0, priority(Main[[#This Row],[Comments]]),"")</f>
        <v/>
      </c>
      <c r="B1042" s="63" t="s">
        <v>1346</v>
      </c>
      <c r="C1042" s="148" t="s">
        <v>433</v>
      </c>
      <c r="D1042" s="113" t="s">
        <v>434</v>
      </c>
      <c r="E1042" s="129">
        <v>40505.653032407405</v>
      </c>
      <c r="F1042" s="129"/>
      <c r="G1042" s="69" t="str">
        <f>IF(stdProdLT(Main[[#This Row],[Comments]])=0.1,"N/A",IF(stdProdLT(Main[[#This Row],[Comments]])=0,"",stdProdLT(Main[[#This Row],[Comments]])))</f>
        <v/>
      </c>
      <c r="H1042" s="138" t="str">
        <f>IF(Main[[#This Row],[In Stock Date]]="N/A", "N/A",IF(AND(Main[[#This Row],[In Stock Date]]&lt;&gt;"",Main[[#This Row],[Revised Due Date]]&lt;&gt;"",Main[[#This Row],[In Stock Date]]&lt;&gt;""),Main[[#This Row],[In Stock Date]]-Main[[#This Row],[Revised Due Date]],""))</f>
        <v/>
      </c>
      <c r="I1042" s="139" t="s">
        <v>30</v>
      </c>
      <c r="J1042" s="139" t="s">
        <v>28</v>
      </c>
      <c r="K1042" s="139" t="s">
        <v>1926</v>
      </c>
      <c r="L1042" s="129"/>
      <c r="M1042" s="114" t="str">
        <f>IF(Main[[#This Row],[Tech Start Date]]&lt;1/1/1990,"",IF(Main[[#This Row],[Class]]="C",WORKDAY(Main[[#This Row],[Tech Start Date]],9),IF(Main[[#This Row],[Class]]="B", WORKDAY(Main[[#This Row],[Tech Start Date]],6),IF(Main[[#This Row],[Class]]="A",WORKDAY(Main[[#This Row],[Tech Start Date]],2),""))))</f>
        <v/>
      </c>
      <c r="N1042" s="114" t="str">
        <f>IF(Main[[#This Row],[Tech Start Date]]&lt;1/1/1990,"",IF(Main[[#This Row],[Class]]="C",WORKDAY(Main[[#This Row],[Tech Start Date]],19),IF(Main[[#This Row],[Class]]="B", WORKDAY(Main[[#This Row],[Tech Start Date]],12),IF(Main[[#This Row],[Class]]="A",WORKDAY(Main[[#This Row],[Tech Start Date]],4),""))))</f>
        <v/>
      </c>
      <c r="O1042" s="114" t="str">
        <f>IF(Main[[#This Row],[Tech Start Date]]&lt;1/1/1990,"",IF(Main[[#This Row],[Class]]="C",WORKDAY(Main[[#This Row],[Tech Start Date]],23),IF(Main[[#This Row],[Class]]="B", WORKDAY(Main[[#This Row],[Tech Start Date]],15),IF(Main[[#This Row],[Class]]="A",WORKDAY(Main[[#This Row],[Tech Start Date]],5),""))))</f>
        <v/>
      </c>
      <c r="P1042" s="114" t="str">
        <f>IF(Main[[#This Row],[Tech Start Date]]&lt;1/1/1990,"",IF(Main[[#This Row],[Class]]="C",WORKDAY(Main[[#This Row],[Tech Start Date]],28),IF(Main[[#This Row],[Class]]="B", WORKDAY(Main[[#This Row],[Tech Start Date]],19),IF(Main[[#This Row],[Class]]="A",WORKDAY(Main[[#This Row],[Tech Start Date]],9),""))))</f>
        <v/>
      </c>
      <c r="Q1042" s="129">
        <v>40620</v>
      </c>
      <c r="R1042" s="129"/>
      <c r="S1042" s="139" t="s">
        <v>17</v>
      </c>
      <c r="T1042" s="115" t="s">
        <v>4</v>
      </c>
      <c r="U1042" s="139" t="s">
        <v>29</v>
      </c>
      <c r="V1042" s="139" t="s">
        <v>1917</v>
      </c>
      <c r="W1042" s="139" t="s">
        <v>1919</v>
      </c>
      <c r="X1042" s="139" t="s">
        <v>765</v>
      </c>
      <c r="Y1042" s="112" t="s">
        <v>3119</v>
      </c>
      <c r="Z1042" s="112" t="s">
        <v>30</v>
      </c>
      <c r="AA1042" s="139" t="s">
        <v>3450</v>
      </c>
    </row>
    <row r="1043" spans="1:27" ht="17.25" customHeight="1">
      <c r="A1043" s="69" t="str">
        <f>IF(priority(Main[[#This Row],[Comments]])&lt;&gt;0, priority(Main[[#This Row],[Comments]]),"")</f>
        <v/>
      </c>
      <c r="B1043" s="63" t="s">
        <v>1473</v>
      </c>
      <c r="C1043" s="148" t="s">
        <v>4</v>
      </c>
      <c r="D1043" s="113" t="s">
        <v>2406</v>
      </c>
      <c r="E1043" s="129">
        <v>40627.399282407408</v>
      </c>
      <c r="F1043" s="129"/>
      <c r="G1043" s="69" t="str">
        <f>IF(stdProdLT(Main[[#This Row],[Comments]])=0.1,"N/A",IF(stdProdLT(Main[[#This Row],[Comments]])=0,"",stdProdLT(Main[[#This Row],[Comments]])))</f>
        <v/>
      </c>
      <c r="H1043" s="138" t="str">
        <f>IF(Main[[#This Row],[In Stock Date]]="N/A", "N/A",IF(AND(Main[[#This Row],[In Stock Date]]&lt;&gt;"",Main[[#This Row],[Revised Due Date]]&lt;&gt;"",Main[[#This Row],[In Stock Date]]&lt;&gt;""),Main[[#This Row],[In Stock Date]]-Main[[#This Row],[Revised Due Date]],""))</f>
        <v/>
      </c>
      <c r="I1043" s="139" t="s">
        <v>912</v>
      </c>
      <c r="J1043" s="139" t="s">
        <v>52</v>
      </c>
      <c r="K1043" s="140" t="s">
        <v>1923</v>
      </c>
      <c r="L1043" s="129"/>
      <c r="M1043" s="114" t="str">
        <f>IF(Main[[#This Row],[Tech Start Date]]&lt;1/1/1990,"",IF(Main[[#This Row],[Class]]="C",WORKDAY(Main[[#This Row],[Tech Start Date]],9),IF(Main[[#This Row],[Class]]="B", WORKDAY(Main[[#This Row],[Tech Start Date]],6),IF(Main[[#This Row],[Class]]="A",WORKDAY(Main[[#This Row],[Tech Start Date]],2),""))))</f>
        <v/>
      </c>
      <c r="N1043" s="114" t="str">
        <f>IF(Main[[#This Row],[Tech Start Date]]&lt;1/1/1990,"",IF(Main[[#This Row],[Class]]="C",WORKDAY(Main[[#This Row],[Tech Start Date]],19),IF(Main[[#This Row],[Class]]="B", WORKDAY(Main[[#This Row],[Tech Start Date]],12),IF(Main[[#This Row],[Class]]="A",WORKDAY(Main[[#This Row],[Tech Start Date]],4),""))))</f>
        <v/>
      </c>
      <c r="O1043" s="114" t="str">
        <f>IF(Main[[#This Row],[Tech Start Date]]&lt;1/1/1990,"",IF(Main[[#This Row],[Class]]="C",WORKDAY(Main[[#This Row],[Tech Start Date]],23),IF(Main[[#This Row],[Class]]="B", WORKDAY(Main[[#This Row],[Tech Start Date]],15),IF(Main[[#This Row],[Class]]="A",WORKDAY(Main[[#This Row],[Tech Start Date]],5),""))))</f>
        <v/>
      </c>
      <c r="P1043" s="114" t="str">
        <f>IF(Main[[#This Row],[Tech Start Date]]&lt;1/1/1990,"",IF(Main[[#This Row],[Class]]="C",WORKDAY(Main[[#This Row],[Tech Start Date]],28),IF(Main[[#This Row],[Class]]="B", WORKDAY(Main[[#This Row],[Tech Start Date]],19),IF(Main[[#This Row],[Class]]="A",WORKDAY(Main[[#This Row],[Tech Start Date]],9),""))))</f>
        <v/>
      </c>
      <c r="Q1043" s="129">
        <v>40632</v>
      </c>
      <c r="R1043" s="129"/>
      <c r="S1043" s="139" t="s">
        <v>6</v>
      </c>
      <c r="T1043" s="115" t="s">
        <v>4</v>
      </c>
      <c r="U1043" s="139" t="s">
        <v>29</v>
      </c>
      <c r="V1043" s="139" t="s">
        <v>1914</v>
      </c>
      <c r="W1043" s="139" t="s">
        <v>1918</v>
      </c>
      <c r="X1043" s="139" t="s">
        <v>937</v>
      </c>
      <c r="Y1043" s="112" t="s">
        <v>2984</v>
      </c>
      <c r="Z1043" s="112" t="s">
        <v>129</v>
      </c>
      <c r="AA1043" s="139" t="s">
        <v>937</v>
      </c>
    </row>
    <row r="1044" spans="1:27" ht="17.25" customHeight="1">
      <c r="A1044" s="69" t="str">
        <f>IF(priority(Main[[#This Row],[Comments]])&lt;&gt;0, priority(Main[[#This Row],[Comments]]),"")</f>
        <v/>
      </c>
      <c r="B1044" s="63" t="s">
        <v>1383</v>
      </c>
      <c r="C1044" s="148" t="s">
        <v>4</v>
      </c>
      <c r="D1044" s="113" t="s">
        <v>2407</v>
      </c>
      <c r="E1044" s="129">
        <v>40555.34138888889</v>
      </c>
      <c r="F1044" s="129">
        <v>40592</v>
      </c>
      <c r="G1044" s="69" t="str">
        <f>IF(stdProdLT(Main[[#This Row],[Comments]])=0.1,"N/A",IF(stdProdLT(Main[[#This Row],[Comments]])=0,"",stdProdLT(Main[[#This Row],[Comments]])))</f>
        <v/>
      </c>
      <c r="H1044" s="138" t="str">
        <f>IF(Main[[#This Row],[In Stock Date]]="N/A", "N/A",IF(AND(Main[[#This Row],[In Stock Date]]&lt;&gt;"",Main[[#This Row],[Revised Due Date]]&lt;&gt;"",Main[[#This Row],[In Stock Date]]&lt;&gt;""),Main[[#This Row],[In Stock Date]]-Main[[#This Row],[Revised Due Date]],""))</f>
        <v/>
      </c>
      <c r="I1044" s="139" t="s">
        <v>912</v>
      </c>
      <c r="J1044" s="139" t="s">
        <v>52</v>
      </c>
      <c r="K1044" s="140" t="s">
        <v>1921</v>
      </c>
      <c r="L1044" s="129"/>
      <c r="M1044" s="114" t="str">
        <f>IF(Main[[#This Row],[Tech Start Date]]&lt;1/1/1990,"",IF(Main[[#This Row],[Class]]="C",WORKDAY(Main[[#This Row],[Tech Start Date]],9),IF(Main[[#This Row],[Class]]="B", WORKDAY(Main[[#This Row],[Tech Start Date]],6),IF(Main[[#This Row],[Class]]="A",WORKDAY(Main[[#This Row],[Tech Start Date]],2),""))))</f>
        <v/>
      </c>
      <c r="N1044" s="114" t="str">
        <f>IF(Main[[#This Row],[Tech Start Date]]&lt;1/1/1990,"",IF(Main[[#This Row],[Class]]="C",WORKDAY(Main[[#This Row],[Tech Start Date]],19),IF(Main[[#This Row],[Class]]="B", WORKDAY(Main[[#This Row],[Tech Start Date]],12),IF(Main[[#This Row],[Class]]="A",WORKDAY(Main[[#This Row],[Tech Start Date]],4),""))))</f>
        <v/>
      </c>
      <c r="O1044" s="114" t="str">
        <f>IF(Main[[#This Row],[Tech Start Date]]&lt;1/1/1990,"",IF(Main[[#This Row],[Class]]="C",WORKDAY(Main[[#This Row],[Tech Start Date]],23),IF(Main[[#This Row],[Class]]="B", WORKDAY(Main[[#This Row],[Tech Start Date]],15),IF(Main[[#This Row],[Class]]="A",WORKDAY(Main[[#This Row],[Tech Start Date]],5),""))))</f>
        <v/>
      </c>
      <c r="P1044" s="114" t="str">
        <f>IF(Main[[#This Row],[Tech Start Date]]&lt;1/1/1990,"",IF(Main[[#This Row],[Class]]="C",WORKDAY(Main[[#This Row],[Tech Start Date]],28),IF(Main[[#This Row],[Class]]="B", WORKDAY(Main[[#This Row],[Tech Start Date]],19),IF(Main[[#This Row],[Class]]="A",WORKDAY(Main[[#This Row],[Tech Start Date]],9),""))))</f>
        <v/>
      </c>
      <c r="Q1044" s="129">
        <v>40592</v>
      </c>
      <c r="R1044" s="129"/>
      <c r="S1044" s="139" t="s">
        <v>6</v>
      </c>
      <c r="T1044" s="115" t="s">
        <v>4</v>
      </c>
      <c r="U1044" s="139" t="s">
        <v>29</v>
      </c>
      <c r="V1044" s="139" t="s">
        <v>1914</v>
      </c>
      <c r="W1044" s="139" t="s">
        <v>1916</v>
      </c>
      <c r="X1044" s="139" t="s">
        <v>2818</v>
      </c>
      <c r="Y1044" s="112" t="s">
        <v>2929</v>
      </c>
      <c r="Z1044" s="112" t="s">
        <v>129</v>
      </c>
      <c r="AA1044" s="139" t="s">
        <v>2818</v>
      </c>
    </row>
    <row r="1045" spans="1:27" ht="17.25" customHeight="1">
      <c r="A1045" s="69" t="str">
        <f>IF(priority(Main[[#This Row],[Comments]])&lt;&gt;0, priority(Main[[#This Row],[Comments]]),"")</f>
        <v/>
      </c>
      <c r="B1045" s="63" t="s">
        <v>2061</v>
      </c>
      <c r="C1045" s="148" t="s">
        <v>4</v>
      </c>
      <c r="D1045" s="113" t="s">
        <v>2301</v>
      </c>
      <c r="E1045" s="129">
        <v>40758.6172337963</v>
      </c>
      <c r="F1045" s="129"/>
      <c r="G1045" s="69" t="str">
        <f>IF(stdProdLT(Main[[#This Row],[Comments]])=0.1,"N/A",IF(stdProdLT(Main[[#This Row],[Comments]])=0,"",stdProdLT(Main[[#This Row],[Comments]])))</f>
        <v/>
      </c>
      <c r="H1045" s="138" t="str">
        <f>IF(Main[[#This Row],[In Stock Date]]="N/A", "N/A",IF(AND(Main[[#This Row],[In Stock Date]]&lt;&gt;"",Main[[#This Row],[Revised Due Date]]&lt;&gt;"",Main[[#This Row],[In Stock Date]]&lt;&gt;""),Main[[#This Row],[In Stock Date]]-Main[[#This Row],[Revised Due Date]],""))</f>
        <v/>
      </c>
      <c r="I1045" s="139" t="s">
        <v>530</v>
      </c>
      <c r="J1045" s="139" t="s">
        <v>21</v>
      </c>
      <c r="K1045" s="139" t="s">
        <v>1923</v>
      </c>
      <c r="L1045" s="129"/>
      <c r="M1045" s="114" t="str">
        <f>IF(Main[[#This Row],[Tech Start Date]]&lt;1/1/1990,"",IF(Main[[#This Row],[Class]]="C",WORKDAY(Main[[#This Row],[Tech Start Date]],9),IF(Main[[#This Row],[Class]]="B", WORKDAY(Main[[#This Row],[Tech Start Date]],6),IF(Main[[#This Row],[Class]]="A",WORKDAY(Main[[#This Row],[Tech Start Date]],2),""))))</f>
        <v/>
      </c>
      <c r="N1045" s="114" t="str">
        <f>IF(Main[[#This Row],[Tech Start Date]]&lt;1/1/1990,"",IF(Main[[#This Row],[Class]]="C",WORKDAY(Main[[#This Row],[Tech Start Date]],19),IF(Main[[#This Row],[Class]]="B", WORKDAY(Main[[#This Row],[Tech Start Date]],12),IF(Main[[#This Row],[Class]]="A",WORKDAY(Main[[#This Row],[Tech Start Date]],4),""))))</f>
        <v/>
      </c>
      <c r="O1045" s="114" t="str">
        <f>IF(Main[[#This Row],[Tech Start Date]]&lt;1/1/1990,"",IF(Main[[#This Row],[Class]]="C",WORKDAY(Main[[#This Row],[Tech Start Date]],23),IF(Main[[#This Row],[Class]]="B", WORKDAY(Main[[#This Row],[Tech Start Date]],15),IF(Main[[#This Row],[Class]]="A",WORKDAY(Main[[#This Row],[Tech Start Date]],5),""))))</f>
        <v/>
      </c>
      <c r="P1045" s="114" t="str">
        <f>IF(Main[[#This Row],[Tech Start Date]]&lt;1/1/1990,"",IF(Main[[#This Row],[Class]]="C",WORKDAY(Main[[#This Row],[Tech Start Date]],28),IF(Main[[#This Row],[Class]]="B", WORKDAY(Main[[#This Row],[Tech Start Date]],19),IF(Main[[#This Row],[Class]]="A",WORKDAY(Main[[#This Row],[Tech Start Date]],9),""))))</f>
        <v/>
      </c>
      <c r="Q1045" s="129"/>
      <c r="R1045" s="129"/>
      <c r="S1045" s="139" t="s">
        <v>6</v>
      </c>
      <c r="T1045" s="115" t="s">
        <v>4</v>
      </c>
      <c r="U1045" s="139" t="s">
        <v>29</v>
      </c>
      <c r="V1045" s="139" t="s">
        <v>1917</v>
      </c>
      <c r="W1045" s="139" t="s">
        <v>1918</v>
      </c>
      <c r="X1045" s="139" t="s">
        <v>102</v>
      </c>
      <c r="Y1045" s="112" t="s">
        <v>3121</v>
      </c>
      <c r="Z1045" s="112" t="s">
        <v>530</v>
      </c>
      <c r="AA1045" s="139" t="s">
        <v>3451</v>
      </c>
    </row>
    <row r="1046" spans="1:27" ht="17.25" customHeight="1">
      <c r="A1046" s="69" t="str">
        <f>IF(priority(Main[[#This Row],[Comments]])&lt;&gt;0, priority(Main[[#This Row],[Comments]]),"")</f>
        <v/>
      </c>
      <c r="B1046" s="63" t="s">
        <v>2218</v>
      </c>
      <c r="C1046" s="148" t="s">
        <v>4</v>
      </c>
      <c r="D1046" s="113" t="s">
        <v>2408</v>
      </c>
      <c r="E1046" s="129">
        <v>40798.679803240739</v>
      </c>
      <c r="F1046" s="129"/>
      <c r="G1046" s="69" t="str">
        <f>IF(stdProdLT(Main[[#This Row],[Comments]])=0.1,"N/A",IF(stdProdLT(Main[[#This Row],[Comments]])=0,"",stdProdLT(Main[[#This Row],[Comments]])))</f>
        <v/>
      </c>
      <c r="H1046" s="138" t="str">
        <f>IF(Main[[#This Row],[In Stock Date]]="N/A", "N/A",IF(AND(Main[[#This Row],[In Stock Date]]&lt;&gt;"",Main[[#This Row],[Revised Due Date]]&lt;&gt;"",Main[[#This Row],[In Stock Date]]&lt;&gt;""),Main[[#This Row],[In Stock Date]]-Main[[#This Row],[Revised Due Date]],""))</f>
        <v/>
      </c>
      <c r="I1046" s="139" t="s">
        <v>765</v>
      </c>
      <c r="J1046" s="139" t="s">
        <v>52</v>
      </c>
      <c r="K1046" s="139" t="s">
        <v>1923</v>
      </c>
      <c r="L1046" s="129"/>
      <c r="M1046" s="114" t="str">
        <f>IF(Main[[#This Row],[Tech Start Date]]&lt;1/1/1990,"",IF(Main[[#This Row],[Class]]="C",WORKDAY(Main[[#This Row],[Tech Start Date]],9),IF(Main[[#This Row],[Class]]="B", WORKDAY(Main[[#This Row],[Tech Start Date]],6),IF(Main[[#This Row],[Class]]="A",WORKDAY(Main[[#This Row],[Tech Start Date]],2),""))))</f>
        <v/>
      </c>
      <c r="N1046" s="114" t="str">
        <f>IF(Main[[#This Row],[Tech Start Date]]&lt;1/1/1990,"",IF(Main[[#This Row],[Class]]="C",WORKDAY(Main[[#This Row],[Tech Start Date]],19),IF(Main[[#This Row],[Class]]="B", WORKDAY(Main[[#This Row],[Tech Start Date]],12),IF(Main[[#This Row],[Class]]="A",WORKDAY(Main[[#This Row],[Tech Start Date]],4),""))))</f>
        <v/>
      </c>
      <c r="O1046" s="114" t="str">
        <f>IF(Main[[#This Row],[Tech Start Date]]&lt;1/1/1990,"",IF(Main[[#This Row],[Class]]="C",WORKDAY(Main[[#This Row],[Tech Start Date]],23),IF(Main[[#This Row],[Class]]="B", WORKDAY(Main[[#This Row],[Tech Start Date]],15),IF(Main[[#This Row],[Class]]="A",WORKDAY(Main[[#This Row],[Tech Start Date]],5),""))))</f>
        <v/>
      </c>
      <c r="P1046" s="114" t="str">
        <f>IF(Main[[#This Row],[Tech Start Date]]&lt;1/1/1990,"",IF(Main[[#This Row],[Class]]="C",WORKDAY(Main[[#This Row],[Tech Start Date]],28),IF(Main[[#This Row],[Class]]="B", WORKDAY(Main[[#This Row],[Tech Start Date]],19),IF(Main[[#This Row],[Class]]="A",WORKDAY(Main[[#This Row],[Tech Start Date]],9),""))))</f>
        <v/>
      </c>
      <c r="Q1046" s="129">
        <v>40847</v>
      </c>
      <c r="R1046" s="129"/>
      <c r="S1046" s="139" t="s">
        <v>6</v>
      </c>
      <c r="T1046" s="115" t="s">
        <v>4</v>
      </c>
      <c r="U1046" s="139" t="s">
        <v>29</v>
      </c>
      <c r="V1046" s="139" t="s">
        <v>1917</v>
      </c>
      <c r="W1046" s="139" t="s">
        <v>1918</v>
      </c>
      <c r="X1046" s="139" t="s">
        <v>30</v>
      </c>
      <c r="Y1046" s="112" t="s">
        <v>2940</v>
      </c>
      <c r="Z1046" s="112" t="s">
        <v>30</v>
      </c>
      <c r="AA1046" s="139" t="s">
        <v>30</v>
      </c>
    </row>
    <row r="1047" spans="1:27" ht="17.25" customHeight="1">
      <c r="A1047" s="69" t="str">
        <f>IF(priority(Main[[#This Row],[Comments]])&lt;&gt;0, priority(Main[[#This Row],[Comments]]),"")</f>
        <v/>
      </c>
      <c r="B1047" s="63" t="s">
        <v>2409</v>
      </c>
      <c r="C1047" s="148" t="s">
        <v>4</v>
      </c>
      <c r="D1047" s="113" t="s">
        <v>2410</v>
      </c>
      <c r="E1047" s="129">
        <v>40843.719166666669</v>
      </c>
      <c r="F1047" s="129"/>
      <c r="G1047" s="69" t="str">
        <f>IF(stdProdLT(Main[[#This Row],[Comments]])=0.1,"N/A",IF(stdProdLT(Main[[#This Row],[Comments]])=0,"",stdProdLT(Main[[#This Row],[Comments]])))</f>
        <v/>
      </c>
      <c r="H1047" s="138" t="str">
        <f>IF(Main[[#This Row],[In Stock Date]]="N/A", "N/A",IF(AND(Main[[#This Row],[In Stock Date]]&lt;&gt;"",Main[[#This Row],[Revised Due Date]]&lt;&gt;"",Main[[#This Row],[In Stock Date]]&lt;&gt;""),Main[[#This Row],[In Stock Date]]-Main[[#This Row],[Revised Due Date]],""))</f>
        <v/>
      </c>
      <c r="I1047" s="139" t="s">
        <v>4</v>
      </c>
      <c r="J1047" s="139" t="s">
        <v>51</v>
      </c>
      <c r="K1047" s="139" t="s">
        <v>4</v>
      </c>
      <c r="L1047" s="129"/>
      <c r="M1047" s="114" t="str">
        <f>IF(Main[[#This Row],[Tech Start Date]]&lt;1/1/1990,"",IF(Main[[#This Row],[Class]]="C",WORKDAY(Main[[#This Row],[Tech Start Date]],9),IF(Main[[#This Row],[Class]]="B", WORKDAY(Main[[#This Row],[Tech Start Date]],6),IF(Main[[#This Row],[Class]]="A",WORKDAY(Main[[#This Row],[Tech Start Date]],2),""))))</f>
        <v/>
      </c>
      <c r="N1047" s="114" t="str">
        <f>IF(Main[[#This Row],[Tech Start Date]]&lt;1/1/1990,"",IF(Main[[#This Row],[Class]]="C",WORKDAY(Main[[#This Row],[Tech Start Date]],19),IF(Main[[#This Row],[Class]]="B", WORKDAY(Main[[#This Row],[Tech Start Date]],12),IF(Main[[#This Row],[Class]]="A",WORKDAY(Main[[#This Row],[Tech Start Date]],4),""))))</f>
        <v/>
      </c>
      <c r="O1047" s="114" t="str">
        <f>IF(Main[[#This Row],[Tech Start Date]]&lt;1/1/1990,"",IF(Main[[#This Row],[Class]]="C",WORKDAY(Main[[#This Row],[Tech Start Date]],23),IF(Main[[#This Row],[Class]]="B", WORKDAY(Main[[#This Row],[Tech Start Date]],15),IF(Main[[#This Row],[Class]]="A",WORKDAY(Main[[#This Row],[Tech Start Date]],5),""))))</f>
        <v/>
      </c>
      <c r="P1047" s="114" t="str">
        <f>IF(Main[[#This Row],[Tech Start Date]]&lt;1/1/1990,"",IF(Main[[#This Row],[Class]]="C",WORKDAY(Main[[#This Row],[Tech Start Date]],28),IF(Main[[#This Row],[Class]]="B", WORKDAY(Main[[#This Row],[Tech Start Date]],19),IF(Main[[#This Row],[Class]]="A",WORKDAY(Main[[#This Row],[Tech Start Date]],9),""))))</f>
        <v/>
      </c>
      <c r="Q1047" s="129"/>
      <c r="R1047" s="129"/>
      <c r="S1047" s="139" t="s">
        <v>6</v>
      </c>
      <c r="T1047" s="115" t="s">
        <v>2411</v>
      </c>
      <c r="U1047" s="139" t="s">
        <v>534</v>
      </c>
      <c r="V1047" s="139" t="s">
        <v>1914</v>
      </c>
      <c r="W1047" s="139" t="s">
        <v>1920</v>
      </c>
      <c r="X1047" s="139" t="s">
        <v>306</v>
      </c>
      <c r="Y1047" s="112" t="s">
        <v>4</v>
      </c>
      <c r="Z1047" s="112" t="s">
        <v>4</v>
      </c>
      <c r="AA1047" s="139" t="s">
        <v>2839</v>
      </c>
    </row>
    <row r="1048" spans="1:27" ht="17.25" customHeight="1">
      <c r="A1048" s="69" t="str">
        <f>IF(priority(Main[[#This Row],[Comments]])&lt;&gt;0, priority(Main[[#This Row],[Comments]]),"")</f>
        <v/>
      </c>
      <c r="B1048" s="63" t="s">
        <v>2077</v>
      </c>
      <c r="C1048" s="148" t="s">
        <v>4</v>
      </c>
      <c r="D1048" s="113" t="s">
        <v>2078</v>
      </c>
      <c r="E1048" s="129"/>
      <c r="F1048" s="129"/>
      <c r="G1048" s="69" t="str">
        <f>IF(stdProdLT(Main[[#This Row],[Comments]])=0.1,"N/A",IF(stdProdLT(Main[[#This Row],[Comments]])=0,"",stdProdLT(Main[[#This Row],[Comments]])))</f>
        <v/>
      </c>
      <c r="H1048" s="138" t="str">
        <f>IF(Main[[#This Row],[In Stock Date]]="N/A", "N/A",IF(AND(Main[[#This Row],[In Stock Date]]&lt;&gt;"",Main[[#This Row],[Revised Due Date]]&lt;&gt;"",Main[[#This Row],[In Stock Date]]&lt;&gt;""),Main[[#This Row],[In Stock Date]]-Main[[#This Row],[Revised Due Date]],""))</f>
        <v/>
      </c>
      <c r="I1048" s="139" t="s">
        <v>4</v>
      </c>
      <c r="J1048" s="139" t="s">
        <v>4</v>
      </c>
      <c r="K1048" s="139" t="s">
        <v>4</v>
      </c>
      <c r="L1048" s="129"/>
      <c r="M1048" s="114" t="str">
        <f>IF(Main[[#This Row],[Tech Start Date]]&lt;1/1/1990,"",IF(Main[[#This Row],[Class]]="C",WORKDAY(Main[[#This Row],[Tech Start Date]],9),IF(Main[[#This Row],[Class]]="B", WORKDAY(Main[[#This Row],[Tech Start Date]],6),IF(Main[[#This Row],[Class]]="A",WORKDAY(Main[[#This Row],[Tech Start Date]],2),""))))</f>
        <v/>
      </c>
      <c r="N1048" s="114" t="str">
        <f>IF(Main[[#This Row],[Tech Start Date]]&lt;1/1/1990,"",IF(Main[[#This Row],[Class]]="C",WORKDAY(Main[[#This Row],[Tech Start Date]],19),IF(Main[[#This Row],[Class]]="B", WORKDAY(Main[[#This Row],[Tech Start Date]],12),IF(Main[[#This Row],[Class]]="A",WORKDAY(Main[[#This Row],[Tech Start Date]],4),""))))</f>
        <v/>
      </c>
      <c r="O1048" s="114" t="str">
        <f>IF(Main[[#This Row],[Tech Start Date]]&lt;1/1/1990,"",IF(Main[[#This Row],[Class]]="C",WORKDAY(Main[[#This Row],[Tech Start Date]],23),IF(Main[[#This Row],[Class]]="B", WORKDAY(Main[[#This Row],[Tech Start Date]],15),IF(Main[[#This Row],[Class]]="A",WORKDAY(Main[[#This Row],[Tech Start Date]],5),""))))</f>
        <v/>
      </c>
      <c r="P1048" s="114" t="str">
        <f>IF(Main[[#This Row],[Tech Start Date]]&lt;1/1/1990,"",IF(Main[[#This Row],[Class]]="C",WORKDAY(Main[[#This Row],[Tech Start Date]],28),IF(Main[[#This Row],[Class]]="B", WORKDAY(Main[[#This Row],[Tech Start Date]],19),IF(Main[[#This Row],[Class]]="A",WORKDAY(Main[[#This Row],[Tech Start Date]],9),""))))</f>
        <v/>
      </c>
      <c r="Q1048" s="129"/>
      <c r="R1048" s="129"/>
      <c r="S1048" s="139" t="s">
        <v>6</v>
      </c>
      <c r="T1048" s="115" t="s">
        <v>4</v>
      </c>
      <c r="U1048" s="139" t="s">
        <v>14</v>
      </c>
      <c r="V1048" s="139" t="s">
        <v>1914</v>
      </c>
      <c r="W1048" s="139" t="s">
        <v>1918</v>
      </c>
      <c r="X1048" s="139" t="s">
        <v>306</v>
      </c>
      <c r="Y1048" s="112" t="s">
        <v>4</v>
      </c>
      <c r="Z1048" s="112" t="s">
        <v>4</v>
      </c>
      <c r="AA1048" s="139" t="s">
        <v>4</v>
      </c>
    </row>
    <row r="1049" spans="1:27" ht="17.25" customHeight="1">
      <c r="A1049" s="69" t="str">
        <f>IF(priority(Main[[#This Row],[Comments]])&lt;&gt;0, priority(Main[[#This Row],[Comments]]),"")</f>
        <v/>
      </c>
      <c r="B1049" s="63" t="s">
        <v>1758</v>
      </c>
      <c r="C1049" s="148" t="s">
        <v>4</v>
      </c>
      <c r="D1049" s="113" t="s">
        <v>2412</v>
      </c>
      <c r="E1049" s="129">
        <v>40616.425347222219</v>
      </c>
      <c r="F1049" s="129"/>
      <c r="G1049" s="69" t="str">
        <f>IF(stdProdLT(Main[[#This Row],[Comments]])=0.1,"N/A",IF(stdProdLT(Main[[#This Row],[Comments]])=0,"",stdProdLT(Main[[#This Row],[Comments]])))</f>
        <v/>
      </c>
      <c r="H1049" s="138" t="str">
        <f>IF(Main[[#This Row],[In Stock Date]]="N/A", "N/A",IF(AND(Main[[#This Row],[In Stock Date]]&lt;&gt;"",Main[[#This Row],[Revised Due Date]]&lt;&gt;"",Main[[#This Row],[In Stock Date]]&lt;&gt;""),Main[[#This Row],[In Stock Date]]-Main[[#This Row],[Revised Due Date]],""))</f>
        <v/>
      </c>
      <c r="I1049" s="139" t="s">
        <v>912</v>
      </c>
      <c r="J1049" s="139" t="s">
        <v>52</v>
      </c>
      <c r="K1049" s="139" t="s">
        <v>1923</v>
      </c>
      <c r="L1049" s="129"/>
      <c r="M1049" s="114" t="str">
        <f>IF(Main[[#This Row],[Tech Start Date]]&lt;1/1/1990,"",IF(Main[[#This Row],[Class]]="C",WORKDAY(Main[[#This Row],[Tech Start Date]],9),IF(Main[[#This Row],[Class]]="B", WORKDAY(Main[[#This Row],[Tech Start Date]],6),IF(Main[[#This Row],[Class]]="A",WORKDAY(Main[[#This Row],[Tech Start Date]],2),""))))</f>
        <v/>
      </c>
      <c r="N1049" s="114" t="str">
        <f>IF(Main[[#This Row],[Tech Start Date]]&lt;1/1/1990,"",IF(Main[[#This Row],[Class]]="C",WORKDAY(Main[[#This Row],[Tech Start Date]],19),IF(Main[[#This Row],[Class]]="B", WORKDAY(Main[[#This Row],[Tech Start Date]],12),IF(Main[[#This Row],[Class]]="A",WORKDAY(Main[[#This Row],[Tech Start Date]],4),""))))</f>
        <v/>
      </c>
      <c r="O1049" s="114" t="str">
        <f>IF(Main[[#This Row],[Tech Start Date]]&lt;1/1/1990,"",IF(Main[[#This Row],[Class]]="C",WORKDAY(Main[[#This Row],[Tech Start Date]],23),IF(Main[[#This Row],[Class]]="B", WORKDAY(Main[[#This Row],[Tech Start Date]],15),IF(Main[[#This Row],[Class]]="A",WORKDAY(Main[[#This Row],[Tech Start Date]],5),""))))</f>
        <v/>
      </c>
      <c r="P1049" s="114" t="str">
        <f>IF(Main[[#This Row],[Tech Start Date]]&lt;1/1/1990,"",IF(Main[[#This Row],[Class]]="C",WORKDAY(Main[[#This Row],[Tech Start Date]],28),IF(Main[[#This Row],[Class]]="B", WORKDAY(Main[[#This Row],[Tech Start Date]],19),IF(Main[[#This Row],[Class]]="A",WORKDAY(Main[[#This Row],[Tech Start Date]],9),""))))</f>
        <v/>
      </c>
      <c r="Q1049" s="129"/>
      <c r="R1049" s="129"/>
      <c r="S1049" s="139" t="s">
        <v>6</v>
      </c>
      <c r="T1049" s="115" t="s">
        <v>4</v>
      </c>
      <c r="U1049" s="139" t="s">
        <v>29</v>
      </c>
      <c r="V1049" s="139" t="s">
        <v>1914</v>
      </c>
      <c r="W1049" s="139" t="s">
        <v>1918</v>
      </c>
      <c r="X1049" s="139" t="s">
        <v>2903</v>
      </c>
      <c r="Y1049" s="112" t="s">
        <v>3083</v>
      </c>
      <c r="Z1049" s="112" t="s">
        <v>530</v>
      </c>
      <c r="AA1049" s="139" t="s">
        <v>2903</v>
      </c>
    </row>
    <row r="1050" spans="1:27" ht="17.25" customHeight="1">
      <c r="A1050" s="69" t="str">
        <f>IF(priority(Main[[#This Row],[Comments]])&lt;&gt;0, priority(Main[[#This Row],[Comments]]),"")</f>
        <v/>
      </c>
      <c r="B1050" s="63" t="s">
        <v>2266</v>
      </c>
      <c r="C1050" s="148" t="s">
        <v>4</v>
      </c>
      <c r="D1050" s="113" t="s">
        <v>2267</v>
      </c>
      <c r="E1050" s="129">
        <v>40808.345057870371</v>
      </c>
      <c r="F1050" s="129"/>
      <c r="G1050" s="69" t="str">
        <f>IF(stdProdLT(Main[[#This Row],[Comments]])=0.1,"N/A",IF(stdProdLT(Main[[#This Row],[Comments]])=0,"",stdProdLT(Main[[#This Row],[Comments]])))</f>
        <v/>
      </c>
      <c r="H1050" s="138" t="str">
        <f>IF(Main[[#This Row],[In Stock Date]]="N/A", "N/A",IF(AND(Main[[#This Row],[In Stock Date]]&lt;&gt;"",Main[[#This Row],[Revised Due Date]]&lt;&gt;"",Main[[#This Row],[In Stock Date]]&lt;&gt;""),Main[[#This Row],[In Stock Date]]-Main[[#This Row],[Revised Due Date]],""))</f>
        <v/>
      </c>
      <c r="I1050" s="139" t="s">
        <v>4</v>
      </c>
      <c r="J1050" s="139" t="s">
        <v>4</v>
      </c>
      <c r="K1050" s="139" t="s">
        <v>4</v>
      </c>
      <c r="L1050" s="129"/>
      <c r="M1050" s="114" t="str">
        <f>IF(Main[[#This Row],[Tech Start Date]]&lt;1/1/1990,"",IF(Main[[#This Row],[Class]]="C",WORKDAY(Main[[#This Row],[Tech Start Date]],9),IF(Main[[#This Row],[Class]]="B", WORKDAY(Main[[#This Row],[Tech Start Date]],6),IF(Main[[#This Row],[Class]]="A",WORKDAY(Main[[#This Row],[Tech Start Date]],2),""))))</f>
        <v/>
      </c>
      <c r="N1050" s="114" t="str">
        <f>IF(Main[[#This Row],[Tech Start Date]]&lt;1/1/1990,"",IF(Main[[#This Row],[Class]]="C",WORKDAY(Main[[#This Row],[Tech Start Date]],19),IF(Main[[#This Row],[Class]]="B", WORKDAY(Main[[#This Row],[Tech Start Date]],12),IF(Main[[#This Row],[Class]]="A",WORKDAY(Main[[#This Row],[Tech Start Date]],4),""))))</f>
        <v/>
      </c>
      <c r="O1050" s="114" t="str">
        <f>IF(Main[[#This Row],[Tech Start Date]]&lt;1/1/1990,"",IF(Main[[#This Row],[Class]]="C",WORKDAY(Main[[#This Row],[Tech Start Date]],23),IF(Main[[#This Row],[Class]]="B", WORKDAY(Main[[#This Row],[Tech Start Date]],15),IF(Main[[#This Row],[Class]]="A",WORKDAY(Main[[#This Row],[Tech Start Date]],5),""))))</f>
        <v/>
      </c>
      <c r="P1050" s="114" t="str">
        <f>IF(Main[[#This Row],[Tech Start Date]]&lt;1/1/1990,"",IF(Main[[#This Row],[Class]]="C",WORKDAY(Main[[#This Row],[Tech Start Date]],28),IF(Main[[#This Row],[Class]]="B", WORKDAY(Main[[#This Row],[Tech Start Date]],19),IF(Main[[#This Row],[Class]]="A",WORKDAY(Main[[#This Row],[Tech Start Date]],9),""))))</f>
        <v/>
      </c>
      <c r="Q1050" s="129"/>
      <c r="R1050" s="129"/>
      <c r="S1050" s="139" t="s">
        <v>17</v>
      </c>
      <c r="T1050" s="115" t="s">
        <v>4</v>
      </c>
      <c r="U1050" s="139" t="s">
        <v>7</v>
      </c>
      <c r="V1050" s="139" t="s">
        <v>1924</v>
      </c>
      <c r="W1050" s="139" t="s">
        <v>1916</v>
      </c>
      <c r="X1050" s="139" t="s">
        <v>2866</v>
      </c>
      <c r="Y1050" s="112" t="s">
        <v>3000</v>
      </c>
      <c r="Z1050" s="112" t="s">
        <v>4</v>
      </c>
      <c r="AA1050" s="139" t="s">
        <v>2866</v>
      </c>
    </row>
    <row r="1051" spans="1:27" ht="17.25" customHeight="1">
      <c r="A1051" s="69" t="str">
        <f>IF(priority(Main[[#This Row],[Comments]])&lt;&gt;0, priority(Main[[#This Row],[Comments]]),"")</f>
        <v/>
      </c>
      <c r="B1051" s="63" t="s">
        <v>2238</v>
      </c>
      <c r="C1051" s="148" t="s">
        <v>4</v>
      </c>
      <c r="D1051" s="113" t="s">
        <v>2239</v>
      </c>
      <c r="E1051" s="129"/>
      <c r="F1051" s="129"/>
      <c r="G1051" s="69" t="str">
        <f>IF(stdProdLT(Main[[#This Row],[Comments]])=0.1,"N/A",IF(stdProdLT(Main[[#This Row],[Comments]])=0,"",stdProdLT(Main[[#This Row],[Comments]])))</f>
        <v/>
      </c>
      <c r="H1051" s="138" t="str">
        <f>IF(Main[[#This Row],[In Stock Date]]="N/A", "N/A",IF(AND(Main[[#This Row],[In Stock Date]]&lt;&gt;"",Main[[#This Row],[Revised Due Date]]&lt;&gt;"",Main[[#This Row],[In Stock Date]]&lt;&gt;""),Main[[#This Row],[In Stock Date]]-Main[[#This Row],[Revised Due Date]],""))</f>
        <v/>
      </c>
      <c r="I1051" s="139" t="s">
        <v>4</v>
      </c>
      <c r="J1051" s="139" t="s">
        <v>4</v>
      </c>
      <c r="K1051" s="139" t="s">
        <v>4</v>
      </c>
      <c r="L1051" s="129"/>
      <c r="M1051" s="114" t="str">
        <f>IF(Main[[#This Row],[Tech Start Date]]&lt;1/1/1990,"",IF(Main[[#This Row],[Class]]="C",WORKDAY(Main[[#This Row],[Tech Start Date]],9),IF(Main[[#This Row],[Class]]="B", WORKDAY(Main[[#This Row],[Tech Start Date]],6),IF(Main[[#This Row],[Class]]="A",WORKDAY(Main[[#This Row],[Tech Start Date]],2),""))))</f>
        <v/>
      </c>
      <c r="N1051" s="114" t="str">
        <f>IF(Main[[#This Row],[Tech Start Date]]&lt;1/1/1990,"",IF(Main[[#This Row],[Class]]="C",WORKDAY(Main[[#This Row],[Tech Start Date]],19),IF(Main[[#This Row],[Class]]="B", WORKDAY(Main[[#This Row],[Tech Start Date]],12),IF(Main[[#This Row],[Class]]="A",WORKDAY(Main[[#This Row],[Tech Start Date]],4),""))))</f>
        <v/>
      </c>
      <c r="O1051" s="114" t="str">
        <f>IF(Main[[#This Row],[Tech Start Date]]&lt;1/1/1990,"",IF(Main[[#This Row],[Class]]="C",WORKDAY(Main[[#This Row],[Tech Start Date]],23),IF(Main[[#This Row],[Class]]="B", WORKDAY(Main[[#This Row],[Tech Start Date]],15),IF(Main[[#This Row],[Class]]="A",WORKDAY(Main[[#This Row],[Tech Start Date]],5),""))))</f>
        <v/>
      </c>
      <c r="P1051" s="114" t="str">
        <f>IF(Main[[#This Row],[Tech Start Date]]&lt;1/1/1990,"",IF(Main[[#This Row],[Class]]="C",WORKDAY(Main[[#This Row],[Tech Start Date]],28),IF(Main[[#This Row],[Class]]="B", WORKDAY(Main[[#This Row],[Tech Start Date]],19),IF(Main[[#This Row],[Class]]="A",WORKDAY(Main[[#This Row],[Tech Start Date]],9),""))))</f>
        <v/>
      </c>
      <c r="Q1051" s="129"/>
      <c r="R1051" s="129"/>
      <c r="S1051" s="139" t="s">
        <v>6</v>
      </c>
      <c r="T1051" s="115" t="s">
        <v>4</v>
      </c>
      <c r="U1051" s="139" t="s">
        <v>14</v>
      </c>
      <c r="V1051" s="139" t="s">
        <v>1917</v>
      </c>
      <c r="W1051" s="139" t="s">
        <v>1918</v>
      </c>
      <c r="X1051" s="139" t="s">
        <v>102</v>
      </c>
      <c r="Y1051" s="112" t="s">
        <v>4</v>
      </c>
      <c r="Z1051" s="112" t="s">
        <v>4</v>
      </c>
      <c r="AA1051" s="139" t="s">
        <v>3452</v>
      </c>
    </row>
    <row r="1052" spans="1:27" ht="17.25" customHeight="1">
      <c r="A1052" s="69" t="str">
        <f>IF(priority(Main[[#This Row],[Comments]])&lt;&gt;0, priority(Main[[#This Row],[Comments]]),"")</f>
        <v/>
      </c>
      <c r="B1052" s="63" t="s">
        <v>2240</v>
      </c>
      <c r="C1052" s="148" t="s">
        <v>4</v>
      </c>
      <c r="D1052" s="113" t="s">
        <v>2241</v>
      </c>
      <c r="E1052" s="129">
        <v>40801.476770833331</v>
      </c>
      <c r="F1052" s="129"/>
      <c r="G1052" s="69" t="str">
        <f>IF(stdProdLT(Main[[#This Row],[Comments]])=0.1,"N/A",IF(stdProdLT(Main[[#This Row],[Comments]])=0,"",stdProdLT(Main[[#This Row],[Comments]])))</f>
        <v/>
      </c>
      <c r="H1052" s="138" t="str">
        <f>IF(Main[[#This Row],[In Stock Date]]="N/A", "N/A",IF(AND(Main[[#This Row],[In Stock Date]]&lt;&gt;"",Main[[#This Row],[Revised Due Date]]&lt;&gt;"",Main[[#This Row],[In Stock Date]]&lt;&gt;""),Main[[#This Row],[In Stock Date]]-Main[[#This Row],[Revised Due Date]],""))</f>
        <v/>
      </c>
      <c r="I1052" s="139" t="s">
        <v>4</v>
      </c>
      <c r="J1052" s="139" t="s">
        <v>4</v>
      </c>
      <c r="K1052" s="139" t="s">
        <v>4</v>
      </c>
      <c r="L1052" s="129"/>
      <c r="M1052" s="114" t="str">
        <f>IF(Main[[#This Row],[Tech Start Date]]&lt;1/1/1990,"",IF(Main[[#This Row],[Class]]="C",WORKDAY(Main[[#This Row],[Tech Start Date]],9),IF(Main[[#This Row],[Class]]="B", WORKDAY(Main[[#This Row],[Tech Start Date]],6),IF(Main[[#This Row],[Class]]="A",WORKDAY(Main[[#This Row],[Tech Start Date]],2),""))))</f>
        <v/>
      </c>
      <c r="N1052" s="114" t="str">
        <f>IF(Main[[#This Row],[Tech Start Date]]&lt;1/1/1990,"",IF(Main[[#This Row],[Class]]="C",WORKDAY(Main[[#This Row],[Tech Start Date]],19),IF(Main[[#This Row],[Class]]="B", WORKDAY(Main[[#This Row],[Tech Start Date]],12),IF(Main[[#This Row],[Class]]="A",WORKDAY(Main[[#This Row],[Tech Start Date]],4),""))))</f>
        <v/>
      </c>
      <c r="O1052" s="114" t="str">
        <f>IF(Main[[#This Row],[Tech Start Date]]&lt;1/1/1990,"",IF(Main[[#This Row],[Class]]="C",WORKDAY(Main[[#This Row],[Tech Start Date]],23),IF(Main[[#This Row],[Class]]="B", WORKDAY(Main[[#This Row],[Tech Start Date]],15),IF(Main[[#This Row],[Class]]="A",WORKDAY(Main[[#This Row],[Tech Start Date]],5),""))))</f>
        <v/>
      </c>
      <c r="P1052" s="114" t="str">
        <f>IF(Main[[#This Row],[Tech Start Date]]&lt;1/1/1990,"",IF(Main[[#This Row],[Class]]="C",WORKDAY(Main[[#This Row],[Tech Start Date]],28),IF(Main[[#This Row],[Class]]="B", WORKDAY(Main[[#This Row],[Tech Start Date]],19),IF(Main[[#This Row],[Class]]="A",WORKDAY(Main[[#This Row],[Tech Start Date]],9),""))))</f>
        <v/>
      </c>
      <c r="Q1052" s="129">
        <v>40828</v>
      </c>
      <c r="R1052" s="129"/>
      <c r="S1052" s="139" t="s">
        <v>6</v>
      </c>
      <c r="T1052" s="115" t="s">
        <v>4</v>
      </c>
      <c r="U1052" s="139" t="s">
        <v>7</v>
      </c>
      <c r="V1052" s="139" t="s">
        <v>1914</v>
      </c>
      <c r="W1052" s="139" t="s">
        <v>1922</v>
      </c>
      <c r="X1052" s="139" t="s">
        <v>2821</v>
      </c>
      <c r="Y1052" s="112" t="s">
        <v>2936</v>
      </c>
      <c r="Z1052" s="112" t="s">
        <v>4</v>
      </c>
      <c r="AA1052" s="139" t="s">
        <v>2821</v>
      </c>
    </row>
    <row r="1053" spans="1:27" ht="17.25" customHeight="1">
      <c r="A1053" s="69" t="str">
        <f>IF(priority(Main[[#This Row],[Comments]])&lt;&gt;0, priority(Main[[#This Row],[Comments]]),"")</f>
        <v/>
      </c>
      <c r="B1053" s="63" t="s">
        <v>1174</v>
      </c>
      <c r="C1053" s="148" t="s">
        <v>4</v>
      </c>
      <c r="D1053" s="113" t="s">
        <v>229</v>
      </c>
      <c r="E1053" s="129">
        <v>40847.6950462963</v>
      </c>
      <c r="F1053" s="129"/>
      <c r="G1053" s="69" t="str">
        <f>IF(stdProdLT(Main[[#This Row],[Comments]])=0.1,"N/A",IF(stdProdLT(Main[[#This Row],[Comments]])=0,"",stdProdLT(Main[[#This Row],[Comments]])))</f>
        <v/>
      </c>
      <c r="H1053" s="138" t="str">
        <f>IF(Main[[#This Row],[In Stock Date]]="N/A", "N/A",IF(AND(Main[[#This Row],[In Stock Date]]&lt;&gt;"",Main[[#This Row],[Revised Due Date]]&lt;&gt;"",Main[[#This Row],[In Stock Date]]&lt;&gt;""),Main[[#This Row],[In Stock Date]]-Main[[#This Row],[Revised Due Date]],""))</f>
        <v/>
      </c>
      <c r="I1053" s="139" t="s">
        <v>4</v>
      </c>
      <c r="J1053" s="139" t="s">
        <v>4</v>
      </c>
      <c r="K1053" s="139" t="s">
        <v>4</v>
      </c>
      <c r="L1053" s="129"/>
      <c r="M1053" s="114" t="str">
        <f>IF(Main[[#This Row],[Tech Start Date]]&lt;1/1/1990,"",IF(Main[[#This Row],[Class]]="C",WORKDAY(Main[[#This Row],[Tech Start Date]],9),IF(Main[[#This Row],[Class]]="B", WORKDAY(Main[[#This Row],[Tech Start Date]],6),IF(Main[[#This Row],[Class]]="A",WORKDAY(Main[[#This Row],[Tech Start Date]],2),""))))</f>
        <v/>
      </c>
      <c r="N1053" s="114" t="str">
        <f>IF(Main[[#This Row],[Tech Start Date]]&lt;1/1/1990,"",IF(Main[[#This Row],[Class]]="C",WORKDAY(Main[[#This Row],[Tech Start Date]],19),IF(Main[[#This Row],[Class]]="B", WORKDAY(Main[[#This Row],[Tech Start Date]],12),IF(Main[[#This Row],[Class]]="A",WORKDAY(Main[[#This Row],[Tech Start Date]],4),""))))</f>
        <v/>
      </c>
      <c r="O1053" s="114" t="str">
        <f>IF(Main[[#This Row],[Tech Start Date]]&lt;1/1/1990,"",IF(Main[[#This Row],[Class]]="C",WORKDAY(Main[[#This Row],[Tech Start Date]],23),IF(Main[[#This Row],[Class]]="B", WORKDAY(Main[[#This Row],[Tech Start Date]],15),IF(Main[[#This Row],[Class]]="A",WORKDAY(Main[[#This Row],[Tech Start Date]],5),""))))</f>
        <v/>
      </c>
      <c r="P1053" s="114" t="str">
        <f>IF(Main[[#This Row],[Tech Start Date]]&lt;1/1/1990,"",IF(Main[[#This Row],[Class]]="C",WORKDAY(Main[[#This Row],[Tech Start Date]],28),IF(Main[[#This Row],[Class]]="B", WORKDAY(Main[[#This Row],[Tech Start Date]],19),IF(Main[[#This Row],[Class]]="A",WORKDAY(Main[[#This Row],[Tech Start Date]],9),""))))</f>
        <v/>
      </c>
      <c r="Q1053" s="129"/>
      <c r="R1053" s="129"/>
      <c r="S1053" s="139" t="s">
        <v>49</v>
      </c>
      <c r="T1053" s="115" t="s">
        <v>4</v>
      </c>
      <c r="U1053" s="139" t="s">
        <v>7</v>
      </c>
      <c r="V1053" s="139" t="s">
        <v>1914</v>
      </c>
      <c r="W1053" s="139" t="s">
        <v>1918</v>
      </c>
      <c r="X1053" s="139" t="s">
        <v>907</v>
      </c>
      <c r="Y1053" s="112" t="s">
        <v>3017</v>
      </c>
      <c r="Z1053" s="112" t="s">
        <v>4</v>
      </c>
      <c r="AA1053" s="139" t="s">
        <v>907</v>
      </c>
    </row>
    <row r="1054" spans="1:27" ht="17.25" customHeight="1">
      <c r="A1054" s="69" t="str">
        <f>IF(priority(Main[[#This Row],[Comments]])&lt;&gt;0, priority(Main[[#This Row],[Comments]]),"")</f>
        <v/>
      </c>
      <c r="B1054" s="63" t="s">
        <v>1631</v>
      </c>
      <c r="C1054" s="148" t="s">
        <v>79</v>
      </c>
      <c r="D1054" s="113" t="s">
        <v>704</v>
      </c>
      <c r="E1054" s="129">
        <v>40610.683993055558</v>
      </c>
      <c r="F1054" s="129"/>
      <c r="G1054" s="69" t="str">
        <f>IF(stdProdLT(Main[[#This Row],[Comments]])=0.1,"N/A",IF(stdProdLT(Main[[#This Row],[Comments]])=0,"",stdProdLT(Main[[#This Row],[Comments]])))</f>
        <v/>
      </c>
      <c r="H1054" s="138" t="str">
        <f>IF(Main[[#This Row],[In Stock Date]]="N/A", "N/A",IF(AND(Main[[#This Row],[In Stock Date]]&lt;&gt;"",Main[[#This Row],[Revised Due Date]]&lt;&gt;"",Main[[#This Row],[In Stock Date]]&lt;&gt;""),Main[[#This Row],[In Stock Date]]-Main[[#This Row],[Revised Due Date]],""))</f>
        <v/>
      </c>
      <c r="I1054" s="139" t="s">
        <v>530</v>
      </c>
      <c r="J1054" s="139" t="s">
        <v>28</v>
      </c>
      <c r="K1054" s="139" t="s">
        <v>1926</v>
      </c>
      <c r="L1054" s="129"/>
      <c r="M1054" s="114" t="str">
        <f>IF(Main[[#This Row],[Tech Start Date]]&lt;1/1/1990,"",IF(Main[[#This Row],[Class]]="C",WORKDAY(Main[[#This Row],[Tech Start Date]],9),IF(Main[[#This Row],[Class]]="B", WORKDAY(Main[[#This Row],[Tech Start Date]],6),IF(Main[[#This Row],[Class]]="A",WORKDAY(Main[[#This Row],[Tech Start Date]],2),""))))</f>
        <v/>
      </c>
      <c r="N1054" s="114" t="str">
        <f>IF(Main[[#This Row],[Tech Start Date]]&lt;1/1/1990,"",IF(Main[[#This Row],[Class]]="C",WORKDAY(Main[[#This Row],[Tech Start Date]],19),IF(Main[[#This Row],[Class]]="B", WORKDAY(Main[[#This Row],[Tech Start Date]],12),IF(Main[[#This Row],[Class]]="A",WORKDAY(Main[[#This Row],[Tech Start Date]],4),""))))</f>
        <v/>
      </c>
      <c r="O1054" s="114" t="str">
        <f>IF(Main[[#This Row],[Tech Start Date]]&lt;1/1/1990,"",IF(Main[[#This Row],[Class]]="C",WORKDAY(Main[[#This Row],[Tech Start Date]],23),IF(Main[[#This Row],[Class]]="B", WORKDAY(Main[[#This Row],[Tech Start Date]],15),IF(Main[[#This Row],[Class]]="A",WORKDAY(Main[[#This Row],[Tech Start Date]],5),""))))</f>
        <v/>
      </c>
      <c r="P1054" s="114" t="str">
        <f>IF(Main[[#This Row],[Tech Start Date]]&lt;1/1/1990,"",IF(Main[[#This Row],[Class]]="C",WORKDAY(Main[[#This Row],[Tech Start Date]],28),IF(Main[[#This Row],[Class]]="B", WORKDAY(Main[[#This Row],[Tech Start Date]],19),IF(Main[[#This Row],[Class]]="A",WORKDAY(Main[[#This Row],[Tech Start Date]],9),""))))</f>
        <v/>
      </c>
      <c r="Q1054" s="129">
        <v>40725</v>
      </c>
      <c r="R1054" s="129"/>
      <c r="S1054" s="139" t="s">
        <v>6</v>
      </c>
      <c r="T1054" s="115" t="s">
        <v>4</v>
      </c>
      <c r="U1054" s="139" t="s">
        <v>29</v>
      </c>
      <c r="V1054" s="139" t="s">
        <v>1917</v>
      </c>
      <c r="W1054" s="139" t="s">
        <v>1916</v>
      </c>
      <c r="X1054" s="139" t="s">
        <v>553</v>
      </c>
      <c r="Y1054" s="112" t="s">
        <v>2952</v>
      </c>
      <c r="Z1054" s="112" t="s">
        <v>30</v>
      </c>
      <c r="AA1054" s="139" t="s">
        <v>553</v>
      </c>
    </row>
    <row r="1055" spans="1:27" ht="17.25" customHeight="1">
      <c r="A1055" s="69" t="str">
        <f>IF(priority(Main[[#This Row],[Comments]])&lt;&gt;0, priority(Main[[#This Row],[Comments]]),"")</f>
        <v/>
      </c>
      <c r="B1055" s="63" t="s">
        <v>1171</v>
      </c>
      <c r="C1055" s="148" t="s">
        <v>4</v>
      </c>
      <c r="D1055" s="113" t="s">
        <v>2421</v>
      </c>
      <c r="E1055" s="129">
        <v>40567.661041666666</v>
      </c>
      <c r="F1055" s="129">
        <v>40602</v>
      </c>
      <c r="G1055" s="69" t="str">
        <f>IF(stdProdLT(Main[[#This Row],[Comments]])=0.1,"N/A",IF(stdProdLT(Main[[#This Row],[Comments]])=0,"",stdProdLT(Main[[#This Row],[Comments]])))</f>
        <v/>
      </c>
      <c r="H1055" s="138" t="str">
        <f>IF(Main[[#This Row],[In Stock Date]]="N/A", "N/A",IF(AND(Main[[#This Row],[In Stock Date]]&lt;&gt;"",Main[[#This Row],[Revised Due Date]]&lt;&gt;"",Main[[#This Row],[In Stock Date]]&lt;&gt;""),Main[[#This Row],[In Stock Date]]-Main[[#This Row],[Revised Due Date]],""))</f>
        <v/>
      </c>
      <c r="I1055" s="139" t="s">
        <v>912</v>
      </c>
      <c r="J1055" s="139" t="s">
        <v>52</v>
      </c>
      <c r="K1055" s="139" t="s">
        <v>1923</v>
      </c>
      <c r="L1055" s="129"/>
      <c r="M1055" s="114" t="str">
        <f>IF(Main[[#This Row],[Tech Start Date]]&lt;1/1/1990,"",IF(Main[[#This Row],[Class]]="C",WORKDAY(Main[[#This Row],[Tech Start Date]],9),IF(Main[[#This Row],[Class]]="B", WORKDAY(Main[[#This Row],[Tech Start Date]],6),IF(Main[[#This Row],[Class]]="A",WORKDAY(Main[[#This Row],[Tech Start Date]],2),""))))</f>
        <v/>
      </c>
      <c r="N1055" s="114" t="str">
        <f>IF(Main[[#This Row],[Tech Start Date]]&lt;1/1/1990,"",IF(Main[[#This Row],[Class]]="C",WORKDAY(Main[[#This Row],[Tech Start Date]],19),IF(Main[[#This Row],[Class]]="B", WORKDAY(Main[[#This Row],[Tech Start Date]],12),IF(Main[[#This Row],[Class]]="A",WORKDAY(Main[[#This Row],[Tech Start Date]],4),""))))</f>
        <v/>
      </c>
      <c r="O1055" s="114" t="str">
        <f>IF(Main[[#This Row],[Tech Start Date]]&lt;1/1/1990,"",IF(Main[[#This Row],[Class]]="C",WORKDAY(Main[[#This Row],[Tech Start Date]],23),IF(Main[[#This Row],[Class]]="B", WORKDAY(Main[[#This Row],[Tech Start Date]],15),IF(Main[[#This Row],[Class]]="A",WORKDAY(Main[[#This Row],[Tech Start Date]],5),""))))</f>
        <v/>
      </c>
      <c r="P1055" s="114" t="str">
        <f>IF(Main[[#This Row],[Tech Start Date]]&lt;1/1/1990,"",IF(Main[[#This Row],[Class]]="C",WORKDAY(Main[[#This Row],[Tech Start Date]],28),IF(Main[[#This Row],[Class]]="B", WORKDAY(Main[[#This Row],[Tech Start Date]],19),IF(Main[[#This Row],[Class]]="A",WORKDAY(Main[[#This Row],[Tech Start Date]],9),""))))</f>
        <v/>
      </c>
      <c r="Q1055" s="129">
        <v>40602</v>
      </c>
      <c r="R1055" s="129"/>
      <c r="S1055" s="139" t="s">
        <v>6</v>
      </c>
      <c r="T1055" s="115" t="s">
        <v>4</v>
      </c>
      <c r="U1055" s="139" t="s">
        <v>29</v>
      </c>
      <c r="V1055" s="139" t="s">
        <v>1914</v>
      </c>
      <c r="W1055" s="139" t="s">
        <v>1916</v>
      </c>
      <c r="X1055" s="139" t="s">
        <v>2818</v>
      </c>
      <c r="Y1055" s="112" t="s">
        <v>2929</v>
      </c>
      <c r="Z1055" s="112" t="s">
        <v>129</v>
      </c>
      <c r="AA1055" s="139" t="s">
        <v>2818</v>
      </c>
    </row>
    <row r="1056" spans="1:27" ht="17.25" customHeight="1">
      <c r="A1056" s="69" t="str">
        <f>IF(priority(Main[[#This Row],[Comments]])&lt;&gt;0, priority(Main[[#This Row],[Comments]]),"")</f>
        <v/>
      </c>
      <c r="B1056" s="63" t="s">
        <v>1573</v>
      </c>
      <c r="C1056" s="148" t="s">
        <v>4</v>
      </c>
      <c r="D1056" s="113" t="s">
        <v>2422</v>
      </c>
      <c r="E1056" s="129">
        <v>40463.34134259259</v>
      </c>
      <c r="F1056" s="129"/>
      <c r="G1056" s="69" t="str">
        <f>IF(stdProdLT(Main[[#This Row],[Comments]])=0.1,"N/A",IF(stdProdLT(Main[[#This Row],[Comments]])=0,"",stdProdLT(Main[[#This Row],[Comments]])))</f>
        <v/>
      </c>
      <c r="H1056" s="138" t="str">
        <f>IF(Main[[#This Row],[In Stock Date]]="N/A", "N/A",IF(AND(Main[[#This Row],[In Stock Date]]&lt;&gt;"",Main[[#This Row],[Revised Due Date]]&lt;&gt;"",Main[[#This Row],[In Stock Date]]&lt;&gt;""),Main[[#This Row],[In Stock Date]]-Main[[#This Row],[Revised Due Date]],""))</f>
        <v/>
      </c>
      <c r="I1056" s="139" t="s">
        <v>912</v>
      </c>
      <c r="J1056" s="139" t="s">
        <v>52</v>
      </c>
      <c r="K1056" s="140" t="s">
        <v>4</v>
      </c>
      <c r="L1056" s="129"/>
      <c r="M1056" s="114" t="str">
        <f>IF(Main[[#This Row],[Tech Start Date]]&lt;1/1/1990,"",IF(Main[[#This Row],[Class]]="C",WORKDAY(Main[[#This Row],[Tech Start Date]],9),IF(Main[[#This Row],[Class]]="B", WORKDAY(Main[[#This Row],[Tech Start Date]],6),IF(Main[[#This Row],[Class]]="A",WORKDAY(Main[[#This Row],[Tech Start Date]],2),""))))</f>
        <v/>
      </c>
      <c r="N1056" s="114" t="str">
        <f>IF(Main[[#This Row],[Tech Start Date]]&lt;1/1/1990,"",IF(Main[[#This Row],[Class]]="C",WORKDAY(Main[[#This Row],[Tech Start Date]],19),IF(Main[[#This Row],[Class]]="B", WORKDAY(Main[[#This Row],[Tech Start Date]],12),IF(Main[[#This Row],[Class]]="A",WORKDAY(Main[[#This Row],[Tech Start Date]],4),""))))</f>
        <v/>
      </c>
      <c r="O1056" s="114" t="str">
        <f>IF(Main[[#This Row],[Tech Start Date]]&lt;1/1/1990,"",IF(Main[[#This Row],[Class]]="C",WORKDAY(Main[[#This Row],[Tech Start Date]],23),IF(Main[[#This Row],[Class]]="B", WORKDAY(Main[[#This Row],[Tech Start Date]],15),IF(Main[[#This Row],[Class]]="A",WORKDAY(Main[[#This Row],[Tech Start Date]],5),""))))</f>
        <v/>
      </c>
      <c r="P1056" s="114" t="str">
        <f>IF(Main[[#This Row],[Tech Start Date]]&lt;1/1/1990,"",IF(Main[[#This Row],[Class]]="C",WORKDAY(Main[[#This Row],[Tech Start Date]],28),IF(Main[[#This Row],[Class]]="B", WORKDAY(Main[[#This Row],[Tech Start Date]],19),IF(Main[[#This Row],[Class]]="A",WORKDAY(Main[[#This Row],[Tech Start Date]],9),""))))</f>
        <v/>
      </c>
      <c r="Q1056" s="129">
        <v>40497</v>
      </c>
      <c r="R1056" s="129"/>
      <c r="S1056" s="139" t="s">
        <v>6</v>
      </c>
      <c r="T1056" s="115" t="s">
        <v>4</v>
      </c>
      <c r="U1056" s="139" t="s">
        <v>29</v>
      </c>
      <c r="V1056" s="139" t="s">
        <v>1914</v>
      </c>
      <c r="W1056" s="139" t="s">
        <v>1918</v>
      </c>
      <c r="X1056" s="139" t="s">
        <v>2818</v>
      </c>
      <c r="Y1056" s="112" t="s">
        <v>2929</v>
      </c>
      <c r="Z1056" s="112" t="s">
        <v>129</v>
      </c>
      <c r="AA1056" s="139" t="s">
        <v>2818</v>
      </c>
    </row>
    <row r="1057" spans="1:27" ht="17.25" customHeight="1">
      <c r="A1057" s="69" t="str">
        <f>IF(priority(Main[[#This Row],[Comments]])&lt;&gt;0, priority(Main[[#This Row],[Comments]]),"")</f>
        <v/>
      </c>
      <c r="B1057" s="63" t="s">
        <v>2423</v>
      </c>
      <c r="C1057" s="148" t="s">
        <v>4</v>
      </c>
      <c r="D1057" s="113" t="s">
        <v>2424</v>
      </c>
      <c r="E1057" s="129">
        <v>40833.65898148148</v>
      </c>
      <c r="F1057" s="129"/>
      <c r="G1057" s="69" t="str">
        <f>IF(stdProdLT(Main[[#This Row],[Comments]])=0.1,"N/A",IF(stdProdLT(Main[[#This Row],[Comments]])=0,"",stdProdLT(Main[[#This Row],[Comments]])))</f>
        <v/>
      </c>
      <c r="H1057" s="138" t="str">
        <f>IF(Main[[#This Row],[In Stock Date]]="N/A", "N/A",IF(AND(Main[[#This Row],[In Stock Date]]&lt;&gt;"",Main[[#This Row],[Revised Due Date]]&lt;&gt;"",Main[[#This Row],[In Stock Date]]&lt;&gt;""),Main[[#This Row],[In Stock Date]]-Main[[#This Row],[Revised Due Date]],""))</f>
        <v/>
      </c>
      <c r="I1057" s="139" t="s">
        <v>530</v>
      </c>
      <c r="J1057" s="139" t="s">
        <v>28</v>
      </c>
      <c r="K1057" s="139" t="s">
        <v>1923</v>
      </c>
      <c r="L1057" s="129"/>
      <c r="M1057" s="114" t="str">
        <f>IF(Main[[#This Row],[Tech Start Date]]&lt;1/1/1990,"",IF(Main[[#This Row],[Class]]="C",WORKDAY(Main[[#This Row],[Tech Start Date]],9),IF(Main[[#This Row],[Class]]="B", WORKDAY(Main[[#This Row],[Tech Start Date]],6),IF(Main[[#This Row],[Class]]="A",WORKDAY(Main[[#This Row],[Tech Start Date]],2),""))))</f>
        <v/>
      </c>
      <c r="N1057" s="114" t="str">
        <f>IF(Main[[#This Row],[Tech Start Date]]&lt;1/1/1990,"",IF(Main[[#This Row],[Class]]="C",WORKDAY(Main[[#This Row],[Tech Start Date]],19),IF(Main[[#This Row],[Class]]="B", WORKDAY(Main[[#This Row],[Tech Start Date]],12),IF(Main[[#This Row],[Class]]="A",WORKDAY(Main[[#This Row],[Tech Start Date]],4),""))))</f>
        <v/>
      </c>
      <c r="O1057" s="114" t="str">
        <f>IF(Main[[#This Row],[Tech Start Date]]&lt;1/1/1990,"",IF(Main[[#This Row],[Class]]="C",WORKDAY(Main[[#This Row],[Tech Start Date]],23),IF(Main[[#This Row],[Class]]="B", WORKDAY(Main[[#This Row],[Tech Start Date]],15),IF(Main[[#This Row],[Class]]="A",WORKDAY(Main[[#This Row],[Tech Start Date]],5),""))))</f>
        <v/>
      </c>
      <c r="P1057" s="114" t="str">
        <f>IF(Main[[#This Row],[Tech Start Date]]&lt;1/1/1990,"",IF(Main[[#This Row],[Class]]="C",WORKDAY(Main[[#This Row],[Tech Start Date]],28),IF(Main[[#This Row],[Class]]="B", WORKDAY(Main[[#This Row],[Tech Start Date]],19),IF(Main[[#This Row],[Class]]="A",WORKDAY(Main[[#This Row],[Tech Start Date]],9),""))))</f>
        <v/>
      </c>
      <c r="Q1057" s="129">
        <v>40923</v>
      </c>
      <c r="R1057" s="129"/>
      <c r="S1057" s="139" t="s">
        <v>6</v>
      </c>
      <c r="T1057" s="115" t="s">
        <v>4</v>
      </c>
      <c r="U1057" s="139" t="s">
        <v>29</v>
      </c>
      <c r="V1057" s="139" t="s">
        <v>1917</v>
      </c>
      <c r="W1057" s="139" t="s">
        <v>1918</v>
      </c>
      <c r="X1057" s="139" t="s">
        <v>553</v>
      </c>
      <c r="Y1057" s="112" t="s">
        <v>2952</v>
      </c>
      <c r="Z1057" s="112" t="s">
        <v>30</v>
      </c>
      <c r="AA1057" s="139" t="s">
        <v>553</v>
      </c>
    </row>
    <row r="1058" spans="1:27" ht="17.25" customHeight="1">
      <c r="A1058" s="69" t="str">
        <f>IF(priority(Main[[#This Row],[Comments]])&lt;&gt;0, priority(Main[[#This Row],[Comments]]),"")</f>
        <v/>
      </c>
      <c r="B1058" s="63" t="s">
        <v>1765</v>
      </c>
      <c r="C1058" s="148" t="s">
        <v>4</v>
      </c>
      <c r="D1058" s="113" t="s">
        <v>2311</v>
      </c>
      <c r="E1058" s="129">
        <v>40660.402291666665</v>
      </c>
      <c r="F1058" s="129"/>
      <c r="G1058" s="69" t="str">
        <f>IF(stdProdLT(Main[[#This Row],[Comments]])=0.1,"N/A",IF(stdProdLT(Main[[#This Row],[Comments]])=0,"",stdProdLT(Main[[#This Row],[Comments]])))</f>
        <v/>
      </c>
      <c r="H1058" s="138" t="str">
        <f>IF(Main[[#This Row],[In Stock Date]]="N/A", "N/A",IF(AND(Main[[#This Row],[In Stock Date]]&lt;&gt;"",Main[[#This Row],[Revised Due Date]]&lt;&gt;"",Main[[#This Row],[In Stock Date]]&lt;&gt;""),Main[[#This Row],[In Stock Date]]-Main[[#This Row],[Revised Due Date]],""))</f>
        <v/>
      </c>
      <c r="I1058" s="139" t="s">
        <v>561</v>
      </c>
      <c r="J1058" s="139" t="s">
        <v>21</v>
      </c>
      <c r="K1058" s="139" t="s">
        <v>4</v>
      </c>
      <c r="L1058" s="129"/>
      <c r="M1058" s="114" t="str">
        <f>IF(Main[[#This Row],[Tech Start Date]]&lt;1/1/1990,"",IF(Main[[#This Row],[Class]]="C",WORKDAY(Main[[#This Row],[Tech Start Date]],9),IF(Main[[#This Row],[Class]]="B", WORKDAY(Main[[#This Row],[Tech Start Date]],6),IF(Main[[#This Row],[Class]]="A",WORKDAY(Main[[#This Row],[Tech Start Date]],2),""))))</f>
        <v/>
      </c>
      <c r="N1058" s="114" t="str">
        <f>IF(Main[[#This Row],[Tech Start Date]]&lt;1/1/1990,"",IF(Main[[#This Row],[Class]]="C",WORKDAY(Main[[#This Row],[Tech Start Date]],19),IF(Main[[#This Row],[Class]]="B", WORKDAY(Main[[#This Row],[Tech Start Date]],12),IF(Main[[#This Row],[Class]]="A",WORKDAY(Main[[#This Row],[Tech Start Date]],4),""))))</f>
        <v/>
      </c>
      <c r="O1058" s="114" t="str">
        <f>IF(Main[[#This Row],[Tech Start Date]]&lt;1/1/1990,"",IF(Main[[#This Row],[Class]]="C",WORKDAY(Main[[#This Row],[Tech Start Date]],23),IF(Main[[#This Row],[Class]]="B", WORKDAY(Main[[#This Row],[Tech Start Date]],15),IF(Main[[#This Row],[Class]]="A",WORKDAY(Main[[#This Row],[Tech Start Date]],5),""))))</f>
        <v/>
      </c>
      <c r="P1058" s="114" t="str">
        <f>IF(Main[[#This Row],[Tech Start Date]]&lt;1/1/1990,"",IF(Main[[#This Row],[Class]]="C",WORKDAY(Main[[#This Row],[Tech Start Date]],28),IF(Main[[#This Row],[Class]]="B", WORKDAY(Main[[#This Row],[Tech Start Date]],19),IF(Main[[#This Row],[Class]]="A",WORKDAY(Main[[#This Row],[Tech Start Date]],9),""))))</f>
        <v/>
      </c>
      <c r="Q1058" s="129">
        <v>40676</v>
      </c>
      <c r="R1058" s="129"/>
      <c r="S1058" s="139" t="s">
        <v>6</v>
      </c>
      <c r="T1058" s="115" t="s">
        <v>4</v>
      </c>
      <c r="U1058" s="139" t="s">
        <v>29</v>
      </c>
      <c r="V1058" s="139" t="s">
        <v>1914</v>
      </c>
      <c r="W1058" s="139" t="s">
        <v>1918</v>
      </c>
      <c r="X1058" s="139" t="s">
        <v>2821</v>
      </c>
      <c r="Y1058" s="112" t="s">
        <v>2936</v>
      </c>
      <c r="Z1058" s="112" t="s">
        <v>4</v>
      </c>
      <c r="AA1058" s="139" t="s">
        <v>2821</v>
      </c>
    </row>
    <row r="1059" spans="1:27" ht="17.25" customHeight="1">
      <c r="A1059" s="69" t="str">
        <f>IF(priority(Main[[#This Row],[Comments]])&lt;&gt;0, priority(Main[[#This Row],[Comments]]),"")</f>
        <v/>
      </c>
      <c r="B1059" s="63" t="s">
        <v>2497</v>
      </c>
      <c r="C1059" s="148" t="s">
        <v>4</v>
      </c>
      <c r="D1059" s="113" t="s">
        <v>2498</v>
      </c>
      <c r="E1059" s="129"/>
      <c r="F1059" s="129"/>
      <c r="G1059" s="69" t="str">
        <f>IF(stdProdLT(Main[[#This Row],[Comments]])=0.1,"N/A",IF(stdProdLT(Main[[#This Row],[Comments]])=0,"",stdProdLT(Main[[#This Row],[Comments]])))</f>
        <v/>
      </c>
      <c r="H1059" s="138" t="str">
        <f>IF(Main[[#This Row],[In Stock Date]]="N/A", "N/A",IF(AND(Main[[#This Row],[In Stock Date]]&lt;&gt;"",Main[[#This Row],[Revised Due Date]]&lt;&gt;"",Main[[#This Row],[In Stock Date]]&lt;&gt;""),Main[[#This Row],[In Stock Date]]-Main[[#This Row],[Revised Due Date]],""))</f>
        <v/>
      </c>
      <c r="I1059" s="139" t="s">
        <v>530</v>
      </c>
      <c r="J1059" s="139" t="s">
        <v>28</v>
      </c>
      <c r="K1059" s="139" t="s">
        <v>1923</v>
      </c>
      <c r="L1059" s="129"/>
      <c r="M1059" s="114" t="str">
        <f>IF(Main[[#This Row],[Tech Start Date]]&lt;1/1/1990,"",IF(Main[[#This Row],[Class]]="C",WORKDAY(Main[[#This Row],[Tech Start Date]],9),IF(Main[[#This Row],[Class]]="B", WORKDAY(Main[[#This Row],[Tech Start Date]],6),IF(Main[[#This Row],[Class]]="A",WORKDAY(Main[[#This Row],[Tech Start Date]],2),""))))</f>
        <v/>
      </c>
      <c r="N1059" s="114" t="str">
        <f>IF(Main[[#This Row],[Tech Start Date]]&lt;1/1/1990,"",IF(Main[[#This Row],[Class]]="C",WORKDAY(Main[[#This Row],[Tech Start Date]],19),IF(Main[[#This Row],[Class]]="B", WORKDAY(Main[[#This Row],[Tech Start Date]],12),IF(Main[[#This Row],[Class]]="A",WORKDAY(Main[[#This Row],[Tech Start Date]],4),""))))</f>
        <v/>
      </c>
      <c r="O1059" s="114" t="str">
        <f>IF(Main[[#This Row],[Tech Start Date]]&lt;1/1/1990,"",IF(Main[[#This Row],[Class]]="C",WORKDAY(Main[[#This Row],[Tech Start Date]],23),IF(Main[[#This Row],[Class]]="B", WORKDAY(Main[[#This Row],[Tech Start Date]],15),IF(Main[[#This Row],[Class]]="A",WORKDAY(Main[[#This Row],[Tech Start Date]],5),""))))</f>
        <v/>
      </c>
      <c r="P1059" s="114" t="str">
        <f>IF(Main[[#This Row],[Tech Start Date]]&lt;1/1/1990,"",IF(Main[[#This Row],[Class]]="C",WORKDAY(Main[[#This Row],[Tech Start Date]],28),IF(Main[[#This Row],[Class]]="B", WORKDAY(Main[[#This Row],[Tech Start Date]],19),IF(Main[[#This Row],[Class]]="A",WORKDAY(Main[[#This Row],[Tech Start Date]],9),""))))</f>
        <v/>
      </c>
      <c r="Q1059" s="129">
        <v>40939</v>
      </c>
      <c r="R1059" s="129"/>
      <c r="S1059" s="139" t="s">
        <v>6</v>
      </c>
      <c r="T1059" s="115" t="s">
        <v>4</v>
      </c>
      <c r="U1059" s="139" t="s">
        <v>14</v>
      </c>
      <c r="V1059" s="139" t="s">
        <v>1917</v>
      </c>
      <c r="W1059" s="139" t="s">
        <v>1918</v>
      </c>
      <c r="X1059" s="139" t="s">
        <v>553</v>
      </c>
      <c r="Y1059" s="112" t="s">
        <v>2952</v>
      </c>
      <c r="Z1059" s="112" t="s">
        <v>30</v>
      </c>
      <c r="AA1059" s="139" t="s">
        <v>553</v>
      </c>
    </row>
    <row r="1060" spans="1:27" ht="17.25" customHeight="1">
      <c r="A1060" s="69" t="str">
        <f>IF(priority(Main[[#This Row],[Comments]])&lt;&gt;0, priority(Main[[#This Row],[Comments]]),"")</f>
        <v/>
      </c>
      <c r="B1060" s="63" t="s">
        <v>2224</v>
      </c>
      <c r="C1060" s="148" t="s">
        <v>4</v>
      </c>
      <c r="D1060" s="113" t="s">
        <v>2225</v>
      </c>
      <c r="E1060" s="129">
        <v>40802.356851851851</v>
      </c>
      <c r="F1060" s="129"/>
      <c r="G1060" s="69" t="str">
        <f>IF(stdProdLT(Main[[#This Row],[Comments]])=0.1,"N/A",IF(stdProdLT(Main[[#This Row],[Comments]])=0,"",stdProdLT(Main[[#This Row],[Comments]])))</f>
        <v/>
      </c>
      <c r="H1060" s="138" t="str">
        <f>IF(Main[[#This Row],[In Stock Date]]="N/A", "N/A",IF(AND(Main[[#This Row],[In Stock Date]]&lt;&gt;"",Main[[#This Row],[Revised Due Date]]&lt;&gt;"",Main[[#This Row],[In Stock Date]]&lt;&gt;""),Main[[#This Row],[In Stock Date]]-Main[[#This Row],[Revised Due Date]],""))</f>
        <v/>
      </c>
      <c r="I1060" s="139" t="s">
        <v>102</v>
      </c>
      <c r="J1060" s="139" t="s">
        <v>75</v>
      </c>
      <c r="K1060" s="139" t="s">
        <v>1927</v>
      </c>
      <c r="L1060" s="129"/>
      <c r="M1060" s="114" t="str">
        <f>IF(Main[[#This Row],[Tech Start Date]]&lt;1/1/1990,"",IF(Main[[#This Row],[Class]]="C",WORKDAY(Main[[#This Row],[Tech Start Date]],9),IF(Main[[#This Row],[Class]]="B", WORKDAY(Main[[#This Row],[Tech Start Date]],6),IF(Main[[#This Row],[Class]]="A",WORKDAY(Main[[#This Row],[Tech Start Date]],2),""))))</f>
        <v/>
      </c>
      <c r="N1060" s="114" t="str">
        <f>IF(Main[[#This Row],[Tech Start Date]]&lt;1/1/1990,"",IF(Main[[#This Row],[Class]]="C",WORKDAY(Main[[#This Row],[Tech Start Date]],19),IF(Main[[#This Row],[Class]]="B", WORKDAY(Main[[#This Row],[Tech Start Date]],12),IF(Main[[#This Row],[Class]]="A",WORKDAY(Main[[#This Row],[Tech Start Date]],4),""))))</f>
        <v/>
      </c>
      <c r="O1060" s="114" t="str">
        <f>IF(Main[[#This Row],[Tech Start Date]]&lt;1/1/1990,"",IF(Main[[#This Row],[Class]]="C",WORKDAY(Main[[#This Row],[Tech Start Date]],23),IF(Main[[#This Row],[Class]]="B", WORKDAY(Main[[#This Row],[Tech Start Date]],15),IF(Main[[#This Row],[Class]]="A",WORKDAY(Main[[#This Row],[Tech Start Date]],5),""))))</f>
        <v/>
      </c>
      <c r="P1060" s="114" t="str">
        <f>IF(Main[[#This Row],[Tech Start Date]]&lt;1/1/1990,"",IF(Main[[#This Row],[Class]]="C",WORKDAY(Main[[#This Row],[Tech Start Date]],28),IF(Main[[#This Row],[Class]]="B", WORKDAY(Main[[#This Row],[Tech Start Date]],19),IF(Main[[#This Row],[Class]]="A",WORKDAY(Main[[#This Row],[Tech Start Date]],9),""))))</f>
        <v/>
      </c>
      <c r="Q1060" s="129"/>
      <c r="R1060" s="129"/>
      <c r="S1060" s="139" t="s">
        <v>6</v>
      </c>
      <c r="T1060" s="115" t="s">
        <v>4</v>
      </c>
      <c r="U1060" s="139" t="s">
        <v>29</v>
      </c>
      <c r="V1060" s="139" t="s">
        <v>1917</v>
      </c>
      <c r="W1060" s="139" t="s">
        <v>1918</v>
      </c>
      <c r="X1060" s="139" t="s">
        <v>102</v>
      </c>
      <c r="Y1060" s="112" t="s">
        <v>3122</v>
      </c>
      <c r="Z1060" s="112" t="s">
        <v>306</v>
      </c>
      <c r="AA1060" s="139" t="s">
        <v>3445</v>
      </c>
    </row>
    <row r="1061" spans="1:27" ht="17.25" customHeight="1">
      <c r="A1061" s="69" t="str">
        <f>IF(priority(Main[[#This Row],[Comments]])&lt;&gt;0, priority(Main[[#This Row],[Comments]]),"")</f>
        <v/>
      </c>
      <c r="B1061" s="63" t="s">
        <v>3300</v>
      </c>
      <c r="C1061" s="148" t="s">
        <v>4</v>
      </c>
      <c r="D1061" s="113" t="s">
        <v>3301</v>
      </c>
      <c r="E1061" s="129">
        <v>40933.366932870369</v>
      </c>
      <c r="F1061" s="129"/>
      <c r="G1061" s="69" t="str">
        <f>IF(stdProdLT(Main[[#This Row],[Comments]])=0.1,"N/A",IF(stdProdLT(Main[[#This Row],[Comments]])=0,"",stdProdLT(Main[[#This Row],[Comments]])))</f>
        <v/>
      </c>
      <c r="H1061" s="138" t="str">
        <f>IF(Main[[#This Row],[In Stock Date]]="N/A", "N/A",IF(AND(Main[[#This Row],[In Stock Date]]&lt;&gt;"",Main[[#This Row],[Revised Due Date]]&lt;&gt;"",Main[[#This Row],[In Stock Date]]&lt;&gt;""),Main[[#This Row],[In Stock Date]]-Main[[#This Row],[Revised Due Date]],""))</f>
        <v/>
      </c>
      <c r="I1061" s="139" t="s">
        <v>44</v>
      </c>
      <c r="J1061" s="139" t="s">
        <v>52</v>
      </c>
      <c r="K1061" s="139" t="s">
        <v>1923</v>
      </c>
      <c r="L1061" s="129"/>
      <c r="M1061" s="114" t="str">
        <f>IF(Main[[#This Row],[Tech Start Date]]&lt;1/1/1990,"",IF(Main[[#This Row],[Class]]="C",WORKDAY(Main[[#This Row],[Tech Start Date]],9),IF(Main[[#This Row],[Class]]="B", WORKDAY(Main[[#This Row],[Tech Start Date]],6),IF(Main[[#This Row],[Class]]="A",WORKDAY(Main[[#This Row],[Tech Start Date]],2),""))))</f>
        <v/>
      </c>
      <c r="N1061" s="114" t="str">
        <f>IF(Main[[#This Row],[Tech Start Date]]&lt;1/1/1990,"",IF(Main[[#This Row],[Class]]="C",WORKDAY(Main[[#This Row],[Tech Start Date]],19),IF(Main[[#This Row],[Class]]="B", WORKDAY(Main[[#This Row],[Tech Start Date]],12),IF(Main[[#This Row],[Class]]="A",WORKDAY(Main[[#This Row],[Tech Start Date]],4),""))))</f>
        <v/>
      </c>
      <c r="O1061" s="114" t="str">
        <f>IF(Main[[#This Row],[Tech Start Date]]&lt;1/1/1990,"",IF(Main[[#This Row],[Class]]="C",WORKDAY(Main[[#This Row],[Tech Start Date]],23),IF(Main[[#This Row],[Class]]="B", WORKDAY(Main[[#This Row],[Tech Start Date]],15),IF(Main[[#This Row],[Class]]="A",WORKDAY(Main[[#This Row],[Tech Start Date]],5),""))))</f>
        <v/>
      </c>
      <c r="P1061" s="114" t="str">
        <f>IF(Main[[#This Row],[Tech Start Date]]&lt;1/1/1990,"",IF(Main[[#This Row],[Class]]="C",WORKDAY(Main[[#This Row],[Tech Start Date]],28),IF(Main[[#This Row],[Class]]="B", WORKDAY(Main[[#This Row],[Tech Start Date]],19),IF(Main[[#This Row],[Class]]="A",WORKDAY(Main[[#This Row],[Tech Start Date]],9),""))))</f>
        <v/>
      </c>
      <c r="Q1061" s="129"/>
      <c r="R1061" s="129"/>
      <c r="S1061" s="139" t="s">
        <v>6</v>
      </c>
      <c r="T1061" s="115" t="s">
        <v>4</v>
      </c>
      <c r="U1061" s="139" t="s">
        <v>29</v>
      </c>
      <c r="V1061" s="139" t="s">
        <v>1917</v>
      </c>
      <c r="W1061" s="139" t="s">
        <v>1918</v>
      </c>
      <c r="X1061" s="139" t="s">
        <v>2866</v>
      </c>
      <c r="Y1061" s="112" t="s">
        <v>3000</v>
      </c>
      <c r="Z1061" s="112" t="s">
        <v>30</v>
      </c>
      <c r="AA1061" s="139" t="s">
        <v>2866</v>
      </c>
    </row>
    <row r="1062" spans="1:27" ht="17.25" customHeight="1">
      <c r="A1062" s="69" t="str">
        <f>IF(priority(Main[[#This Row],[Comments]])&lt;&gt;0, priority(Main[[#This Row],[Comments]]),"")</f>
        <v/>
      </c>
      <c r="B1062" s="63" t="s">
        <v>1841</v>
      </c>
      <c r="C1062" s="148" t="s">
        <v>4</v>
      </c>
      <c r="D1062" s="113" t="s">
        <v>897</v>
      </c>
      <c r="E1062" s="129">
        <v>40080.410775462966</v>
      </c>
      <c r="F1062" s="129"/>
      <c r="G1062" s="69" t="str">
        <f>IF(stdProdLT(Main[[#This Row],[Comments]])=0.1,"N/A",IF(stdProdLT(Main[[#This Row],[Comments]])=0,"",stdProdLT(Main[[#This Row],[Comments]])))</f>
        <v/>
      </c>
      <c r="H1062" s="138" t="str">
        <f>IF(Main[[#This Row],[In Stock Date]]="N/A", "N/A",IF(AND(Main[[#This Row],[In Stock Date]]&lt;&gt;"",Main[[#This Row],[Revised Due Date]]&lt;&gt;"",Main[[#This Row],[In Stock Date]]&lt;&gt;""),Main[[#This Row],[In Stock Date]]-Main[[#This Row],[Revised Due Date]],""))</f>
        <v/>
      </c>
      <c r="I1062" s="139" t="s">
        <v>898</v>
      </c>
      <c r="J1062" s="139" t="s">
        <v>28</v>
      </c>
      <c r="K1062" s="139" t="s">
        <v>1923</v>
      </c>
      <c r="L1062" s="129"/>
      <c r="M1062" s="114" t="str">
        <f>IF(Main[[#This Row],[Tech Start Date]]&lt;1/1/1990,"",IF(Main[[#This Row],[Class]]="C",WORKDAY(Main[[#This Row],[Tech Start Date]],9),IF(Main[[#This Row],[Class]]="B", WORKDAY(Main[[#This Row],[Tech Start Date]],6),IF(Main[[#This Row],[Class]]="A",WORKDAY(Main[[#This Row],[Tech Start Date]],2),""))))</f>
        <v/>
      </c>
      <c r="N1062" s="114" t="str">
        <f>IF(Main[[#This Row],[Tech Start Date]]&lt;1/1/1990,"",IF(Main[[#This Row],[Class]]="C",WORKDAY(Main[[#This Row],[Tech Start Date]],19),IF(Main[[#This Row],[Class]]="B", WORKDAY(Main[[#This Row],[Tech Start Date]],12),IF(Main[[#This Row],[Class]]="A",WORKDAY(Main[[#This Row],[Tech Start Date]],4),""))))</f>
        <v/>
      </c>
      <c r="O1062" s="114" t="str">
        <f>IF(Main[[#This Row],[Tech Start Date]]&lt;1/1/1990,"",IF(Main[[#This Row],[Class]]="C",WORKDAY(Main[[#This Row],[Tech Start Date]],23),IF(Main[[#This Row],[Class]]="B", WORKDAY(Main[[#This Row],[Tech Start Date]],15),IF(Main[[#This Row],[Class]]="A",WORKDAY(Main[[#This Row],[Tech Start Date]],5),""))))</f>
        <v/>
      </c>
      <c r="P1062" s="114" t="str">
        <f>IF(Main[[#This Row],[Tech Start Date]]&lt;1/1/1990,"",IF(Main[[#This Row],[Class]]="C",WORKDAY(Main[[#This Row],[Tech Start Date]],28),IF(Main[[#This Row],[Class]]="B", WORKDAY(Main[[#This Row],[Tech Start Date]],19),IF(Main[[#This Row],[Class]]="A",WORKDAY(Main[[#This Row],[Tech Start Date]],9),""))))</f>
        <v/>
      </c>
      <c r="Q1062" s="129"/>
      <c r="R1062" s="129">
        <v>40494</v>
      </c>
      <c r="S1062" s="139" t="s">
        <v>6</v>
      </c>
      <c r="T1062" s="115" t="s">
        <v>4</v>
      </c>
      <c r="U1062" s="139" t="s">
        <v>29</v>
      </c>
      <c r="V1062" s="139" t="s">
        <v>1917</v>
      </c>
      <c r="W1062" s="139" t="s">
        <v>1918</v>
      </c>
      <c r="X1062" s="139" t="s">
        <v>2887</v>
      </c>
      <c r="Y1062" s="112" t="s">
        <v>3043</v>
      </c>
      <c r="Z1062" s="112" t="s">
        <v>415</v>
      </c>
      <c r="AA1062" s="139" t="s">
        <v>2887</v>
      </c>
    </row>
    <row r="1063" spans="1:27" ht="17.25" customHeight="1">
      <c r="A1063" s="69" t="str">
        <f>IF(priority(Main[[#This Row],[Comments]])&lt;&gt;0, priority(Main[[#This Row],[Comments]]),"")</f>
        <v/>
      </c>
      <c r="B1063" s="63" t="s">
        <v>1795</v>
      </c>
      <c r="C1063" s="148" t="s">
        <v>4</v>
      </c>
      <c r="D1063" s="113" t="s">
        <v>839</v>
      </c>
      <c r="E1063" s="129">
        <v>40639.681793981479</v>
      </c>
      <c r="F1063" s="129"/>
      <c r="G1063" s="69" t="str">
        <f>IF(stdProdLT(Main[[#This Row],[Comments]])=0.1,"N/A",IF(stdProdLT(Main[[#This Row],[Comments]])=0,"",stdProdLT(Main[[#This Row],[Comments]])))</f>
        <v/>
      </c>
      <c r="H1063" s="138" t="str">
        <f>IF(Main[[#This Row],[In Stock Date]]="N/A", "N/A",IF(AND(Main[[#This Row],[In Stock Date]]&lt;&gt;"",Main[[#This Row],[Revised Due Date]]&lt;&gt;"",Main[[#This Row],[In Stock Date]]&lt;&gt;""),Main[[#This Row],[In Stock Date]]-Main[[#This Row],[Revised Due Date]],""))</f>
        <v/>
      </c>
      <c r="I1063" s="139" t="s">
        <v>130</v>
      </c>
      <c r="J1063" s="139" t="s">
        <v>70</v>
      </c>
      <c r="K1063" s="139" t="s">
        <v>1923</v>
      </c>
      <c r="L1063" s="129"/>
      <c r="M1063" s="114" t="str">
        <f>IF(Main[[#This Row],[Tech Start Date]]&lt;1/1/1990,"",IF(Main[[#This Row],[Class]]="C",WORKDAY(Main[[#This Row],[Tech Start Date]],9),IF(Main[[#This Row],[Class]]="B", WORKDAY(Main[[#This Row],[Tech Start Date]],6),IF(Main[[#This Row],[Class]]="A",WORKDAY(Main[[#This Row],[Tech Start Date]],2),""))))</f>
        <v/>
      </c>
      <c r="N1063" s="114" t="str">
        <f>IF(Main[[#This Row],[Tech Start Date]]&lt;1/1/1990,"",IF(Main[[#This Row],[Class]]="C",WORKDAY(Main[[#This Row],[Tech Start Date]],19),IF(Main[[#This Row],[Class]]="B", WORKDAY(Main[[#This Row],[Tech Start Date]],12),IF(Main[[#This Row],[Class]]="A",WORKDAY(Main[[#This Row],[Tech Start Date]],4),""))))</f>
        <v/>
      </c>
      <c r="O1063" s="114" t="str">
        <f>IF(Main[[#This Row],[Tech Start Date]]&lt;1/1/1990,"",IF(Main[[#This Row],[Class]]="C",WORKDAY(Main[[#This Row],[Tech Start Date]],23),IF(Main[[#This Row],[Class]]="B", WORKDAY(Main[[#This Row],[Tech Start Date]],15),IF(Main[[#This Row],[Class]]="A",WORKDAY(Main[[#This Row],[Tech Start Date]],5),""))))</f>
        <v/>
      </c>
      <c r="P1063" s="114" t="str">
        <f>IF(Main[[#This Row],[Tech Start Date]]&lt;1/1/1990,"",IF(Main[[#This Row],[Class]]="C",WORKDAY(Main[[#This Row],[Tech Start Date]],28),IF(Main[[#This Row],[Class]]="B", WORKDAY(Main[[#This Row],[Tech Start Date]],19),IF(Main[[#This Row],[Class]]="A",WORKDAY(Main[[#This Row],[Tech Start Date]],9),""))))</f>
        <v/>
      </c>
      <c r="Q1063" s="129">
        <v>40669</v>
      </c>
      <c r="R1063" s="129"/>
      <c r="S1063" s="139" t="s">
        <v>6</v>
      </c>
      <c r="T1063" s="115" t="s">
        <v>4</v>
      </c>
      <c r="U1063" s="139" t="s">
        <v>29</v>
      </c>
      <c r="V1063" s="139" t="s">
        <v>1917</v>
      </c>
      <c r="W1063" s="139" t="s">
        <v>1918</v>
      </c>
      <c r="X1063" s="139" t="s">
        <v>2819</v>
      </c>
      <c r="Y1063" s="112" t="s">
        <v>2932</v>
      </c>
      <c r="Z1063" s="112" t="s">
        <v>530</v>
      </c>
      <c r="AA1063" s="139" t="s">
        <v>2819</v>
      </c>
    </row>
    <row r="1064" spans="1:27" ht="17.25" customHeight="1">
      <c r="A1064" s="69" t="str">
        <f>IF(priority(Main[[#This Row],[Comments]])&lt;&gt;0, priority(Main[[#This Row],[Comments]]),"")</f>
        <v/>
      </c>
      <c r="B1064" s="63" t="s">
        <v>1891</v>
      </c>
      <c r="C1064" s="148" t="s">
        <v>116</v>
      </c>
      <c r="D1064" s="113" t="s">
        <v>2313</v>
      </c>
      <c r="E1064" s="129">
        <v>40673.421898148146</v>
      </c>
      <c r="F1064" s="129"/>
      <c r="G1064" s="69" t="str">
        <f>IF(stdProdLT(Main[[#This Row],[Comments]])=0.1,"N/A",IF(stdProdLT(Main[[#This Row],[Comments]])=0,"",stdProdLT(Main[[#This Row],[Comments]])))</f>
        <v/>
      </c>
      <c r="H1064" s="138" t="str">
        <f>IF(Main[[#This Row],[In Stock Date]]="N/A", "N/A",IF(AND(Main[[#This Row],[In Stock Date]]&lt;&gt;"",Main[[#This Row],[Revised Due Date]]&lt;&gt;"",Main[[#This Row],[In Stock Date]]&lt;&gt;""),Main[[#This Row],[In Stock Date]]-Main[[#This Row],[Revised Due Date]],""))</f>
        <v/>
      </c>
      <c r="I1064" s="139" t="s">
        <v>937</v>
      </c>
      <c r="J1064" s="139" t="s">
        <v>28</v>
      </c>
      <c r="K1064" s="139" t="s">
        <v>1926</v>
      </c>
      <c r="L1064" s="129"/>
      <c r="M1064" s="114" t="str">
        <f>IF(Main[[#This Row],[Tech Start Date]]&lt;1/1/1990,"",IF(Main[[#This Row],[Class]]="C",WORKDAY(Main[[#This Row],[Tech Start Date]],9),IF(Main[[#This Row],[Class]]="B", WORKDAY(Main[[#This Row],[Tech Start Date]],6),IF(Main[[#This Row],[Class]]="A",WORKDAY(Main[[#This Row],[Tech Start Date]],2),""))))</f>
        <v/>
      </c>
      <c r="N1064" s="114" t="str">
        <f>IF(Main[[#This Row],[Tech Start Date]]&lt;1/1/1990,"",IF(Main[[#This Row],[Class]]="C",WORKDAY(Main[[#This Row],[Tech Start Date]],19),IF(Main[[#This Row],[Class]]="B", WORKDAY(Main[[#This Row],[Tech Start Date]],12),IF(Main[[#This Row],[Class]]="A",WORKDAY(Main[[#This Row],[Tech Start Date]],4),""))))</f>
        <v/>
      </c>
      <c r="O1064" s="114" t="str">
        <f>IF(Main[[#This Row],[Tech Start Date]]&lt;1/1/1990,"",IF(Main[[#This Row],[Class]]="C",WORKDAY(Main[[#This Row],[Tech Start Date]],23),IF(Main[[#This Row],[Class]]="B", WORKDAY(Main[[#This Row],[Tech Start Date]],15),IF(Main[[#This Row],[Class]]="A",WORKDAY(Main[[#This Row],[Tech Start Date]],5),""))))</f>
        <v/>
      </c>
      <c r="P1064" s="114" t="str">
        <f>IF(Main[[#This Row],[Tech Start Date]]&lt;1/1/1990,"",IF(Main[[#This Row],[Class]]="C",WORKDAY(Main[[#This Row],[Tech Start Date]],28),IF(Main[[#This Row],[Class]]="B", WORKDAY(Main[[#This Row],[Tech Start Date]],19),IF(Main[[#This Row],[Class]]="A",WORKDAY(Main[[#This Row],[Tech Start Date]],9),""))))</f>
        <v/>
      </c>
      <c r="Q1064" s="129">
        <v>40724</v>
      </c>
      <c r="R1064" s="129">
        <v>40847</v>
      </c>
      <c r="S1064" s="139" t="s">
        <v>6</v>
      </c>
      <c r="T1064" s="115" t="s">
        <v>2413</v>
      </c>
      <c r="U1064" s="139" t="s">
        <v>29</v>
      </c>
      <c r="V1064" s="139" t="s">
        <v>1914</v>
      </c>
      <c r="W1064" s="139" t="s">
        <v>1918</v>
      </c>
      <c r="X1064" s="139" t="s">
        <v>912</v>
      </c>
      <c r="Y1064" s="112" t="s">
        <v>3057</v>
      </c>
      <c r="Z1064" s="112" t="s">
        <v>129</v>
      </c>
      <c r="AA1064" s="139" t="s">
        <v>912</v>
      </c>
    </row>
    <row r="1065" spans="1:27" ht="17.25" customHeight="1">
      <c r="A1065" s="69" t="str">
        <f>IF(priority(Main[[#This Row],[Comments]])&lt;&gt;0, priority(Main[[#This Row],[Comments]]),"")</f>
        <v/>
      </c>
      <c r="B1065" s="63" t="s">
        <v>2414</v>
      </c>
      <c r="C1065" s="148" t="s">
        <v>213</v>
      </c>
      <c r="D1065" s="113" t="s">
        <v>2415</v>
      </c>
      <c r="E1065" s="129">
        <v>40861.655509259261</v>
      </c>
      <c r="F1065" s="129"/>
      <c r="G1065" s="69" t="str">
        <f>IF(stdProdLT(Main[[#This Row],[Comments]])=0.1,"N/A",IF(stdProdLT(Main[[#This Row],[Comments]])=0,"",stdProdLT(Main[[#This Row],[Comments]])))</f>
        <v/>
      </c>
      <c r="H1065" s="138" t="str">
        <f>IF(Main[[#This Row],[In Stock Date]]="N/A", "N/A",IF(AND(Main[[#This Row],[In Stock Date]]&lt;&gt;"",Main[[#This Row],[Revised Due Date]]&lt;&gt;"",Main[[#This Row],[In Stock Date]]&lt;&gt;""),Main[[#This Row],[In Stock Date]]-Main[[#This Row],[Revised Due Date]],""))</f>
        <v/>
      </c>
      <c r="I1065" s="139" t="s">
        <v>4</v>
      </c>
      <c r="J1065" s="139" t="s">
        <v>4</v>
      </c>
      <c r="K1065" s="139" t="s">
        <v>4</v>
      </c>
      <c r="L1065" s="129"/>
      <c r="M1065" s="114" t="str">
        <f>IF(Main[[#This Row],[Tech Start Date]]&lt;1/1/1990,"",IF(Main[[#This Row],[Class]]="C",WORKDAY(Main[[#This Row],[Tech Start Date]],9),IF(Main[[#This Row],[Class]]="B", WORKDAY(Main[[#This Row],[Tech Start Date]],6),IF(Main[[#This Row],[Class]]="A",WORKDAY(Main[[#This Row],[Tech Start Date]],2),""))))</f>
        <v/>
      </c>
      <c r="N1065" s="114" t="str">
        <f>IF(Main[[#This Row],[Tech Start Date]]&lt;1/1/1990,"",IF(Main[[#This Row],[Class]]="C",WORKDAY(Main[[#This Row],[Tech Start Date]],19),IF(Main[[#This Row],[Class]]="B", WORKDAY(Main[[#This Row],[Tech Start Date]],12),IF(Main[[#This Row],[Class]]="A",WORKDAY(Main[[#This Row],[Tech Start Date]],4),""))))</f>
        <v/>
      </c>
      <c r="O1065" s="114" t="str">
        <f>IF(Main[[#This Row],[Tech Start Date]]&lt;1/1/1990,"",IF(Main[[#This Row],[Class]]="C",WORKDAY(Main[[#This Row],[Tech Start Date]],23),IF(Main[[#This Row],[Class]]="B", WORKDAY(Main[[#This Row],[Tech Start Date]],15),IF(Main[[#This Row],[Class]]="A",WORKDAY(Main[[#This Row],[Tech Start Date]],5),""))))</f>
        <v/>
      </c>
      <c r="P1065" s="114" t="str">
        <f>IF(Main[[#This Row],[Tech Start Date]]&lt;1/1/1990,"",IF(Main[[#This Row],[Class]]="C",WORKDAY(Main[[#This Row],[Tech Start Date]],28),IF(Main[[#This Row],[Class]]="B", WORKDAY(Main[[#This Row],[Tech Start Date]],19),IF(Main[[#This Row],[Class]]="A",WORKDAY(Main[[#This Row],[Tech Start Date]],9),""))))</f>
        <v/>
      </c>
      <c r="Q1065" s="129">
        <v>40967</v>
      </c>
      <c r="R1065" s="129"/>
      <c r="S1065" s="139" t="s">
        <v>17</v>
      </c>
      <c r="T1065" s="115" t="s">
        <v>4</v>
      </c>
      <c r="U1065" s="139" t="s">
        <v>7</v>
      </c>
      <c r="V1065" s="139" t="s">
        <v>1924</v>
      </c>
      <c r="W1065" s="139" t="s">
        <v>1919</v>
      </c>
      <c r="X1065" s="139" t="s">
        <v>431</v>
      </c>
      <c r="Y1065" s="112" t="s">
        <v>3123</v>
      </c>
      <c r="Z1065" s="112" t="s">
        <v>4</v>
      </c>
      <c r="AA1065" s="139" t="s">
        <v>431</v>
      </c>
    </row>
    <row r="1066" spans="1:27" ht="17.25" customHeight="1">
      <c r="A1066" s="69" t="str">
        <f>IF(priority(Main[[#This Row],[Comments]])&lt;&gt;0, priority(Main[[#This Row],[Comments]]),"")</f>
        <v/>
      </c>
      <c r="B1066" s="63" t="s">
        <v>2277</v>
      </c>
      <c r="C1066" s="148" t="s">
        <v>2278</v>
      </c>
      <c r="D1066" s="113" t="s">
        <v>2279</v>
      </c>
      <c r="E1066" s="129"/>
      <c r="F1066" s="129">
        <v>40816</v>
      </c>
      <c r="G1066" s="69" t="str">
        <f>IF(stdProdLT(Main[[#This Row],[Comments]])=0.1,"N/A",IF(stdProdLT(Main[[#This Row],[Comments]])=0,"",stdProdLT(Main[[#This Row],[Comments]])))</f>
        <v/>
      </c>
      <c r="H1066" s="138" t="str">
        <f>IF(Main[[#This Row],[In Stock Date]]="N/A", "N/A",IF(AND(Main[[#This Row],[In Stock Date]]&lt;&gt;"",Main[[#This Row],[Revised Due Date]]&lt;&gt;"",Main[[#This Row],[In Stock Date]]&lt;&gt;""),Main[[#This Row],[In Stock Date]]-Main[[#This Row],[Revised Due Date]],""))</f>
        <v/>
      </c>
      <c r="I1066" s="139" t="s">
        <v>4</v>
      </c>
      <c r="J1066" s="139" t="s">
        <v>4</v>
      </c>
      <c r="K1066" s="139" t="s">
        <v>4</v>
      </c>
      <c r="L1066" s="129"/>
      <c r="M1066" s="114" t="str">
        <f>IF(Main[[#This Row],[Tech Start Date]]&lt;1/1/1990,"",IF(Main[[#This Row],[Class]]="C",WORKDAY(Main[[#This Row],[Tech Start Date]],9),IF(Main[[#This Row],[Class]]="B", WORKDAY(Main[[#This Row],[Tech Start Date]],6),IF(Main[[#This Row],[Class]]="A",WORKDAY(Main[[#This Row],[Tech Start Date]],2),""))))</f>
        <v/>
      </c>
      <c r="N1066" s="114" t="str">
        <f>IF(Main[[#This Row],[Tech Start Date]]&lt;1/1/1990,"",IF(Main[[#This Row],[Class]]="C",WORKDAY(Main[[#This Row],[Tech Start Date]],19),IF(Main[[#This Row],[Class]]="B", WORKDAY(Main[[#This Row],[Tech Start Date]],12),IF(Main[[#This Row],[Class]]="A",WORKDAY(Main[[#This Row],[Tech Start Date]],4),""))))</f>
        <v/>
      </c>
      <c r="O1066" s="114" t="str">
        <f>IF(Main[[#This Row],[Tech Start Date]]&lt;1/1/1990,"",IF(Main[[#This Row],[Class]]="C",WORKDAY(Main[[#This Row],[Tech Start Date]],23),IF(Main[[#This Row],[Class]]="B", WORKDAY(Main[[#This Row],[Tech Start Date]],15),IF(Main[[#This Row],[Class]]="A",WORKDAY(Main[[#This Row],[Tech Start Date]],5),""))))</f>
        <v/>
      </c>
      <c r="P1066" s="114" t="str">
        <f>IF(Main[[#This Row],[Tech Start Date]]&lt;1/1/1990,"",IF(Main[[#This Row],[Class]]="C",WORKDAY(Main[[#This Row],[Tech Start Date]],28),IF(Main[[#This Row],[Class]]="B", WORKDAY(Main[[#This Row],[Tech Start Date]],19),IF(Main[[#This Row],[Class]]="A",WORKDAY(Main[[#This Row],[Tech Start Date]],9),""))))</f>
        <v/>
      </c>
      <c r="Q1066" s="129">
        <v>40816</v>
      </c>
      <c r="R1066" s="129"/>
      <c r="S1066" s="139" t="s">
        <v>296</v>
      </c>
      <c r="T1066" s="115" t="s">
        <v>4</v>
      </c>
      <c r="U1066" s="139" t="s">
        <v>14</v>
      </c>
      <c r="V1066" s="139" t="s">
        <v>1924</v>
      </c>
      <c r="W1066" s="139" t="s">
        <v>1922</v>
      </c>
      <c r="X1066" s="139" t="s">
        <v>2910</v>
      </c>
      <c r="Y1066" s="112" t="s">
        <v>3124</v>
      </c>
      <c r="Z1066" s="112" t="s">
        <v>4</v>
      </c>
      <c r="AA1066" s="139" t="s">
        <v>3449</v>
      </c>
    </row>
    <row r="1067" spans="1:27" ht="17.25" customHeight="1">
      <c r="A1067" s="69" t="str">
        <f>IF(priority(Main[[#This Row],[Comments]])&lt;&gt;0, priority(Main[[#This Row],[Comments]]),"")</f>
        <v/>
      </c>
      <c r="B1067" s="63" t="s">
        <v>2416</v>
      </c>
      <c r="C1067" s="148" t="s">
        <v>4</v>
      </c>
      <c r="D1067" s="113" t="s">
        <v>2417</v>
      </c>
      <c r="E1067" s="129">
        <v>40826.139097222222</v>
      </c>
      <c r="F1067" s="129"/>
      <c r="G1067" s="69" t="str">
        <f>IF(stdProdLT(Main[[#This Row],[Comments]])=0.1,"N/A",IF(stdProdLT(Main[[#This Row],[Comments]])=0,"",stdProdLT(Main[[#This Row],[Comments]])))</f>
        <v/>
      </c>
      <c r="H1067" s="138" t="str">
        <f>IF(Main[[#This Row],[In Stock Date]]="N/A", "N/A",IF(AND(Main[[#This Row],[In Stock Date]]&lt;&gt;"",Main[[#This Row],[Revised Due Date]]&lt;&gt;"",Main[[#This Row],[In Stock Date]]&lt;&gt;""),Main[[#This Row],[In Stock Date]]-Main[[#This Row],[Revised Due Date]],""))</f>
        <v/>
      </c>
      <c r="I1067" s="139" t="s">
        <v>4</v>
      </c>
      <c r="J1067" s="139" t="s">
        <v>4</v>
      </c>
      <c r="K1067" s="140" t="s">
        <v>4</v>
      </c>
      <c r="L1067" s="129"/>
      <c r="M1067" s="114" t="str">
        <f>IF(Main[[#This Row],[Tech Start Date]]&lt;1/1/1990,"",IF(Main[[#This Row],[Class]]="C",WORKDAY(Main[[#This Row],[Tech Start Date]],9),IF(Main[[#This Row],[Class]]="B", WORKDAY(Main[[#This Row],[Tech Start Date]],6),IF(Main[[#This Row],[Class]]="A",WORKDAY(Main[[#This Row],[Tech Start Date]],2),""))))</f>
        <v/>
      </c>
      <c r="N1067" s="114" t="str">
        <f>IF(Main[[#This Row],[Tech Start Date]]&lt;1/1/1990,"",IF(Main[[#This Row],[Class]]="C",WORKDAY(Main[[#This Row],[Tech Start Date]],19),IF(Main[[#This Row],[Class]]="B", WORKDAY(Main[[#This Row],[Tech Start Date]],12),IF(Main[[#This Row],[Class]]="A",WORKDAY(Main[[#This Row],[Tech Start Date]],4),""))))</f>
        <v/>
      </c>
      <c r="O1067" s="114" t="str">
        <f>IF(Main[[#This Row],[Tech Start Date]]&lt;1/1/1990,"",IF(Main[[#This Row],[Class]]="C",WORKDAY(Main[[#This Row],[Tech Start Date]],23),IF(Main[[#This Row],[Class]]="B", WORKDAY(Main[[#This Row],[Tech Start Date]],15),IF(Main[[#This Row],[Class]]="A",WORKDAY(Main[[#This Row],[Tech Start Date]],5),""))))</f>
        <v/>
      </c>
      <c r="P1067" s="114" t="str">
        <f>IF(Main[[#This Row],[Tech Start Date]]&lt;1/1/1990,"",IF(Main[[#This Row],[Class]]="C",WORKDAY(Main[[#This Row],[Tech Start Date]],28),IF(Main[[#This Row],[Class]]="B", WORKDAY(Main[[#This Row],[Tech Start Date]],19),IF(Main[[#This Row],[Class]]="A",WORKDAY(Main[[#This Row],[Tech Start Date]],9),""))))</f>
        <v/>
      </c>
      <c r="Q1067" s="129">
        <v>40847</v>
      </c>
      <c r="R1067" s="129"/>
      <c r="S1067" s="139" t="s">
        <v>6</v>
      </c>
      <c r="T1067" s="115" t="s">
        <v>4</v>
      </c>
      <c r="U1067" s="139" t="s">
        <v>7</v>
      </c>
      <c r="V1067" s="139" t="s">
        <v>1914</v>
      </c>
      <c r="W1067" s="139" t="s">
        <v>4</v>
      </c>
      <c r="X1067" s="139" t="s">
        <v>2851</v>
      </c>
      <c r="Y1067" s="112" t="s">
        <v>2986</v>
      </c>
      <c r="Z1067" s="112" t="s">
        <v>4</v>
      </c>
      <c r="AA1067" s="139" t="s">
        <v>2851</v>
      </c>
    </row>
    <row r="1068" spans="1:27" ht="17.25" customHeight="1">
      <c r="A1068" s="69" t="str">
        <f>IF(priority(Main[[#This Row],[Comments]])&lt;&gt;0, priority(Main[[#This Row],[Comments]]),"")</f>
        <v/>
      </c>
      <c r="B1068" s="63" t="s">
        <v>2392</v>
      </c>
      <c r="C1068" s="148" t="s">
        <v>4</v>
      </c>
      <c r="D1068" s="113" t="s">
        <v>2393</v>
      </c>
      <c r="E1068" s="129"/>
      <c r="F1068" s="129"/>
      <c r="G1068" s="69" t="str">
        <f>IF(stdProdLT(Main[[#This Row],[Comments]])=0.1,"N/A",IF(stdProdLT(Main[[#This Row],[Comments]])=0,"",stdProdLT(Main[[#This Row],[Comments]])))</f>
        <v/>
      </c>
      <c r="H1068" s="138" t="str">
        <f>IF(Main[[#This Row],[In Stock Date]]="N/A", "N/A",IF(AND(Main[[#This Row],[In Stock Date]]&lt;&gt;"",Main[[#This Row],[Revised Due Date]]&lt;&gt;"",Main[[#This Row],[In Stock Date]]&lt;&gt;""),Main[[#This Row],[In Stock Date]]-Main[[#This Row],[Revised Due Date]],""))</f>
        <v/>
      </c>
      <c r="I1068" s="139" t="s">
        <v>4</v>
      </c>
      <c r="J1068" s="139" t="s">
        <v>4</v>
      </c>
      <c r="K1068" s="139" t="s">
        <v>4</v>
      </c>
      <c r="L1068" s="129"/>
      <c r="M1068" s="114" t="str">
        <f>IF(Main[[#This Row],[Tech Start Date]]&lt;1/1/1990,"",IF(Main[[#This Row],[Class]]="C",WORKDAY(Main[[#This Row],[Tech Start Date]],9),IF(Main[[#This Row],[Class]]="B", WORKDAY(Main[[#This Row],[Tech Start Date]],6),IF(Main[[#This Row],[Class]]="A",WORKDAY(Main[[#This Row],[Tech Start Date]],2),""))))</f>
        <v/>
      </c>
      <c r="N1068" s="114" t="str">
        <f>IF(Main[[#This Row],[Tech Start Date]]&lt;1/1/1990,"",IF(Main[[#This Row],[Class]]="C",WORKDAY(Main[[#This Row],[Tech Start Date]],19),IF(Main[[#This Row],[Class]]="B", WORKDAY(Main[[#This Row],[Tech Start Date]],12),IF(Main[[#This Row],[Class]]="A",WORKDAY(Main[[#This Row],[Tech Start Date]],4),""))))</f>
        <v/>
      </c>
      <c r="O1068" s="114" t="str">
        <f>IF(Main[[#This Row],[Tech Start Date]]&lt;1/1/1990,"",IF(Main[[#This Row],[Class]]="C",WORKDAY(Main[[#This Row],[Tech Start Date]],23),IF(Main[[#This Row],[Class]]="B", WORKDAY(Main[[#This Row],[Tech Start Date]],15),IF(Main[[#This Row],[Class]]="A",WORKDAY(Main[[#This Row],[Tech Start Date]],5),""))))</f>
        <v/>
      </c>
      <c r="P1068" s="114" t="str">
        <f>IF(Main[[#This Row],[Tech Start Date]]&lt;1/1/1990,"",IF(Main[[#This Row],[Class]]="C",WORKDAY(Main[[#This Row],[Tech Start Date]],28),IF(Main[[#This Row],[Class]]="B", WORKDAY(Main[[#This Row],[Tech Start Date]],19),IF(Main[[#This Row],[Class]]="A",WORKDAY(Main[[#This Row],[Tech Start Date]],9),""))))</f>
        <v/>
      </c>
      <c r="Q1068" s="129"/>
      <c r="R1068" s="129"/>
      <c r="S1068" s="139" t="s">
        <v>6</v>
      </c>
      <c r="T1068" s="115" t="s">
        <v>4</v>
      </c>
      <c r="U1068" s="139" t="s">
        <v>14</v>
      </c>
      <c r="V1068" s="139" t="s">
        <v>1914</v>
      </c>
      <c r="W1068" s="139" t="s">
        <v>1918</v>
      </c>
      <c r="X1068" s="139" t="s">
        <v>399</v>
      </c>
      <c r="Y1068" s="112" t="s">
        <v>4</v>
      </c>
      <c r="Z1068" s="112" t="s">
        <v>4</v>
      </c>
      <c r="AA1068" s="139" t="s">
        <v>3453</v>
      </c>
    </row>
    <row r="1069" spans="1:27" ht="17.25" customHeight="1">
      <c r="A1069" s="69" t="str">
        <f>IF(priority(Main[[#This Row],[Comments]])&lt;&gt;0, priority(Main[[#This Row],[Comments]]),"")</f>
        <v/>
      </c>
      <c r="B1069" s="63" t="s">
        <v>3622</v>
      </c>
      <c r="C1069" s="148" t="s">
        <v>3623</v>
      </c>
      <c r="D1069" s="113" t="s">
        <v>3624</v>
      </c>
      <c r="E1069" s="129">
        <v>40956.576782407406</v>
      </c>
      <c r="F1069" s="129"/>
      <c r="G1069" s="69" t="str">
        <f>IF(stdProdLT(Main[[#This Row],[Comments]])=0.1,"N/A",IF(stdProdLT(Main[[#This Row],[Comments]])=0,"",stdProdLT(Main[[#This Row],[Comments]])))</f>
        <v>N/A</v>
      </c>
      <c r="H1069" s="138" t="str">
        <f>IF(Main[[#This Row],[In Stock Date]]="N/A", "N/A",IF(AND(Main[[#This Row],[In Stock Date]]&lt;&gt;"",Main[[#This Row],[Revised Due Date]]&lt;&gt;"",Main[[#This Row],[In Stock Date]]&lt;&gt;""),Main[[#This Row],[In Stock Date]]-Main[[#This Row],[Revised Due Date]],""))</f>
        <v/>
      </c>
      <c r="I1069" s="139" t="s">
        <v>941</v>
      </c>
      <c r="J1069" s="139" t="s">
        <v>28</v>
      </c>
      <c r="K1069" s="140" t="s">
        <v>1921</v>
      </c>
      <c r="L1069" s="129"/>
      <c r="M1069" s="114" t="str">
        <f>IF(Main[[#This Row],[Tech Start Date]]&lt;1/1/1990,"",IF(Main[[#This Row],[Class]]="C",WORKDAY(Main[[#This Row],[Tech Start Date]],9),IF(Main[[#This Row],[Class]]="B", WORKDAY(Main[[#This Row],[Tech Start Date]],6),IF(Main[[#This Row],[Class]]="A",WORKDAY(Main[[#This Row],[Tech Start Date]],2),""))))</f>
        <v/>
      </c>
      <c r="N1069" s="114" t="str">
        <f>IF(Main[[#This Row],[Tech Start Date]]&lt;1/1/1990,"",IF(Main[[#This Row],[Class]]="C",WORKDAY(Main[[#This Row],[Tech Start Date]],19),IF(Main[[#This Row],[Class]]="B", WORKDAY(Main[[#This Row],[Tech Start Date]],12),IF(Main[[#This Row],[Class]]="A",WORKDAY(Main[[#This Row],[Tech Start Date]],4),""))))</f>
        <v/>
      </c>
      <c r="O1069" s="114" t="str">
        <f>IF(Main[[#This Row],[Tech Start Date]]&lt;1/1/1990,"",IF(Main[[#This Row],[Class]]="C",WORKDAY(Main[[#This Row],[Tech Start Date]],23),IF(Main[[#This Row],[Class]]="B", WORKDAY(Main[[#This Row],[Tech Start Date]],15),IF(Main[[#This Row],[Class]]="A",WORKDAY(Main[[#This Row],[Tech Start Date]],5),""))))</f>
        <v/>
      </c>
      <c r="P1069" s="114" t="str">
        <f>IF(Main[[#This Row],[Tech Start Date]]&lt;1/1/1990,"",IF(Main[[#This Row],[Class]]="C",WORKDAY(Main[[#This Row],[Tech Start Date]],28),IF(Main[[#This Row],[Class]]="B", WORKDAY(Main[[#This Row],[Tech Start Date]],19),IF(Main[[#This Row],[Class]]="A",WORKDAY(Main[[#This Row],[Tech Start Date]],9),""))))</f>
        <v/>
      </c>
      <c r="Q1069" s="129"/>
      <c r="R1069" s="129"/>
      <c r="S1069" s="139" t="s">
        <v>6</v>
      </c>
      <c r="T1069" s="115" t="s">
        <v>3233</v>
      </c>
      <c r="U1069" s="139" t="s">
        <v>29</v>
      </c>
      <c r="V1069" s="139" t="s">
        <v>1915</v>
      </c>
      <c r="W1069" s="139" t="s">
        <v>1918</v>
      </c>
      <c r="X1069" s="139" t="s">
        <v>2816</v>
      </c>
      <c r="Y1069" s="112" t="s">
        <v>2993</v>
      </c>
      <c r="Z1069" s="112" t="s">
        <v>2053</v>
      </c>
      <c r="AA1069" s="139" t="s">
        <v>3625</v>
      </c>
    </row>
    <row r="1070" spans="1:27" ht="17.25" customHeight="1">
      <c r="A1070" s="69" t="str">
        <f>IF(priority(Main[[#This Row],[Comments]])&lt;&gt;0, priority(Main[[#This Row],[Comments]]),"")</f>
        <v/>
      </c>
      <c r="B1070" s="63" t="s">
        <v>3626</v>
      </c>
      <c r="C1070" s="148" t="s">
        <v>4</v>
      </c>
      <c r="D1070" s="113" t="s">
        <v>3627</v>
      </c>
      <c r="E1070" s="129">
        <v>40953.403587962966</v>
      </c>
      <c r="F1070" s="129"/>
      <c r="G1070" s="69" t="str">
        <f>IF(stdProdLT(Main[[#This Row],[Comments]])=0.1,"N/A",IF(stdProdLT(Main[[#This Row],[Comments]])=0,"",stdProdLT(Main[[#This Row],[Comments]])))</f>
        <v/>
      </c>
      <c r="H1070" s="138" t="str">
        <f>IF(Main[[#This Row],[In Stock Date]]="N/A", "N/A",IF(AND(Main[[#This Row],[In Stock Date]]&lt;&gt;"",Main[[#This Row],[Revised Due Date]]&lt;&gt;"",Main[[#This Row],[In Stock Date]]&lt;&gt;""),Main[[#This Row],[In Stock Date]]-Main[[#This Row],[Revised Due Date]],""))</f>
        <v/>
      </c>
      <c r="I1070" s="139" t="s">
        <v>530</v>
      </c>
      <c r="J1070" s="139" t="s">
        <v>28</v>
      </c>
      <c r="K1070" s="139" t="s">
        <v>1923</v>
      </c>
      <c r="L1070" s="129"/>
      <c r="M1070" s="114" t="str">
        <f>IF(Main[[#This Row],[Tech Start Date]]&lt;1/1/1990,"",IF(Main[[#This Row],[Class]]="C",WORKDAY(Main[[#This Row],[Tech Start Date]],9),IF(Main[[#This Row],[Class]]="B", WORKDAY(Main[[#This Row],[Tech Start Date]],6),IF(Main[[#This Row],[Class]]="A",WORKDAY(Main[[#This Row],[Tech Start Date]],2),""))))</f>
        <v/>
      </c>
      <c r="N1070" s="114" t="str">
        <f>IF(Main[[#This Row],[Tech Start Date]]&lt;1/1/1990,"",IF(Main[[#This Row],[Class]]="C",WORKDAY(Main[[#This Row],[Tech Start Date]],19),IF(Main[[#This Row],[Class]]="B", WORKDAY(Main[[#This Row],[Tech Start Date]],12),IF(Main[[#This Row],[Class]]="A",WORKDAY(Main[[#This Row],[Tech Start Date]],4),""))))</f>
        <v/>
      </c>
      <c r="O1070" s="114" t="str">
        <f>IF(Main[[#This Row],[Tech Start Date]]&lt;1/1/1990,"",IF(Main[[#This Row],[Class]]="C",WORKDAY(Main[[#This Row],[Tech Start Date]],23),IF(Main[[#This Row],[Class]]="B", WORKDAY(Main[[#This Row],[Tech Start Date]],15),IF(Main[[#This Row],[Class]]="A",WORKDAY(Main[[#This Row],[Tech Start Date]],5),""))))</f>
        <v/>
      </c>
      <c r="P1070" s="114" t="str">
        <f>IF(Main[[#This Row],[Tech Start Date]]&lt;1/1/1990,"",IF(Main[[#This Row],[Class]]="C",WORKDAY(Main[[#This Row],[Tech Start Date]],28),IF(Main[[#This Row],[Class]]="B", WORKDAY(Main[[#This Row],[Tech Start Date]],19),IF(Main[[#This Row],[Class]]="A",WORKDAY(Main[[#This Row],[Tech Start Date]],9),""))))</f>
        <v/>
      </c>
      <c r="Q1070" s="129"/>
      <c r="R1070" s="129"/>
      <c r="S1070" s="139" t="s">
        <v>6</v>
      </c>
      <c r="T1070" s="115" t="s">
        <v>4</v>
      </c>
      <c r="U1070" s="139" t="s">
        <v>29</v>
      </c>
      <c r="V1070" s="139" t="s">
        <v>1917</v>
      </c>
      <c r="W1070" s="139" t="s">
        <v>1916</v>
      </c>
      <c r="X1070" s="139" t="s">
        <v>530</v>
      </c>
      <c r="Y1070" s="112" t="s">
        <v>3144</v>
      </c>
      <c r="Z1070" s="112" t="s">
        <v>30</v>
      </c>
      <c r="AA1070" s="139" t="s">
        <v>530</v>
      </c>
    </row>
    <row r="1071" spans="1:27" ht="17.25" customHeight="1">
      <c r="A1071" s="69" t="str">
        <f>IF(priority(Main[[#This Row],[Comments]])&lt;&gt;0, priority(Main[[#This Row],[Comments]]),"")</f>
        <v/>
      </c>
      <c r="B1071" s="63" t="s">
        <v>1907</v>
      </c>
      <c r="C1071" s="148" t="s">
        <v>4</v>
      </c>
      <c r="D1071" s="113" t="s">
        <v>957</v>
      </c>
      <c r="E1071" s="129">
        <v>40140.581273148149</v>
      </c>
      <c r="F1071" s="129"/>
      <c r="G1071" s="69" t="str">
        <f>IF(stdProdLT(Main[[#This Row],[Comments]])=0.1,"N/A",IF(stdProdLT(Main[[#This Row],[Comments]])=0,"",stdProdLT(Main[[#This Row],[Comments]])))</f>
        <v/>
      </c>
      <c r="H1071" s="138" t="str">
        <f>IF(Main[[#This Row],[In Stock Date]]="N/A", "N/A",IF(AND(Main[[#This Row],[In Stock Date]]&lt;&gt;"",Main[[#This Row],[Revised Due Date]]&lt;&gt;"",Main[[#This Row],[In Stock Date]]&lt;&gt;""),Main[[#This Row],[In Stock Date]]-Main[[#This Row],[Revised Due Date]],""))</f>
        <v/>
      </c>
      <c r="I1071" s="139" t="s">
        <v>431</v>
      </c>
      <c r="J1071" s="139" t="s">
        <v>28</v>
      </c>
      <c r="K1071" s="140" t="s">
        <v>1926</v>
      </c>
      <c r="L1071" s="129"/>
      <c r="M1071" s="114" t="str">
        <f>IF(Main[[#This Row],[Tech Start Date]]&lt;1/1/1990,"",IF(Main[[#This Row],[Class]]="C",WORKDAY(Main[[#This Row],[Tech Start Date]],9),IF(Main[[#This Row],[Class]]="B", WORKDAY(Main[[#This Row],[Tech Start Date]],6),IF(Main[[#This Row],[Class]]="A",WORKDAY(Main[[#This Row],[Tech Start Date]],2),""))))</f>
        <v/>
      </c>
      <c r="N1071" s="114" t="str">
        <f>IF(Main[[#This Row],[Tech Start Date]]&lt;1/1/1990,"",IF(Main[[#This Row],[Class]]="C",WORKDAY(Main[[#This Row],[Tech Start Date]],19),IF(Main[[#This Row],[Class]]="B", WORKDAY(Main[[#This Row],[Tech Start Date]],12),IF(Main[[#This Row],[Class]]="A",WORKDAY(Main[[#This Row],[Tech Start Date]],4),""))))</f>
        <v/>
      </c>
      <c r="O1071" s="114" t="str">
        <f>IF(Main[[#This Row],[Tech Start Date]]&lt;1/1/1990,"",IF(Main[[#This Row],[Class]]="C",WORKDAY(Main[[#This Row],[Tech Start Date]],23),IF(Main[[#This Row],[Class]]="B", WORKDAY(Main[[#This Row],[Tech Start Date]],15),IF(Main[[#This Row],[Class]]="A",WORKDAY(Main[[#This Row],[Tech Start Date]],5),""))))</f>
        <v/>
      </c>
      <c r="P1071" s="114" t="str">
        <f>IF(Main[[#This Row],[Tech Start Date]]&lt;1/1/1990,"",IF(Main[[#This Row],[Class]]="C",WORKDAY(Main[[#This Row],[Tech Start Date]],28),IF(Main[[#This Row],[Class]]="B", WORKDAY(Main[[#This Row],[Tech Start Date]],19),IF(Main[[#This Row],[Class]]="A",WORKDAY(Main[[#This Row],[Tech Start Date]],9),""))))</f>
        <v/>
      </c>
      <c r="Q1071" s="129">
        <v>40326</v>
      </c>
      <c r="R1071" s="129">
        <v>40966</v>
      </c>
      <c r="S1071" s="139" t="s">
        <v>17</v>
      </c>
      <c r="T1071" s="115" t="s">
        <v>4</v>
      </c>
      <c r="U1071" s="139" t="s">
        <v>29</v>
      </c>
      <c r="V1071" s="139" t="s">
        <v>1917</v>
      </c>
      <c r="W1071" s="139" t="s">
        <v>1919</v>
      </c>
      <c r="X1071" s="139" t="s">
        <v>415</v>
      </c>
      <c r="Y1071" s="112" t="s">
        <v>2975</v>
      </c>
      <c r="Z1071" s="112" t="s">
        <v>415</v>
      </c>
      <c r="AA1071" s="139" t="s">
        <v>415</v>
      </c>
    </row>
    <row r="1072" spans="1:27" ht="17.25" customHeight="1">
      <c r="A1072" s="69" t="str">
        <f>IF(priority(Main[[#This Row],[Comments]])&lt;&gt;0, priority(Main[[#This Row],[Comments]]),"")</f>
        <v/>
      </c>
      <c r="B1072" s="63" t="s">
        <v>2124</v>
      </c>
      <c r="C1072" s="148" t="s">
        <v>4</v>
      </c>
      <c r="D1072" s="113" t="s">
        <v>2419</v>
      </c>
      <c r="E1072" s="129"/>
      <c r="F1072" s="129"/>
      <c r="G1072" s="69" t="str">
        <f>IF(stdProdLT(Main[[#This Row],[Comments]])=0.1,"N/A",IF(stdProdLT(Main[[#This Row],[Comments]])=0,"",stdProdLT(Main[[#This Row],[Comments]])))</f>
        <v/>
      </c>
      <c r="H1072" s="138" t="str">
        <f>IF(Main[[#This Row],[In Stock Date]]="N/A", "N/A",IF(AND(Main[[#This Row],[In Stock Date]]&lt;&gt;"",Main[[#This Row],[Revised Due Date]]&lt;&gt;"",Main[[#This Row],[In Stock Date]]&lt;&gt;""),Main[[#This Row],[In Stock Date]]-Main[[#This Row],[Revised Due Date]],""))</f>
        <v/>
      </c>
      <c r="I1072" s="139" t="s">
        <v>2051</v>
      </c>
      <c r="J1072" s="139" t="s">
        <v>28</v>
      </c>
      <c r="K1072" s="139" t="s">
        <v>1923</v>
      </c>
      <c r="L1072" s="129"/>
      <c r="M1072" s="114" t="str">
        <f>IF(Main[[#This Row],[Tech Start Date]]&lt;1/1/1990,"",IF(Main[[#This Row],[Class]]="C",WORKDAY(Main[[#This Row],[Tech Start Date]],9),IF(Main[[#This Row],[Class]]="B", WORKDAY(Main[[#This Row],[Tech Start Date]],6),IF(Main[[#This Row],[Class]]="A",WORKDAY(Main[[#This Row],[Tech Start Date]],2),""))))</f>
        <v/>
      </c>
      <c r="N1072" s="114" t="str">
        <f>IF(Main[[#This Row],[Tech Start Date]]&lt;1/1/1990,"",IF(Main[[#This Row],[Class]]="C",WORKDAY(Main[[#This Row],[Tech Start Date]],19),IF(Main[[#This Row],[Class]]="B", WORKDAY(Main[[#This Row],[Tech Start Date]],12),IF(Main[[#This Row],[Class]]="A",WORKDAY(Main[[#This Row],[Tech Start Date]],4),""))))</f>
        <v/>
      </c>
      <c r="O1072" s="114" t="str">
        <f>IF(Main[[#This Row],[Tech Start Date]]&lt;1/1/1990,"",IF(Main[[#This Row],[Class]]="C",WORKDAY(Main[[#This Row],[Tech Start Date]],23),IF(Main[[#This Row],[Class]]="B", WORKDAY(Main[[#This Row],[Tech Start Date]],15),IF(Main[[#This Row],[Class]]="A",WORKDAY(Main[[#This Row],[Tech Start Date]],5),""))))</f>
        <v/>
      </c>
      <c r="P1072" s="114" t="str">
        <f>IF(Main[[#This Row],[Tech Start Date]]&lt;1/1/1990,"",IF(Main[[#This Row],[Class]]="C",WORKDAY(Main[[#This Row],[Tech Start Date]],28),IF(Main[[#This Row],[Class]]="B", WORKDAY(Main[[#This Row],[Tech Start Date]],19),IF(Main[[#This Row],[Class]]="A",WORKDAY(Main[[#This Row],[Tech Start Date]],9),""))))</f>
        <v/>
      </c>
      <c r="Q1072" s="129">
        <v>40816</v>
      </c>
      <c r="R1072" s="129"/>
      <c r="S1072" s="139" t="s">
        <v>6</v>
      </c>
      <c r="T1072" s="115" t="s">
        <v>4</v>
      </c>
      <c r="U1072" s="139" t="s">
        <v>14</v>
      </c>
      <c r="V1072" s="139" t="s">
        <v>1924</v>
      </c>
      <c r="W1072" s="139" t="s">
        <v>1918</v>
      </c>
      <c r="X1072" s="139" t="s">
        <v>2903</v>
      </c>
      <c r="Y1072" s="112" t="s">
        <v>3083</v>
      </c>
      <c r="Z1072" s="112" t="s">
        <v>44</v>
      </c>
      <c r="AA1072" s="139" t="s">
        <v>2903</v>
      </c>
    </row>
    <row r="1073" spans="1:27" ht="17.25" customHeight="1">
      <c r="A1073" s="69" t="str">
        <f>IF(priority(Main[[#This Row],[Comments]])&lt;&gt;0, priority(Main[[#This Row],[Comments]]),"")</f>
        <v/>
      </c>
      <c r="B1073" s="63" t="s">
        <v>2460</v>
      </c>
      <c r="C1073" s="148" t="s">
        <v>95</v>
      </c>
      <c r="D1073" s="113" t="s">
        <v>2687</v>
      </c>
      <c r="E1073" s="129">
        <v>40876.601030092592</v>
      </c>
      <c r="F1073" s="129"/>
      <c r="G1073" s="69" t="str">
        <f>IF(stdProdLT(Main[[#This Row],[Comments]])=0.1,"N/A",IF(stdProdLT(Main[[#This Row],[Comments]])=0,"",stdProdLT(Main[[#This Row],[Comments]])))</f>
        <v/>
      </c>
      <c r="H1073" s="138" t="str">
        <f>IF(Main[[#This Row],[In Stock Date]]="N/A", "N/A",IF(AND(Main[[#This Row],[In Stock Date]]&lt;&gt;"",Main[[#This Row],[Revised Due Date]]&lt;&gt;"",Main[[#This Row],[In Stock Date]]&lt;&gt;""),Main[[#This Row],[In Stock Date]]-Main[[#This Row],[Revised Due Date]],""))</f>
        <v/>
      </c>
      <c r="I1073" s="139" t="s">
        <v>530</v>
      </c>
      <c r="J1073" s="139" t="s">
        <v>28</v>
      </c>
      <c r="K1073" s="140" t="s">
        <v>1923</v>
      </c>
      <c r="L1073" s="129"/>
      <c r="M1073" s="114" t="str">
        <f>IF(Main[[#This Row],[Tech Start Date]]&lt;1/1/1990,"",IF(Main[[#This Row],[Class]]="C",WORKDAY(Main[[#This Row],[Tech Start Date]],9),IF(Main[[#This Row],[Class]]="B", WORKDAY(Main[[#This Row],[Tech Start Date]],6),IF(Main[[#This Row],[Class]]="A",WORKDAY(Main[[#This Row],[Tech Start Date]],2),""))))</f>
        <v/>
      </c>
      <c r="N1073" s="114" t="str">
        <f>IF(Main[[#This Row],[Tech Start Date]]&lt;1/1/1990,"",IF(Main[[#This Row],[Class]]="C",WORKDAY(Main[[#This Row],[Tech Start Date]],19),IF(Main[[#This Row],[Class]]="B", WORKDAY(Main[[#This Row],[Tech Start Date]],12),IF(Main[[#This Row],[Class]]="A",WORKDAY(Main[[#This Row],[Tech Start Date]],4),""))))</f>
        <v/>
      </c>
      <c r="O1073" s="114" t="str">
        <f>IF(Main[[#This Row],[Tech Start Date]]&lt;1/1/1990,"",IF(Main[[#This Row],[Class]]="C",WORKDAY(Main[[#This Row],[Tech Start Date]],23),IF(Main[[#This Row],[Class]]="B", WORKDAY(Main[[#This Row],[Tech Start Date]],15),IF(Main[[#This Row],[Class]]="A",WORKDAY(Main[[#This Row],[Tech Start Date]],5),""))))</f>
        <v/>
      </c>
      <c r="P1073" s="114" t="str">
        <f>IF(Main[[#This Row],[Tech Start Date]]&lt;1/1/1990,"",IF(Main[[#This Row],[Class]]="C",WORKDAY(Main[[#This Row],[Tech Start Date]],28),IF(Main[[#This Row],[Class]]="B", WORKDAY(Main[[#This Row],[Tech Start Date]],19),IF(Main[[#This Row],[Class]]="A",WORKDAY(Main[[#This Row],[Tech Start Date]],9),""))))</f>
        <v/>
      </c>
      <c r="Q1073" s="129">
        <v>40900</v>
      </c>
      <c r="R1073" s="129"/>
      <c r="S1073" s="139" t="s">
        <v>6</v>
      </c>
      <c r="T1073" s="115" t="s">
        <v>4</v>
      </c>
      <c r="U1073" s="139" t="s">
        <v>29</v>
      </c>
      <c r="V1073" s="139" t="s">
        <v>1924</v>
      </c>
      <c r="W1073" s="139" t="s">
        <v>1922</v>
      </c>
      <c r="X1073" s="139" t="s">
        <v>883</v>
      </c>
      <c r="Y1073" s="112" t="s">
        <v>2963</v>
      </c>
      <c r="Z1073" s="112" t="s">
        <v>30</v>
      </c>
      <c r="AA1073" s="139" t="s">
        <v>883</v>
      </c>
    </row>
    <row r="1074" spans="1:27" ht="17.25" customHeight="1">
      <c r="A1074" s="69" t="str">
        <f>IF(priority(Main[[#This Row],[Comments]])&lt;&gt;0, priority(Main[[#This Row],[Comments]]),"")</f>
        <v/>
      </c>
      <c r="B1074" s="63" t="s">
        <v>3628</v>
      </c>
      <c r="C1074" s="148" t="s">
        <v>2354</v>
      </c>
      <c r="D1074" s="113" t="s">
        <v>3629</v>
      </c>
      <c r="E1074" s="129">
        <v>40966.113449074073</v>
      </c>
      <c r="F1074" s="129">
        <v>41014</v>
      </c>
      <c r="G1074" s="69" t="str">
        <f>IF(stdProdLT(Main[[#This Row],[Comments]])=0.1,"N/A",IF(stdProdLT(Main[[#This Row],[Comments]])=0,"",stdProdLT(Main[[#This Row],[Comments]])))</f>
        <v/>
      </c>
      <c r="H1074" s="138" t="str">
        <f>IF(Main[[#This Row],[In Stock Date]]="N/A", "N/A",IF(AND(Main[[#This Row],[In Stock Date]]&lt;&gt;"",Main[[#This Row],[Revised Due Date]]&lt;&gt;"",Main[[#This Row],[In Stock Date]]&lt;&gt;""),Main[[#This Row],[In Stock Date]]-Main[[#This Row],[Revised Due Date]],""))</f>
        <v/>
      </c>
      <c r="I1074" s="139" t="s">
        <v>4</v>
      </c>
      <c r="J1074" s="139" t="s">
        <v>4</v>
      </c>
      <c r="K1074" s="140" t="s">
        <v>4</v>
      </c>
      <c r="L1074" s="129"/>
      <c r="M1074" s="114" t="str">
        <f>IF(Main[[#This Row],[Tech Start Date]]&lt;1/1/1990,"",IF(Main[[#This Row],[Class]]="C",WORKDAY(Main[[#This Row],[Tech Start Date]],9),IF(Main[[#This Row],[Class]]="B", WORKDAY(Main[[#This Row],[Tech Start Date]],6),IF(Main[[#This Row],[Class]]="A",WORKDAY(Main[[#This Row],[Tech Start Date]],2),""))))</f>
        <v/>
      </c>
      <c r="N1074" s="114" t="str">
        <f>IF(Main[[#This Row],[Tech Start Date]]&lt;1/1/1990,"",IF(Main[[#This Row],[Class]]="C",WORKDAY(Main[[#This Row],[Tech Start Date]],19),IF(Main[[#This Row],[Class]]="B", WORKDAY(Main[[#This Row],[Tech Start Date]],12),IF(Main[[#This Row],[Class]]="A",WORKDAY(Main[[#This Row],[Tech Start Date]],4),""))))</f>
        <v/>
      </c>
      <c r="O1074" s="114" t="str">
        <f>IF(Main[[#This Row],[Tech Start Date]]&lt;1/1/1990,"",IF(Main[[#This Row],[Class]]="C",WORKDAY(Main[[#This Row],[Tech Start Date]],23),IF(Main[[#This Row],[Class]]="B", WORKDAY(Main[[#This Row],[Tech Start Date]],15),IF(Main[[#This Row],[Class]]="A",WORKDAY(Main[[#This Row],[Tech Start Date]],5),""))))</f>
        <v/>
      </c>
      <c r="P1074" s="114" t="str">
        <f>IF(Main[[#This Row],[Tech Start Date]]&lt;1/1/1990,"",IF(Main[[#This Row],[Class]]="C",WORKDAY(Main[[#This Row],[Tech Start Date]],28),IF(Main[[#This Row],[Class]]="B", WORKDAY(Main[[#This Row],[Tech Start Date]],19),IF(Main[[#This Row],[Class]]="A",WORKDAY(Main[[#This Row],[Tech Start Date]],9),""))))</f>
        <v/>
      </c>
      <c r="Q1074" s="129">
        <v>40916</v>
      </c>
      <c r="R1074" s="129"/>
      <c r="S1074" s="139" t="s">
        <v>11</v>
      </c>
      <c r="T1074" s="115" t="s">
        <v>4</v>
      </c>
      <c r="U1074" s="139" t="s">
        <v>694</v>
      </c>
      <c r="V1074" s="139" t="s">
        <v>1924</v>
      </c>
      <c r="W1074" s="139" t="s">
        <v>1922</v>
      </c>
      <c r="X1074" s="139" t="s">
        <v>2843</v>
      </c>
      <c r="Y1074" s="112" t="s">
        <v>4</v>
      </c>
      <c r="Z1074" s="112" t="s">
        <v>4</v>
      </c>
      <c r="AA1074" s="139" t="s">
        <v>2843</v>
      </c>
    </row>
    <row r="1075" spans="1:27" ht="17.25" customHeight="1">
      <c r="A1075" s="69" t="str">
        <f>IF(priority(Main[[#This Row],[Comments]])&lt;&gt;0, priority(Main[[#This Row],[Comments]]),"")</f>
        <v/>
      </c>
      <c r="B1075" s="63" t="s">
        <v>3630</v>
      </c>
      <c r="C1075" s="148" t="s">
        <v>4</v>
      </c>
      <c r="D1075" s="113" t="s">
        <v>3631</v>
      </c>
      <c r="E1075" s="129">
        <v>40959.588020833333</v>
      </c>
      <c r="F1075" s="129"/>
      <c r="G1075" s="69" t="str">
        <f>IF(stdProdLT(Main[[#This Row],[Comments]])=0.1,"N/A",IF(stdProdLT(Main[[#This Row],[Comments]])=0,"",stdProdLT(Main[[#This Row],[Comments]])))</f>
        <v/>
      </c>
      <c r="H1075" s="138" t="str">
        <f>IF(Main[[#This Row],[In Stock Date]]="N/A", "N/A",IF(AND(Main[[#This Row],[In Stock Date]]&lt;&gt;"",Main[[#This Row],[Revised Due Date]]&lt;&gt;"",Main[[#This Row],[In Stock Date]]&lt;&gt;""),Main[[#This Row],[In Stock Date]]-Main[[#This Row],[Revised Due Date]],""))</f>
        <v/>
      </c>
      <c r="I1075" s="139" t="s">
        <v>4</v>
      </c>
      <c r="J1075" s="139" t="s">
        <v>4</v>
      </c>
      <c r="K1075" s="139" t="s">
        <v>4</v>
      </c>
      <c r="L1075" s="129"/>
      <c r="M1075" s="114" t="str">
        <f>IF(Main[[#This Row],[Tech Start Date]]&lt;1/1/1990,"",IF(Main[[#This Row],[Class]]="C",WORKDAY(Main[[#This Row],[Tech Start Date]],9),IF(Main[[#This Row],[Class]]="B", WORKDAY(Main[[#This Row],[Tech Start Date]],6),IF(Main[[#This Row],[Class]]="A",WORKDAY(Main[[#This Row],[Tech Start Date]],2),""))))</f>
        <v/>
      </c>
      <c r="N1075" s="114" t="str">
        <f>IF(Main[[#This Row],[Tech Start Date]]&lt;1/1/1990,"",IF(Main[[#This Row],[Class]]="C",WORKDAY(Main[[#This Row],[Tech Start Date]],19),IF(Main[[#This Row],[Class]]="B", WORKDAY(Main[[#This Row],[Tech Start Date]],12),IF(Main[[#This Row],[Class]]="A",WORKDAY(Main[[#This Row],[Tech Start Date]],4),""))))</f>
        <v/>
      </c>
      <c r="O1075" s="114" t="str">
        <f>IF(Main[[#This Row],[Tech Start Date]]&lt;1/1/1990,"",IF(Main[[#This Row],[Class]]="C",WORKDAY(Main[[#This Row],[Tech Start Date]],23),IF(Main[[#This Row],[Class]]="B", WORKDAY(Main[[#This Row],[Tech Start Date]],15),IF(Main[[#This Row],[Class]]="A",WORKDAY(Main[[#This Row],[Tech Start Date]],5),""))))</f>
        <v/>
      </c>
      <c r="P1075" s="114" t="str">
        <f>IF(Main[[#This Row],[Tech Start Date]]&lt;1/1/1990,"",IF(Main[[#This Row],[Class]]="C",WORKDAY(Main[[#This Row],[Tech Start Date]],28),IF(Main[[#This Row],[Class]]="B", WORKDAY(Main[[#This Row],[Tech Start Date]],19),IF(Main[[#This Row],[Class]]="A",WORKDAY(Main[[#This Row],[Tech Start Date]],9),""))))</f>
        <v/>
      </c>
      <c r="Q1075" s="129"/>
      <c r="R1075" s="129"/>
      <c r="S1075" s="139" t="s">
        <v>6</v>
      </c>
      <c r="T1075" s="115" t="s">
        <v>4</v>
      </c>
      <c r="U1075" s="139" t="s">
        <v>29</v>
      </c>
      <c r="V1075" s="139" t="s">
        <v>1924</v>
      </c>
      <c r="W1075" s="139" t="s">
        <v>4</v>
      </c>
      <c r="X1075" s="139" t="s">
        <v>102</v>
      </c>
      <c r="Y1075" s="112" t="s">
        <v>3125</v>
      </c>
      <c r="Z1075" s="112" t="s">
        <v>4</v>
      </c>
      <c r="AA1075" s="139" t="s">
        <v>3454</v>
      </c>
    </row>
    <row r="1076" spans="1:27" ht="17.25" customHeight="1">
      <c r="A1076" s="69" t="str">
        <f>IF(priority(Main[[#This Row],[Comments]])&lt;&gt;0, priority(Main[[#This Row],[Comments]]),"")</f>
        <v/>
      </c>
      <c r="B1076" s="63" t="s">
        <v>3530</v>
      </c>
      <c r="C1076" s="148" t="s">
        <v>4</v>
      </c>
      <c r="D1076" s="113" t="s">
        <v>3531</v>
      </c>
      <c r="E1076" s="129">
        <v>40947.470821759256</v>
      </c>
      <c r="F1076" s="129"/>
      <c r="G1076" s="69" t="str">
        <f>IF(stdProdLT(Main[[#This Row],[Comments]])=0.1,"N/A",IF(stdProdLT(Main[[#This Row],[Comments]])=0,"",stdProdLT(Main[[#This Row],[Comments]])))</f>
        <v/>
      </c>
      <c r="H1076" s="138" t="str">
        <f>IF(Main[[#This Row],[In Stock Date]]="N/A", "N/A",IF(AND(Main[[#This Row],[In Stock Date]]&lt;&gt;"",Main[[#This Row],[Revised Due Date]]&lt;&gt;"",Main[[#This Row],[In Stock Date]]&lt;&gt;""),Main[[#This Row],[In Stock Date]]-Main[[#This Row],[Revised Due Date]],""))</f>
        <v/>
      </c>
      <c r="I1076" s="139" t="s">
        <v>4</v>
      </c>
      <c r="J1076" s="139" t="s">
        <v>4</v>
      </c>
      <c r="K1076" s="139" t="s">
        <v>4</v>
      </c>
      <c r="L1076" s="129"/>
      <c r="M1076" s="114" t="str">
        <f>IF(Main[[#This Row],[Tech Start Date]]&lt;1/1/1990,"",IF(Main[[#This Row],[Class]]="C",WORKDAY(Main[[#This Row],[Tech Start Date]],9),IF(Main[[#This Row],[Class]]="B", WORKDAY(Main[[#This Row],[Tech Start Date]],6),IF(Main[[#This Row],[Class]]="A",WORKDAY(Main[[#This Row],[Tech Start Date]],2),""))))</f>
        <v/>
      </c>
      <c r="N1076" s="114" t="str">
        <f>IF(Main[[#This Row],[Tech Start Date]]&lt;1/1/1990,"",IF(Main[[#This Row],[Class]]="C",WORKDAY(Main[[#This Row],[Tech Start Date]],19),IF(Main[[#This Row],[Class]]="B", WORKDAY(Main[[#This Row],[Tech Start Date]],12),IF(Main[[#This Row],[Class]]="A",WORKDAY(Main[[#This Row],[Tech Start Date]],4),""))))</f>
        <v/>
      </c>
      <c r="O1076" s="114" t="str">
        <f>IF(Main[[#This Row],[Tech Start Date]]&lt;1/1/1990,"",IF(Main[[#This Row],[Class]]="C",WORKDAY(Main[[#This Row],[Tech Start Date]],23),IF(Main[[#This Row],[Class]]="B", WORKDAY(Main[[#This Row],[Tech Start Date]],15),IF(Main[[#This Row],[Class]]="A",WORKDAY(Main[[#This Row],[Tech Start Date]],5),""))))</f>
        <v/>
      </c>
      <c r="P1076" s="114" t="str">
        <f>IF(Main[[#This Row],[Tech Start Date]]&lt;1/1/1990,"",IF(Main[[#This Row],[Class]]="C",WORKDAY(Main[[#This Row],[Tech Start Date]],28),IF(Main[[#This Row],[Class]]="B", WORKDAY(Main[[#This Row],[Tech Start Date]],19),IF(Main[[#This Row],[Class]]="A",WORKDAY(Main[[#This Row],[Tech Start Date]],9),""))))</f>
        <v/>
      </c>
      <c r="Q1076" s="129"/>
      <c r="R1076" s="129"/>
      <c r="S1076" s="139" t="s">
        <v>6</v>
      </c>
      <c r="T1076" s="115" t="s">
        <v>4</v>
      </c>
      <c r="U1076" s="139" t="s">
        <v>29</v>
      </c>
      <c r="V1076" s="139" t="s">
        <v>1915</v>
      </c>
      <c r="W1076" s="139" t="s">
        <v>1918</v>
      </c>
      <c r="X1076" s="139" t="s">
        <v>306</v>
      </c>
      <c r="Y1076" s="112" t="s">
        <v>4</v>
      </c>
      <c r="Z1076" s="112" t="s">
        <v>4</v>
      </c>
      <c r="AA1076" s="139" t="s">
        <v>4</v>
      </c>
    </row>
    <row r="1077" spans="1:27" ht="17.25" customHeight="1">
      <c r="A1077" s="69" t="str">
        <f>IF(priority(Main[[#This Row],[Comments]])&lt;&gt;0, priority(Main[[#This Row],[Comments]]),"")</f>
        <v/>
      </c>
      <c r="B1077" s="63" t="s">
        <v>2572</v>
      </c>
      <c r="C1077" s="148" t="s">
        <v>4</v>
      </c>
      <c r="D1077" s="113" t="s">
        <v>2573</v>
      </c>
      <c r="E1077" s="129"/>
      <c r="F1077" s="129"/>
      <c r="G1077" s="69" t="str">
        <f>IF(stdProdLT(Main[[#This Row],[Comments]])=0.1,"N/A",IF(stdProdLT(Main[[#This Row],[Comments]])=0,"",stdProdLT(Main[[#This Row],[Comments]])))</f>
        <v/>
      </c>
      <c r="H1077" s="138" t="str">
        <f>IF(Main[[#This Row],[In Stock Date]]="N/A", "N/A",IF(AND(Main[[#This Row],[In Stock Date]]&lt;&gt;"",Main[[#This Row],[Revised Due Date]]&lt;&gt;"",Main[[#This Row],[In Stock Date]]&lt;&gt;""),Main[[#This Row],[In Stock Date]]-Main[[#This Row],[Revised Due Date]],""))</f>
        <v/>
      </c>
      <c r="I1077" s="139" t="s">
        <v>4</v>
      </c>
      <c r="J1077" s="139" t="s">
        <v>4</v>
      </c>
      <c r="K1077" s="139" t="s">
        <v>4</v>
      </c>
      <c r="L1077" s="129"/>
      <c r="M1077" s="114" t="str">
        <f>IF(Main[[#This Row],[Tech Start Date]]&lt;1/1/1990,"",IF(Main[[#This Row],[Class]]="C",WORKDAY(Main[[#This Row],[Tech Start Date]],9),IF(Main[[#This Row],[Class]]="B", WORKDAY(Main[[#This Row],[Tech Start Date]],6),IF(Main[[#This Row],[Class]]="A",WORKDAY(Main[[#This Row],[Tech Start Date]],2),""))))</f>
        <v/>
      </c>
      <c r="N1077" s="114" t="str">
        <f>IF(Main[[#This Row],[Tech Start Date]]&lt;1/1/1990,"",IF(Main[[#This Row],[Class]]="C",WORKDAY(Main[[#This Row],[Tech Start Date]],19),IF(Main[[#This Row],[Class]]="B", WORKDAY(Main[[#This Row],[Tech Start Date]],12),IF(Main[[#This Row],[Class]]="A",WORKDAY(Main[[#This Row],[Tech Start Date]],4),""))))</f>
        <v/>
      </c>
      <c r="O1077" s="114" t="str">
        <f>IF(Main[[#This Row],[Tech Start Date]]&lt;1/1/1990,"",IF(Main[[#This Row],[Class]]="C",WORKDAY(Main[[#This Row],[Tech Start Date]],23),IF(Main[[#This Row],[Class]]="B", WORKDAY(Main[[#This Row],[Tech Start Date]],15),IF(Main[[#This Row],[Class]]="A",WORKDAY(Main[[#This Row],[Tech Start Date]],5),""))))</f>
        <v/>
      </c>
      <c r="P1077" s="114" t="str">
        <f>IF(Main[[#This Row],[Tech Start Date]]&lt;1/1/1990,"",IF(Main[[#This Row],[Class]]="C",WORKDAY(Main[[#This Row],[Tech Start Date]],28),IF(Main[[#This Row],[Class]]="B", WORKDAY(Main[[#This Row],[Tech Start Date]],19),IF(Main[[#This Row],[Class]]="A",WORKDAY(Main[[#This Row],[Tech Start Date]],9),""))))</f>
        <v/>
      </c>
      <c r="Q1077" s="129"/>
      <c r="R1077" s="129"/>
      <c r="S1077" s="139" t="s">
        <v>6</v>
      </c>
      <c r="T1077" s="115" t="s">
        <v>4</v>
      </c>
      <c r="U1077" s="139" t="s">
        <v>14</v>
      </c>
      <c r="V1077" s="139" t="s">
        <v>1917</v>
      </c>
      <c r="W1077" s="139" t="s">
        <v>1918</v>
      </c>
      <c r="X1077" s="139" t="s">
        <v>306</v>
      </c>
      <c r="Y1077" s="112" t="s">
        <v>2941</v>
      </c>
      <c r="Z1077" s="112" t="s">
        <v>4</v>
      </c>
      <c r="AA1077" s="139" t="s">
        <v>306</v>
      </c>
    </row>
    <row r="1078" spans="1:27" ht="17.25" customHeight="1">
      <c r="A1078" s="69" t="str">
        <f>IF(priority(Main[[#This Row],[Comments]])&lt;&gt;0, priority(Main[[#This Row],[Comments]]),"")</f>
        <v/>
      </c>
      <c r="B1078" s="63" t="s">
        <v>2272</v>
      </c>
      <c r="C1078" s="148" t="s">
        <v>4</v>
      </c>
      <c r="D1078" s="113" t="s">
        <v>2273</v>
      </c>
      <c r="E1078" s="129">
        <v>40809.888067129628</v>
      </c>
      <c r="F1078" s="129"/>
      <c r="G1078" s="69" t="str">
        <f>IF(stdProdLT(Main[[#This Row],[Comments]])=0.1,"N/A",IF(stdProdLT(Main[[#This Row],[Comments]])=0,"",stdProdLT(Main[[#This Row],[Comments]])))</f>
        <v/>
      </c>
      <c r="H1078" s="138" t="str">
        <f>IF(Main[[#This Row],[In Stock Date]]="N/A", "N/A",IF(AND(Main[[#This Row],[In Stock Date]]&lt;&gt;"",Main[[#This Row],[Revised Due Date]]&lt;&gt;"",Main[[#This Row],[In Stock Date]]&lt;&gt;""),Main[[#This Row],[In Stock Date]]-Main[[#This Row],[Revised Due Date]],""))</f>
        <v/>
      </c>
      <c r="I1078" s="139" t="s">
        <v>81</v>
      </c>
      <c r="J1078" s="139" t="s">
        <v>52</v>
      </c>
      <c r="K1078" s="139" t="s">
        <v>1923</v>
      </c>
      <c r="L1078" s="129"/>
      <c r="M1078" s="114" t="str">
        <f>IF(Main[[#This Row],[Tech Start Date]]&lt;1/1/1990,"",IF(Main[[#This Row],[Class]]="C",WORKDAY(Main[[#This Row],[Tech Start Date]],9),IF(Main[[#This Row],[Class]]="B", WORKDAY(Main[[#This Row],[Tech Start Date]],6),IF(Main[[#This Row],[Class]]="A",WORKDAY(Main[[#This Row],[Tech Start Date]],2),""))))</f>
        <v/>
      </c>
      <c r="N1078" s="114" t="str">
        <f>IF(Main[[#This Row],[Tech Start Date]]&lt;1/1/1990,"",IF(Main[[#This Row],[Class]]="C",WORKDAY(Main[[#This Row],[Tech Start Date]],19),IF(Main[[#This Row],[Class]]="B", WORKDAY(Main[[#This Row],[Tech Start Date]],12),IF(Main[[#This Row],[Class]]="A",WORKDAY(Main[[#This Row],[Tech Start Date]],4),""))))</f>
        <v/>
      </c>
      <c r="O1078" s="114" t="str">
        <f>IF(Main[[#This Row],[Tech Start Date]]&lt;1/1/1990,"",IF(Main[[#This Row],[Class]]="C",WORKDAY(Main[[#This Row],[Tech Start Date]],23),IF(Main[[#This Row],[Class]]="B", WORKDAY(Main[[#This Row],[Tech Start Date]],15),IF(Main[[#This Row],[Class]]="A",WORKDAY(Main[[#This Row],[Tech Start Date]],5),""))))</f>
        <v/>
      </c>
      <c r="P1078" s="114" t="str">
        <f>IF(Main[[#This Row],[Tech Start Date]]&lt;1/1/1990,"",IF(Main[[#This Row],[Class]]="C",WORKDAY(Main[[#This Row],[Tech Start Date]],28),IF(Main[[#This Row],[Class]]="B", WORKDAY(Main[[#This Row],[Tech Start Date]],19),IF(Main[[#This Row],[Class]]="A",WORKDAY(Main[[#This Row],[Tech Start Date]],9),""))))</f>
        <v/>
      </c>
      <c r="Q1078" s="129"/>
      <c r="R1078" s="129"/>
      <c r="S1078" s="139" t="s">
        <v>6</v>
      </c>
      <c r="T1078" s="115" t="s">
        <v>4</v>
      </c>
      <c r="U1078" s="139" t="s">
        <v>29</v>
      </c>
      <c r="V1078" s="139" t="s">
        <v>1924</v>
      </c>
      <c r="W1078" s="139" t="s">
        <v>1918</v>
      </c>
      <c r="X1078" s="139" t="s">
        <v>2865</v>
      </c>
      <c r="Y1078" s="112" t="s">
        <v>3010</v>
      </c>
      <c r="Z1078" s="112" t="s">
        <v>30</v>
      </c>
      <c r="AA1078" s="139" t="s">
        <v>2865</v>
      </c>
    </row>
    <row r="1079" spans="1:27" ht="17.25" customHeight="1">
      <c r="A1079" s="69" t="str">
        <f>IF(priority(Main[[#This Row],[Comments]])&lt;&gt;0, priority(Main[[#This Row],[Comments]]),"")</f>
        <v/>
      </c>
      <c r="B1079" s="63" t="s">
        <v>2250</v>
      </c>
      <c r="C1079" s="148" t="s">
        <v>4</v>
      </c>
      <c r="D1079" s="113" t="s">
        <v>2251</v>
      </c>
      <c r="E1079" s="129">
        <v>40806.354490740741</v>
      </c>
      <c r="F1079" s="129"/>
      <c r="G1079" s="69" t="str">
        <f>IF(stdProdLT(Main[[#This Row],[Comments]])=0.1,"N/A",IF(stdProdLT(Main[[#This Row],[Comments]])=0,"",stdProdLT(Main[[#This Row],[Comments]])))</f>
        <v/>
      </c>
      <c r="H1079" s="138" t="str">
        <f>IF(Main[[#This Row],[In Stock Date]]="N/A", "N/A",IF(AND(Main[[#This Row],[In Stock Date]]&lt;&gt;"",Main[[#This Row],[Revised Due Date]]&lt;&gt;"",Main[[#This Row],[In Stock Date]]&lt;&gt;""),Main[[#This Row],[In Stock Date]]-Main[[#This Row],[Revised Due Date]],""))</f>
        <v/>
      </c>
      <c r="I1079" s="139" t="s">
        <v>4</v>
      </c>
      <c r="J1079" s="139" t="s">
        <v>4</v>
      </c>
      <c r="K1079" s="140" t="s">
        <v>4</v>
      </c>
      <c r="L1079" s="129"/>
      <c r="M1079" s="114" t="str">
        <f>IF(Main[[#This Row],[Tech Start Date]]&lt;1/1/1990,"",IF(Main[[#This Row],[Class]]="C",WORKDAY(Main[[#This Row],[Tech Start Date]],9),IF(Main[[#This Row],[Class]]="B", WORKDAY(Main[[#This Row],[Tech Start Date]],6),IF(Main[[#This Row],[Class]]="A",WORKDAY(Main[[#This Row],[Tech Start Date]],2),""))))</f>
        <v/>
      </c>
      <c r="N1079" s="114" t="str">
        <f>IF(Main[[#This Row],[Tech Start Date]]&lt;1/1/1990,"",IF(Main[[#This Row],[Class]]="C",WORKDAY(Main[[#This Row],[Tech Start Date]],19),IF(Main[[#This Row],[Class]]="B", WORKDAY(Main[[#This Row],[Tech Start Date]],12),IF(Main[[#This Row],[Class]]="A",WORKDAY(Main[[#This Row],[Tech Start Date]],4),""))))</f>
        <v/>
      </c>
      <c r="O1079" s="114" t="str">
        <f>IF(Main[[#This Row],[Tech Start Date]]&lt;1/1/1990,"",IF(Main[[#This Row],[Class]]="C",WORKDAY(Main[[#This Row],[Tech Start Date]],23),IF(Main[[#This Row],[Class]]="B", WORKDAY(Main[[#This Row],[Tech Start Date]],15),IF(Main[[#This Row],[Class]]="A",WORKDAY(Main[[#This Row],[Tech Start Date]],5),""))))</f>
        <v/>
      </c>
      <c r="P1079" s="114" t="str">
        <f>IF(Main[[#This Row],[Tech Start Date]]&lt;1/1/1990,"",IF(Main[[#This Row],[Class]]="C",WORKDAY(Main[[#This Row],[Tech Start Date]],28),IF(Main[[#This Row],[Class]]="B", WORKDAY(Main[[#This Row],[Tech Start Date]],19),IF(Main[[#This Row],[Class]]="A",WORKDAY(Main[[#This Row],[Tech Start Date]],9),""))))</f>
        <v/>
      </c>
      <c r="Q1079" s="129"/>
      <c r="R1079" s="129"/>
      <c r="S1079" s="139" t="s">
        <v>17</v>
      </c>
      <c r="T1079" s="115" t="s">
        <v>4</v>
      </c>
      <c r="U1079" s="139" t="s">
        <v>7</v>
      </c>
      <c r="V1079" s="139" t="s">
        <v>1915</v>
      </c>
      <c r="W1079" s="139" t="s">
        <v>1916</v>
      </c>
      <c r="X1079" s="139" t="s">
        <v>2866</v>
      </c>
      <c r="Y1079" s="112" t="s">
        <v>3000</v>
      </c>
      <c r="Z1079" s="112" t="s">
        <v>4</v>
      </c>
      <c r="AA1079" s="139" t="s">
        <v>2866</v>
      </c>
    </row>
    <row r="1080" spans="1:27" ht="17.25" customHeight="1">
      <c r="A1080" s="69" t="str">
        <f>IF(priority(Main[[#This Row],[Comments]])&lt;&gt;0, priority(Main[[#This Row],[Comments]]),"")</f>
        <v/>
      </c>
      <c r="B1080" s="63" t="s">
        <v>2773</v>
      </c>
      <c r="C1080" s="148" t="s">
        <v>2774</v>
      </c>
      <c r="D1080" s="113" t="s">
        <v>3271</v>
      </c>
      <c r="E1080" s="129"/>
      <c r="F1080" s="129"/>
      <c r="G1080" s="69">
        <f>IF(stdProdLT(Main[[#This Row],[Comments]])=0.1,"N/A",IF(stdProdLT(Main[[#This Row],[Comments]])=0,"",stdProdLT(Main[[#This Row],[Comments]])))</f>
        <v>112</v>
      </c>
      <c r="H1080" s="138" t="str">
        <f>IF(Main[[#This Row],[In Stock Date]]="N/A", "N/A",IF(AND(Main[[#This Row],[In Stock Date]]&lt;&gt;"",Main[[#This Row],[Revised Due Date]]&lt;&gt;"",Main[[#This Row],[In Stock Date]]&lt;&gt;""),Main[[#This Row],[In Stock Date]]-Main[[#This Row],[Revised Due Date]],""))</f>
        <v/>
      </c>
      <c r="I1080" s="139" t="s">
        <v>4</v>
      </c>
      <c r="J1080" s="139" t="s">
        <v>4</v>
      </c>
      <c r="K1080" s="139" t="s">
        <v>4</v>
      </c>
      <c r="L1080" s="129"/>
      <c r="M1080" s="114" t="str">
        <f>IF(Main[[#This Row],[Tech Start Date]]&lt;1/1/1990,"",IF(Main[[#This Row],[Class]]="C",WORKDAY(Main[[#This Row],[Tech Start Date]],9),IF(Main[[#This Row],[Class]]="B", WORKDAY(Main[[#This Row],[Tech Start Date]],6),IF(Main[[#This Row],[Class]]="A",WORKDAY(Main[[#This Row],[Tech Start Date]],2),""))))</f>
        <v/>
      </c>
      <c r="N1080" s="114" t="str">
        <f>IF(Main[[#This Row],[Tech Start Date]]&lt;1/1/1990,"",IF(Main[[#This Row],[Class]]="C",WORKDAY(Main[[#This Row],[Tech Start Date]],19),IF(Main[[#This Row],[Class]]="B", WORKDAY(Main[[#This Row],[Tech Start Date]],12),IF(Main[[#This Row],[Class]]="A",WORKDAY(Main[[#This Row],[Tech Start Date]],4),""))))</f>
        <v/>
      </c>
      <c r="O1080" s="114" t="str">
        <f>IF(Main[[#This Row],[Tech Start Date]]&lt;1/1/1990,"",IF(Main[[#This Row],[Class]]="C",WORKDAY(Main[[#This Row],[Tech Start Date]],23),IF(Main[[#This Row],[Class]]="B", WORKDAY(Main[[#This Row],[Tech Start Date]],15),IF(Main[[#This Row],[Class]]="A",WORKDAY(Main[[#This Row],[Tech Start Date]],5),""))))</f>
        <v/>
      </c>
      <c r="P1080" s="114" t="str">
        <f>IF(Main[[#This Row],[Tech Start Date]]&lt;1/1/1990,"",IF(Main[[#This Row],[Class]]="C",WORKDAY(Main[[#This Row],[Tech Start Date]],28),IF(Main[[#This Row],[Class]]="B", WORKDAY(Main[[#This Row],[Tech Start Date]],19),IF(Main[[#This Row],[Class]]="A",WORKDAY(Main[[#This Row],[Tech Start Date]],9),""))))</f>
        <v/>
      </c>
      <c r="Q1080" s="129"/>
      <c r="R1080" s="129"/>
      <c r="S1080" s="139" t="s">
        <v>11</v>
      </c>
      <c r="T1080" s="115" t="s">
        <v>3174</v>
      </c>
      <c r="U1080" s="139" t="s">
        <v>14</v>
      </c>
      <c r="V1080" s="139" t="s">
        <v>1917</v>
      </c>
      <c r="W1080" s="139" t="s">
        <v>1922</v>
      </c>
      <c r="X1080" s="139" t="s">
        <v>306</v>
      </c>
      <c r="Y1080" s="112" t="s">
        <v>4</v>
      </c>
      <c r="Z1080" s="112" t="s">
        <v>4</v>
      </c>
      <c r="AA1080" s="139" t="s">
        <v>4</v>
      </c>
    </row>
    <row r="1081" spans="1:27" ht="17.25" customHeight="1">
      <c r="A1081" s="69" t="str">
        <f>IF(priority(Main[[#This Row],[Comments]])&lt;&gt;0, priority(Main[[#This Row],[Comments]]),"")</f>
        <v/>
      </c>
      <c r="B1081" s="63" t="s">
        <v>2425</v>
      </c>
      <c r="C1081" s="148" t="s">
        <v>4</v>
      </c>
      <c r="D1081" s="113" t="s">
        <v>2426</v>
      </c>
      <c r="E1081" s="129"/>
      <c r="F1081" s="129"/>
      <c r="G1081" s="69" t="str">
        <f>IF(stdProdLT(Main[[#This Row],[Comments]])=0.1,"N/A",IF(stdProdLT(Main[[#This Row],[Comments]])=0,"",stdProdLT(Main[[#This Row],[Comments]])))</f>
        <v/>
      </c>
      <c r="H1081" s="138" t="str">
        <f>IF(Main[[#This Row],[In Stock Date]]="N/A", "N/A",IF(AND(Main[[#This Row],[In Stock Date]]&lt;&gt;"",Main[[#This Row],[Revised Due Date]]&lt;&gt;"",Main[[#This Row],[In Stock Date]]&lt;&gt;""),Main[[#This Row],[In Stock Date]]-Main[[#This Row],[Revised Due Date]],""))</f>
        <v/>
      </c>
      <c r="I1081" s="139" t="s">
        <v>4</v>
      </c>
      <c r="J1081" s="139" t="s">
        <v>4</v>
      </c>
      <c r="K1081" s="139" t="s">
        <v>4</v>
      </c>
      <c r="L1081" s="129"/>
      <c r="M1081" s="114" t="str">
        <f>IF(Main[[#This Row],[Tech Start Date]]&lt;1/1/1990,"",IF(Main[[#This Row],[Class]]="C",WORKDAY(Main[[#This Row],[Tech Start Date]],9),IF(Main[[#This Row],[Class]]="B", WORKDAY(Main[[#This Row],[Tech Start Date]],6),IF(Main[[#This Row],[Class]]="A",WORKDAY(Main[[#This Row],[Tech Start Date]],2),""))))</f>
        <v/>
      </c>
      <c r="N1081" s="114" t="str">
        <f>IF(Main[[#This Row],[Tech Start Date]]&lt;1/1/1990,"",IF(Main[[#This Row],[Class]]="C",WORKDAY(Main[[#This Row],[Tech Start Date]],19),IF(Main[[#This Row],[Class]]="B", WORKDAY(Main[[#This Row],[Tech Start Date]],12),IF(Main[[#This Row],[Class]]="A",WORKDAY(Main[[#This Row],[Tech Start Date]],4),""))))</f>
        <v/>
      </c>
      <c r="O1081" s="114" t="str">
        <f>IF(Main[[#This Row],[Tech Start Date]]&lt;1/1/1990,"",IF(Main[[#This Row],[Class]]="C",WORKDAY(Main[[#This Row],[Tech Start Date]],23),IF(Main[[#This Row],[Class]]="B", WORKDAY(Main[[#This Row],[Tech Start Date]],15),IF(Main[[#This Row],[Class]]="A",WORKDAY(Main[[#This Row],[Tech Start Date]],5),""))))</f>
        <v/>
      </c>
      <c r="P1081" s="114" t="str">
        <f>IF(Main[[#This Row],[Tech Start Date]]&lt;1/1/1990,"",IF(Main[[#This Row],[Class]]="C",WORKDAY(Main[[#This Row],[Tech Start Date]],28),IF(Main[[#This Row],[Class]]="B", WORKDAY(Main[[#This Row],[Tech Start Date]],19),IF(Main[[#This Row],[Class]]="A",WORKDAY(Main[[#This Row],[Tech Start Date]],9),""))))</f>
        <v/>
      </c>
      <c r="Q1081" s="129">
        <v>40907</v>
      </c>
      <c r="R1081" s="129"/>
      <c r="S1081" s="139" t="s">
        <v>6</v>
      </c>
      <c r="T1081" s="115" t="s">
        <v>4</v>
      </c>
      <c r="U1081" s="139" t="s">
        <v>14</v>
      </c>
      <c r="V1081" s="139" t="s">
        <v>1914</v>
      </c>
      <c r="W1081" s="139" t="s">
        <v>1918</v>
      </c>
      <c r="X1081" s="139" t="s">
        <v>2821</v>
      </c>
      <c r="Y1081" s="112" t="s">
        <v>2936</v>
      </c>
      <c r="Z1081" s="112" t="s">
        <v>4</v>
      </c>
      <c r="AA1081" s="139" t="s">
        <v>2821</v>
      </c>
    </row>
    <row r="1082" spans="1:27" ht="17.25" customHeight="1">
      <c r="A1082" s="69" t="str">
        <f>IF(priority(Main[[#This Row],[Comments]])&lt;&gt;0, priority(Main[[#This Row],[Comments]]),"")</f>
        <v/>
      </c>
      <c r="B1082" s="63" t="s">
        <v>2117</v>
      </c>
      <c r="C1082" s="148" t="s">
        <v>4</v>
      </c>
      <c r="D1082" s="113" t="s">
        <v>3510</v>
      </c>
      <c r="E1082" s="129">
        <v>40780.253831018519</v>
      </c>
      <c r="F1082" s="129"/>
      <c r="G1082" s="69" t="str">
        <f>IF(stdProdLT(Main[[#This Row],[Comments]])=0.1,"N/A",IF(stdProdLT(Main[[#This Row],[Comments]])=0,"",stdProdLT(Main[[#This Row],[Comments]])))</f>
        <v/>
      </c>
      <c r="H1082" s="138" t="str">
        <f>IF(Main[[#This Row],[In Stock Date]]="N/A", "N/A",IF(AND(Main[[#This Row],[In Stock Date]]&lt;&gt;"",Main[[#This Row],[Revised Due Date]]&lt;&gt;"",Main[[#This Row],[In Stock Date]]&lt;&gt;""),Main[[#This Row],[In Stock Date]]-Main[[#This Row],[Revised Due Date]],""))</f>
        <v/>
      </c>
      <c r="I1082" s="139" t="s">
        <v>2051</v>
      </c>
      <c r="J1082" s="139" t="s">
        <v>52</v>
      </c>
      <c r="K1082" s="139" t="s">
        <v>1923</v>
      </c>
      <c r="L1082" s="129"/>
      <c r="M1082" s="114" t="str">
        <f>IF(Main[[#This Row],[Tech Start Date]]&lt;1/1/1990,"",IF(Main[[#This Row],[Class]]="C",WORKDAY(Main[[#This Row],[Tech Start Date]],9),IF(Main[[#This Row],[Class]]="B", WORKDAY(Main[[#This Row],[Tech Start Date]],6),IF(Main[[#This Row],[Class]]="A",WORKDAY(Main[[#This Row],[Tech Start Date]],2),""))))</f>
        <v/>
      </c>
      <c r="N1082" s="114" t="str">
        <f>IF(Main[[#This Row],[Tech Start Date]]&lt;1/1/1990,"",IF(Main[[#This Row],[Class]]="C",WORKDAY(Main[[#This Row],[Tech Start Date]],19),IF(Main[[#This Row],[Class]]="B", WORKDAY(Main[[#This Row],[Tech Start Date]],12),IF(Main[[#This Row],[Class]]="A",WORKDAY(Main[[#This Row],[Tech Start Date]],4),""))))</f>
        <v/>
      </c>
      <c r="O1082" s="114" t="str">
        <f>IF(Main[[#This Row],[Tech Start Date]]&lt;1/1/1990,"",IF(Main[[#This Row],[Class]]="C",WORKDAY(Main[[#This Row],[Tech Start Date]],23),IF(Main[[#This Row],[Class]]="B", WORKDAY(Main[[#This Row],[Tech Start Date]],15),IF(Main[[#This Row],[Class]]="A",WORKDAY(Main[[#This Row],[Tech Start Date]],5),""))))</f>
        <v/>
      </c>
      <c r="P1082" s="114" t="str">
        <f>IF(Main[[#This Row],[Tech Start Date]]&lt;1/1/1990,"",IF(Main[[#This Row],[Class]]="C",WORKDAY(Main[[#This Row],[Tech Start Date]],28),IF(Main[[#This Row],[Class]]="B", WORKDAY(Main[[#This Row],[Tech Start Date]],19),IF(Main[[#This Row],[Class]]="A",WORKDAY(Main[[#This Row],[Tech Start Date]],9),""))))</f>
        <v/>
      </c>
      <c r="Q1082" s="129">
        <v>40800</v>
      </c>
      <c r="R1082" s="129"/>
      <c r="S1082" s="139" t="s">
        <v>6</v>
      </c>
      <c r="T1082" s="115" t="s">
        <v>4</v>
      </c>
      <c r="U1082" s="139" t="s">
        <v>29</v>
      </c>
      <c r="V1082" s="139" t="s">
        <v>1917</v>
      </c>
      <c r="W1082" s="139" t="s">
        <v>1918</v>
      </c>
      <c r="X1082" s="139" t="s">
        <v>2822</v>
      </c>
      <c r="Y1082" s="112" t="s">
        <v>2938</v>
      </c>
      <c r="Z1082" s="112" t="s">
        <v>30</v>
      </c>
      <c r="AA1082" s="139" t="s">
        <v>2822</v>
      </c>
    </row>
    <row r="1083" spans="1:27" ht="17.25" customHeight="1">
      <c r="A1083" s="69" t="str">
        <f>IF(priority(Main[[#This Row],[Comments]])&lt;&gt;0, priority(Main[[#This Row],[Comments]]),"")</f>
        <v/>
      </c>
      <c r="B1083" s="63" t="s">
        <v>3637</v>
      </c>
      <c r="C1083" s="148" t="s">
        <v>4</v>
      </c>
      <c r="D1083" s="113" t="s">
        <v>3638</v>
      </c>
      <c r="E1083" s="129">
        <v>40960.474270833336</v>
      </c>
      <c r="F1083" s="129"/>
      <c r="G1083" s="69" t="str">
        <f>IF(stdProdLT(Main[[#This Row],[Comments]])=0.1,"N/A",IF(stdProdLT(Main[[#This Row],[Comments]])=0,"",stdProdLT(Main[[#This Row],[Comments]])))</f>
        <v/>
      </c>
      <c r="H1083" s="138" t="str">
        <f>IF(Main[[#This Row],[In Stock Date]]="N/A", "N/A",IF(AND(Main[[#This Row],[In Stock Date]]&lt;&gt;"",Main[[#This Row],[Revised Due Date]]&lt;&gt;"",Main[[#This Row],[In Stock Date]]&lt;&gt;""),Main[[#This Row],[In Stock Date]]-Main[[#This Row],[Revised Due Date]],""))</f>
        <v/>
      </c>
      <c r="I1083" s="139" t="s">
        <v>429</v>
      </c>
      <c r="J1083" s="139" t="s">
        <v>70</v>
      </c>
      <c r="K1083" s="139" t="s">
        <v>1923</v>
      </c>
      <c r="L1083" s="129"/>
      <c r="M1083" s="114" t="str">
        <f>IF(Main[[#This Row],[Tech Start Date]]&lt;1/1/1990,"",IF(Main[[#This Row],[Class]]="C",WORKDAY(Main[[#This Row],[Tech Start Date]],9),IF(Main[[#This Row],[Class]]="B", WORKDAY(Main[[#This Row],[Tech Start Date]],6),IF(Main[[#This Row],[Class]]="A",WORKDAY(Main[[#This Row],[Tech Start Date]],2),""))))</f>
        <v/>
      </c>
      <c r="N1083" s="114" t="str">
        <f>IF(Main[[#This Row],[Tech Start Date]]&lt;1/1/1990,"",IF(Main[[#This Row],[Class]]="C",WORKDAY(Main[[#This Row],[Tech Start Date]],19),IF(Main[[#This Row],[Class]]="B", WORKDAY(Main[[#This Row],[Tech Start Date]],12),IF(Main[[#This Row],[Class]]="A",WORKDAY(Main[[#This Row],[Tech Start Date]],4),""))))</f>
        <v/>
      </c>
      <c r="O1083" s="114" t="str">
        <f>IF(Main[[#This Row],[Tech Start Date]]&lt;1/1/1990,"",IF(Main[[#This Row],[Class]]="C",WORKDAY(Main[[#This Row],[Tech Start Date]],23),IF(Main[[#This Row],[Class]]="B", WORKDAY(Main[[#This Row],[Tech Start Date]],15),IF(Main[[#This Row],[Class]]="A",WORKDAY(Main[[#This Row],[Tech Start Date]],5),""))))</f>
        <v/>
      </c>
      <c r="P1083" s="114" t="str">
        <f>IF(Main[[#This Row],[Tech Start Date]]&lt;1/1/1990,"",IF(Main[[#This Row],[Class]]="C",WORKDAY(Main[[#This Row],[Tech Start Date]],28),IF(Main[[#This Row],[Class]]="B", WORKDAY(Main[[#This Row],[Tech Start Date]],19),IF(Main[[#This Row],[Class]]="A",WORKDAY(Main[[#This Row],[Tech Start Date]],9),""))))</f>
        <v/>
      </c>
      <c r="Q1083" s="129">
        <v>40974</v>
      </c>
      <c r="R1083" s="129"/>
      <c r="S1083" s="139" t="s">
        <v>6</v>
      </c>
      <c r="T1083" s="115" t="s">
        <v>4</v>
      </c>
      <c r="U1083" s="139" t="s">
        <v>29</v>
      </c>
      <c r="V1083" s="139" t="s">
        <v>1917</v>
      </c>
      <c r="W1083" s="139" t="s">
        <v>1918</v>
      </c>
      <c r="X1083" s="139" t="s">
        <v>2051</v>
      </c>
      <c r="Y1083" s="112" t="s">
        <v>4</v>
      </c>
      <c r="Z1083" s="112" t="s">
        <v>30</v>
      </c>
      <c r="AA1083" s="139" t="s">
        <v>3639</v>
      </c>
    </row>
    <row r="1084" spans="1:27" ht="17.25" customHeight="1">
      <c r="A1084" s="69" t="str">
        <f>IF(priority(Main[[#This Row],[Comments]])&lt;&gt;0, priority(Main[[#This Row],[Comments]]),"")</f>
        <v/>
      </c>
      <c r="B1084" s="63" t="s">
        <v>3636</v>
      </c>
      <c r="C1084" s="148" t="s">
        <v>3634</v>
      </c>
      <c r="D1084" s="113" t="s">
        <v>3635</v>
      </c>
      <c r="E1084" s="129"/>
      <c r="F1084" s="129">
        <v>41108</v>
      </c>
      <c r="G1084" s="69" t="str">
        <f>IF(stdProdLT(Main[[#This Row],[Comments]])=0.1,"N/A",IF(stdProdLT(Main[[#This Row],[Comments]])=0,"",stdProdLT(Main[[#This Row],[Comments]])))</f>
        <v/>
      </c>
      <c r="H1084" s="138" t="str">
        <f>IF(Main[[#This Row],[In Stock Date]]="N/A", "N/A",IF(AND(Main[[#This Row],[In Stock Date]]&lt;&gt;"",Main[[#This Row],[Revised Due Date]]&lt;&gt;"",Main[[#This Row],[In Stock Date]]&lt;&gt;""),Main[[#This Row],[In Stock Date]]-Main[[#This Row],[Revised Due Date]],""))</f>
        <v/>
      </c>
      <c r="I1084" s="139" t="s">
        <v>4</v>
      </c>
      <c r="J1084" s="139" t="s">
        <v>4</v>
      </c>
      <c r="K1084" s="140" t="s">
        <v>4</v>
      </c>
      <c r="L1084" s="129"/>
      <c r="M1084" s="114" t="str">
        <f>IF(Main[[#This Row],[Tech Start Date]]&lt;1/1/1990,"",IF(Main[[#This Row],[Class]]="C",WORKDAY(Main[[#This Row],[Tech Start Date]],9),IF(Main[[#This Row],[Class]]="B", WORKDAY(Main[[#This Row],[Tech Start Date]],6),IF(Main[[#This Row],[Class]]="A",WORKDAY(Main[[#This Row],[Tech Start Date]],2),""))))</f>
        <v/>
      </c>
      <c r="N1084" s="114" t="str">
        <f>IF(Main[[#This Row],[Tech Start Date]]&lt;1/1/1990,"",IF(Main[[#This Row],[Class]]="C",WORKDAY(Main[[#This Row],[Tech Start Date]],19),IF(Main[[#This Row],[Class]]="B", WORKDAY(Main[[#This Row],[Tech Start Date]],12),IF(Main[[#This Row],[Class]]="A",WORKDAY(Main[[#This Row],[Tech Start Date]],4),""))))</f>
        <v/>
      </c>
      <c r="O1084" s="114" t="str">
        <f>IF(Main[[#This Row],[Tech Start Date]]&lt;1/1/1990,"",IF(Main[[#This Row],[Class]]="C",WORKDAY(Main[[#This Row],[Tech Start Date]],23),IF(Main[[#This Row],[Class]]="B", WORKDAY(Main[[#This Row],[Tech Start Date]],15),IF(Main[[#This Row],[Class]]="A",WORKDAY(Main[[#This Row],[Tech Start Date]],5),""))))</f>
        <v/>
      </c>
      <c r="P1084" s="114" t="str">
        <f>IF(Main[[#This Row],[Tech Start Date]]&lt;1/1/1990,"",IF(Main[[#This Row],[Class]]="C",WORKDAY(Main[[#This Row],[Tech Start Date]],28),IF(Main[[#This Row],[Class]]="B", WORKDAY(Main[[#This Row],[Tech Start Date]],19),IF(Main[[#This Row],[Class]]="A",WORKDAY(Main[[#This Row],[Tech Start Date]],9),""))))</f>
        <v/>
      </c>
      <c r="Q1084" s="129">
        <v>40968</v>
      </c>
      <c r="R1084" s="129"/>
      <c r="S1084" s="139" t="s">
        <v>11</v>
      </c>
      <c r="T1084" s="115" t="s">
        <v>4</v>
      </c>
      <c r="U1084" s="139" t="s">
        <v>12</v>
      </c>
      <c r="V1084" s="139" t="s">
        <v>1914</v>
      </c>
      <c r="W1084" s="139" t="s">
        <v>1922</v>
      </c>
      <c r="X1084" s="139" t="s">
        <v>2843</v>
      </c>
      <c r="Y1084" s="112" t="s">
        <v>4</v>
      </c>
      <c r="Z1084" s="112" t="s">
        <v>4</v>
      </c>
      <c r="AA1084" s="139" t="s">
        <v>2843</v>
      </c>
    </row>
    <row r="1085" spans="1:27" ht="17.25" customHeight="1">
      <c r="A1085" s="69" t="str">
        <f>IF(priority(Main[[#This Row],[Comments]])&lt;&gt;0, priority(Main[[#This Row],[Comments]]),"")</f>
        <v/>
      </c>
      <c r="B1085" s="63" t="s">
        <v>1447</v>
      </c>
      <c r="C1085" s="148" t="s">
        <v>4</v>
      </c>
      <c r="D1085" s="113" t="s">
        <v>3938</v>
      </c>
      <c r="E1085" s="129">
        <v>40626.477812500001</v>
      </c>
      <c r="F1085" s="129"/>
      <c r="G1085" s="69" t="str">
        <f>IF(stdProdLT(Main[[#This Row],[Comments]])=0.1,"N/A",IF(stdProdLT(Main[[#This Row],[Comments]])=0,"",stdProdLT(Main[[#This Row],[Comments]])))</f>
        <v/>
      </c>
      <c r="H1085" s="138" t="str">
        <f>IF(Main[[#This Row],[In Stock Date]]="N/A", "N/A",IF(AND(Main[[#This Row],[In Stock Date]]&lt;&gt;"",Main[[#This Row],[Revised Due Date]]&lt;&gt;"",Main[[#This Row],[In Stock Date]]&lt;&gt;""),Main[[#This Row],[In Stock Date]]-Main[[#This Row],[Revised Due Date]],""))</f>
        <v/>
      </c>
      <c r="I1085" s="139" t="s">
        <v>2208</v>
      </c>
      <c r="J1085" s="139" t="s">
        <v>75</v>
      </c>
      <c r="K1085" s="139" t="s">
        <v>1923</v>
      </c>
      <c r="L1085" s="129"/>
      <c r="M1085" s="114" t="str">
        <f>IF(Main[[#This Row],[Tech Start Date]]&lt;1/1/1990,"",IF(Main[[#This Row],[Class]]="C",WORKDAY(Main[[#This Row],[Tech Start Date]],9),IF(Main[[#This Row],[Class]]="B", WORKDAY(Main[[#This Row],[Tech Start Date]],6),IF(Main[[#This Row],[Class]]="A",WORKDAY(Main[[#This Row],[Tech Start Date]],2),""))))</f>
        <v/>
      </c>
      <c r="N1085" s="114" t="str">
        <f>IF(Main[[#This Row],[Tech Start Date]]&lt;1/1/1990,"",IF(Main[[#This Row],[Class]]="C",WORKDAY(Main[[#This Row],[Tech Start Date]],19),IF(Main[[#This Row],[Class]]="B", WORKDAY(Main[[#This Row],[Tech Start Date]],12),IF(Main[[#This Row],[Class]]="A",WORKDAY(Main[[#This Row],[Tech Start Date]],4),""))))</f>
        <v/>
      </c>
      <c r="O1085" s="114" t="str">
        <f>IF(Main[[#This Row],[Tech Start Date]]&lt;1/1/1990,"",IF(Main[[#This Row],[Class]]="C",WORKDAY(Main[[#This Row],[Tech Start Date]],23),IF(Main[[#This Row],[Class]]="B", WORKDAY(Main[[#This Row],[Tech Start Date]],15),IF(Main[[#This Row],[Class]]="A",WORKDAY(Main[[#This Row],[Tech Start Date]],5),""))))</f>
        <v/>
      </c>
      <c r="P1085" s="114" t="str">
        <f>IF(Main[[#This Row],[Tech Start Date]]&lt;1/1/1990,"",IF(Main[[#This Row],[Class]]="C",WORKDAY(Main[[#This Row],[Tech Start Date]],28),IF(Main[[#This Row],[Class]]="B", WORKDAY(Main[[#This Row],[Tech Start Date]],19),IF(Main[[#This Row],[Class]]="A",WORKDAY(Main[[#This Row],[Tech Start Date]],9),""))))</f>
        <v/>
      </c>
      <c r="Q1085" s="129"/>
      <c r="R1085" s="129"/>
      <c r="S1085" s="139" t="s">
        <v>6</v>
      </c>
      <c r="T1085" s="115" t="s">
        <v>4</v>
      </c>
      <c r="U1085" s="139" t="s">
        <v>29</v>
      </c>
      <c r="V1085" s="139" t="s">
        <v>1917</v>
      </c>
      <c r="W1085" s="139" t="s">
        <v>1918</v>
      </c>
      <c r="X1085" s="139" t="s">
        <v>74</v>
      </c>
      <c r="Y1085" s="112" t="s">
        <v>3031</v>
      </c>
      <c r="Z1085" s="112" t="s">
        <v>415</v>
      </c>
      <c r="AA1085" s="139" t="s">
        <v>74</v>
      </c>
    </row>
    <row r="1086" spans="1:27" ht="17.25" customHeight="1">
      <c r="A1086" s="69" t="str">
        <f>IF(priority(Main[[#This Row],[Comments]])&lt;&gt;0, priority(Main[[#This Row],[Comments]]),"")</f>
        <v/>
      </c>
      <c r="B1086" s="63" t="s">
        <v>3939</v>
      </c>
      <c r="C1086" s="148" t="s">
        <v>4</v>
      </c>
      <c r="D1086" s="113" t="s">
        <v>3940</v>
      </c>
      <c r="E1086" s="129">
        <v>40968.458784722221</v>
      </c>
      <c r="F1086" s="129"/>
      <c r="G1086" s="69" t="str">
        <f>IF(stdProdLT(Main[[#This Row],[Comments]])=0.1,"N/A",IF(stdProdLT(Main[[#This Row],[Comments]])=0,"",stdProdLT(Main[[#This Row],[Comments]])))</f>
        <v>N/A</v>
      </c>
      <c r="H1086" s="138" t="str">
        <f>IF(Main[[#This Row],[In Stock Date]]="N/A", "N/A",IF(AND(Main[[#This Row],[In Stock Date]]&lt;&gt;"",Main[[#This Row],[Revised Due Date]]&lt;&gt;"",Main[[#This Row],[In Stock Date]]&lt;&gt;""),Main[[#This Row],[In Stock Date]]-Main[[#This Row],[Revised Due Date]],""))</f>
        <v/>
      </c>
      <c r="I1086" s="139" t="s">
        <v>4</v>
      </c>
      <c r="J1086" s="139" t="s">
        <v>4</v>
      </c>
      <c r="K1086" s="139" t="s">
        <v>4</v>
      </c>
      <c r="L1086" s="129"/>
      <c r="M1086" s="114" t="str">
        <f>IF(Main[[#This Row],[Tech Start Date]]&lt;1/1/1990,"",IF(Main[[#This Row],[Class]]="C",WORKDAY(Main[[#This Row],[Tech Start Date]],9),IF(Main[[#This Row],[Class]]="B", WORKDAY(Main[[#This Row],[Tech Start Date]],6),IF(Main[[#This Row],[Class]]="A",WORKDAY(Main[[#This Row],[Tech Start Date]],2),""))))</f>
        <v/>
      </c>
      <c r="N1086" s="114" t="str">
        <f>IF(Main[[#This Row],[Tech Start Date]]&lt;1/1/1990,"",IF(Main[[#This Row],[Class]]="C",WORKDAY(Main[[#This Row],[Tech Start Date]],19),IF(Main[[#This Row],[Class]]="B", WORKDAY(Main[[#This Row],[Tech Start Date]],12),IF(Main[[#This Row],[Class]]="A",WORKDAY(Main[[#This Row],[Tech Start Date]],4),""))))</f>
        <v/>
      </c>
      <c r="O1086" s="114" t="str">
        <f>IF(Main[[#This Row],[Tech Start Date]]&lt;1/1/1990,"",IF(Main[[#This Row],[Class]]="C",WORKDAY(Main[[#This Row],[Tech Start Date]],23),IF(Main[[#This Row],[Class]]="B", WORKDAY(Main[[#This Row],[Tech Start Date]],15),IF(Main[[#This Row],[Class]]="A",WORKDAY(Main[[#This Row],[Tech Start Date]],5),""))))</f>
        <v/>
      </c>
      <c r="P1086" s="114" t="str">
        <f>IF(Main[[#This Row],[Tech Start Date]]&lt;1/1/1990,"",IF(Main[[#This Row],[Class]]="C",WORKDAY(Main[[#This Row],[Tech Start Date]],28),IF(Main[[#This Row],[Class]]="B", WORKDAY(Main[[#This Row],[Tech Start Date]],19),IF(Main[[#This Row],[Class]]="A",WORKDAY(Main[[#This Row],[Tech Start Date]],9),""))))</f>
        <v/>
      </c>
      <c r="Q1086" s="129">
        <v>40972</v>
      </c>
      <c r="R1086" s="129"/>
      <c r="S1086" s="139" t="s">
        <v>11</v>
      </c>
      <c r="T1086" s="115" t="s">
        <v>3975</v>
      </c>
      <c r="U1086" s="139" t="s">
        <v>7</v>
      </c>
      <c r="V1086" s="139" t="s">
        <v>1924</v>
      </c>
      <c r="W1086" s="139" t="s">
        <v>1922</v>
      </c>
      <c r="X1086" s="139" t="s">
        <v>2857</v>
      </c>
      <c r="Y1086" s="112" t="s">
        <v>2998</v>
      </c>
      <c r="Z1086" s="112" t="s">
        <v>4</v>
      </c>
      <c r="AA1086" s="139" t="s">
        <v>2857</v>
      </c>
    </row>
    <row r="1087" spans="1:27" ht="17.25" customHeight="1">
      <c r="A1087" s="69" t="str">
        <f>IF(priority(Main[[#This Row],[Comments]])&lt;&gt;0, priority(Main[[#This Row],[Comments]]),"")</f>
        <v/>
      </c>
      <c r="B1087" s="63" t="s">
        <v>3941</v>
      </c>
      <c r="C1087" s="148" t="s">
        <v>4</v>
      </c>
      <c r="D1087" s="113" t="s">
        <v>3942</v>
      </c>
      <c r="E1087" s="129">
        <v>40968.460902777777</v>
      </c>
      <c r="F1087" s="129"/>
      <c r="G1087" s="69" t="str">
        <f>IF(stdProdLT(Main[[#This Row],[Comments]])=0.1,"N/A",IF(stdProdLT(Main[[#This Row],[Comments]])=0,"",stdProdLT(Main[[#This Row],[Comments]])))</f>
        <v/>
      </c>
      <c r="H1087" s="138" t="str">
        <f>IF(Main[[#This Row],[In Stock Date]]="N/A", "N/A",IF(AND(Main[[#This Row],[In Stock Date]]&lt;&gt;"",Main[[#This Row],[Revised Due Date]]&lt;&gt;"",Main[[#This Row],[In Stock Date]]&lt;&gt;""),Main[[#This Row],[In Stock Date]]-Main[[#This Row],[Revised Due Date]],""))</f>
        <v/>
      </c>
      <c r="I1087" s="139" t="s">
        <v>4</v>
      </c>
      <c r="J1087" s="139" t="s">
        <v>4</v>
      </c>
      <c r="K1087" s="139" t="s">
        <v>4</v>
      </c>
      <c r="L1087" s="129"/>
      <c r="M1087" s="114" t="str">
        <f>IF(Main[[#This Row],[Tech Start Date]]&lt;1/1/1990,"",IF(Main[[#This Row],[Class]]="C",WORKDAY(Main[[#This Row],[Tech Start Date]],9),IF(Main[[#This Row],[Class]]="B", WORKDAY(Main[[#This Row],[Tech Start Date]],6),IF(Main[[#This Row],[Class]]="A",WORKDAY(Main[[#This Row],[Tech Start Date]],2),""))))</f>
        <v/>
      </c>
      <c r="N1087" s="114" t="str">
        <f>IF(Main[[#This Row],[Tech Start Date]]&lt;1/1/1990,"",IF(Main[[#This Row],[Class]]="C",WORKDAY(Main[[#This Row],[Tech Start Date]],19),IF(Main[[#This Row],[Class]]="B", WORKDAY(Main[[#This Row],[Tech Start Date]],12),IF(Main[[#This Row],[Class]]="A",WORKDAY(Main[[#This Row],[Tech Start Date]],4),""))))</f>
        <v/>
      </c>
      <c r="O1087" s="114" t="str">
        <f>IF(Main[[#This Row],[Tech Start Date]]&lt;1/1/1990,"",IF(Main[[#This Row],[Class]]="C",WORKDAY(Main[[#This Row],[Tech Start Date]],23),IF(Main[[#This Row],[Class]]="B", WORKDAY(Main[[#This Row],[Tech Start Date]],15),IF(Main[[#This Row],[Class]]="A",WORKDAY(Main[[#This Row],[Tech Start Date]],5),""))))</f>
        <v/>
      </c>
      <c r="P1087" s="114" t="str">
        <f>IF(Main[[#This Row],[Tech Start Date]]&lt;1/1/1990,"",IF(Main[[#This Row],[Class]]="C",WORKDAY(Main[[#This Row],[Tech Start Date]],28),IF(Main[[#This Row],[Class]]="B", WORKDAY(Main[[#This Row],[Tech Start Date]],19),IF(Main[[#This Row],[Class]]="A",WORKDAY(Main[[#This Row],[Tech Start Date]],9),""))))</f>
        <v/>
      </c>
      <c r="Q1087" s="129"/>
      <c r="R1087" s="129"/>
      <c r="S1087" s="139" t="s">
        <v>6</v>
      </c>
      <c r="T1087" s="115" t="s">
        <v>4</v>
      </c>
      <c r="U1087" s="139" t="s">
        <v>29</v>
      </c>
      <c r="V1087" s="139" t="s">
        <v>1917</v>
      </c>
      <c r="W1087" s="139" t="s">
        <v>1918</v>
      </c>
      <c r="X1087" s="139" t="s">
        <v>81</v>
      </c>
      <c r="Y1087" s="112" t="s">
        <v>2969</v>
      </c>
      <c r="Z1087" s="112" t="s">
        <v>4</v>
      </c>
      <c r="AA1087" s="139" t="s">
        <v>81</v>
      </c>
    </row>
    <row r="1088" spans="1:27" ht="17.25" customHeight="1">
      <c r="A1088" s="69" t="str">
        <f>IF(priority(Main[[#This Row],[Comments]])&lt;&gt;0, priority(Main[[#This Row],[Comments]]),"")</f>
        <v/>
      </c>
      <c r="B1088" s="63" t="s">
        <v>2756</v>
      </c>
      <c r="C1088" s="148" t="s">
        <v>4</v>
      </c>
      <c r="D1088" s="113" t="s">
        <v>2757</v>
      </c>
      <c r="E1088" s="129">
        <v>40911.432222222225</v>
      </c>
      <c r="F1088" s="129"/>
      <c r="G1088" s="69" t="str">
        <f>IF(stdProdLT(Main[[#This Row],[Comments]])=0.1,"N/A",IF(stdProdLT(Main[[#This Row],[Comments]])=0,"",stdProdLT(Main[[#This Row],[Comments]])))</f>
        <v/>
      </c>
      <c r="H1088" s="138" t="str">
        <f>IF(Main[[#This Row],[In Stock Date]]="N/A", "N/A",IF(AND(Main[[#This Row],[In Stock Date]]&lt;&gt;"",Main[[#This Row],[Revised Due Date]]&lt;&gt;"",Main[[#This Row],[In Stock Date]]&lt;&gt;""),Main[[#This Row],[In Stock Date]]-Main[[#This Row],[Revised Due Date]],""))</f>
        <v/>
      </c>
      <c r="I1088" s="139" t="s">
        <v>937</v>
      </c>
      <c r="J1088" s="139" t="s">
        <v>52</v>
      </c>
      <c r="K1088" s="139" t="s">
        <v>1923</v>
      </c>
      <c r="L1088" s="129"/>
      <c r="M1088" s="114" t="str">
        <f>IF(Main[[#This Row],[Tech Start Date]]&lt;1/1/1990,"",IF(Main[[#This Row],[Class]]="C",WORKDAY(Main[[#This Row],[Tech Start Date]],9),IF(Main[[#This Row],[Class]]="B", WORKDAY(Main[[#This Row],[Tech Start Date]],6),IF(Main[[#This Row],[Class]]="A",WORKDAY(Main[[#This Row],[Tech Start Date]],2),""))))</f>
        <v/>
      </c>
      <c r="N1088" s="114" t="str">
        <f>IF(Main[[#This Row],[Tech Start Date]]&lt;1/1/1990,"",IF(Main[[#This Row],[Class]]="C",WORKDAY(Main[[#This Row],[Tech Start Date]],19),IF(Main[[#This Row],[Class]]="B", WORKDAY(Main[[#This Row],[Tech Start Date]],12),IF(Main[[#This Row],[Class]]="A",WORKDAY(Main[[#This Row],[Tech Start Date]],4),""))))</f>
        <v/>
      </c>
      <c r="O1088" s="114" t="str">
        <f>IF(Main[[#This Row],[Tech Start Date]]&lt;1/1/1990,"",IF(Main[[#This Row],[Class]]="C",WORKDAY(Main[[#This Row],[Tech Start Date]],23),IF(Main[[#This Row],[Class]]="B", WORKDAY(Main[[#This Row],[Tech Start Date]],15),IF(Main[[#This Row],[Class]]="A",WORKDAY(Main[[#This Row],[Tech Start Date]],5),""))))</f>
        <v/>
      </c>
      <c r="P1088" s="114" t="str">
        <f>IF(Main[[#This Row],[Tech Start Date]]&lt;1/1/1990,"",IF(Main[[#This Row],[Class]]="C",WORKDAY(Main[[#This Row],[Tech Start Date]],28),IF(Main[[#This Row],[Class]]="B", WORKDAY(Main[[#This Row],[Tech Start Date]],19),IF(Main[[#This Row],[Class]]="A",WORKDAY(Main[[#This Row],[Tech Start Date]],9),""))))</f>
        <v/>
      </c>
      <c r="Q1088" s="129"/>
      <c r="R1088" s="129"/>
      <c r="S1088" s="139" t="s">
        <v>6</v>
      </c>
      <c r="T1088" s="115" t="s">
        <v>4</v>
      </c>
      <c r="U1088" s="139" t="s">
        <v>29</v>
      </c>
      <c r="V1088" s="139" t="s">
        <v>1914</v>
      </c>
      <c r="W1088" s="139" t="s">
        <v>1918</v>
      </c>
      <c r="X1088" s="139" t="s">
        <v>2208</v>
      </c>
      <c r="Y1088" s="112" t="s">
        <v>3127</v>
      </c>
      <c r="Z1088" s="112" t="s">
        <v>912</v>
      </c>
      <c r="AA1088" s="139" t="s">
        <v>2208</v>
      </c>
    </row>
    <row r="1089" spans="1:27" ht="17.25" customHeight="1">
      <c r="A1089" s="69" t="str">
        <f>IF(priority(Main[[#This Row],[Comments]])&lt;&gt;0, priority(Main[[#This Row],[Comments]]),"")</f>
        <v/>
      </c>
      <c r="B1089" s="63" t="s">
        <v>2668</v>
      </c>
      <c r="C1089" s="148" t="s">
        <v>4</v>
      </c>
      <c r="D1089" s="113" t="s">
        <v>2669</v>
      </c>
      <c r="E1089" s="129">
        <v>40879.618761574071</v>
      </c>
      <c r="F1089" s="129"/>
      <c r="G1089" s="69" t="str">
        <f>IF(stdProdLT(Main[[#This Row],[Comments]])=0.1,"N/A",IF(stdProdLT(Main[[#This Row],[Comments]])=0,"",stdProdLT(Main[[#This Row],[Comments]])))</f>
        <v/>
      </c>
      <c r="H1089" s="138" t="str">
        <f>IF(Main[[#This Row],[In Stock Date]]="N/A", "N/A",IF(AND(Main[[#This Row],[In Stock Date]]&lt;&gt;"",Main[[#This Row],[Revised Due Date]]&lt;&gt;"",Main[[#This Row],[In Stock Date]]&lt;&gt;""),Main[[#This Row],[In Stock Date]]-Main[[#This Row],[Revised Due Date]],""))</f>
        <v/>
      </c>
      <c r="I1089" s="139" t="s">
        <v>4</v>
      </c>
      <c r="J1089" s="139" t="s">
        <v>4</v>
      </c>
      <c r="K1089" s="139" t="s">
        <v>4</v>
      </c>
      <c r="L1089" s="129"/>
      <c r="M1089" s="114" t="str">
        <f>IF(Main[[#This Row],[Tech Start Date]]&lt;1/1/1990,"",IF(Main[[#This Row],[Class]]="C",WORKDAY(Main[[#This Row],[Tech Start Date]],9),IF(Main[[#This Row],[Class]]="B", WORKDAY(Main[[#This Row],[Tech Start Date]],6),IF(Main[[#This Row],[Class]]="A",WORKDAY(Main[[#This Row],[Tech Start Date]],2),""))))</f>
        <v/>
      </c>
      <c r="N1089" s="114" t="str">
        <f>IF(Main[[#This Row],[Tech Start Date]]&lt;1/1/1990,"",IF(Main[[#This Row],[Class]]="C",WORKDAY(Main[[#This Row],[Tech Start Date]],19),IF(Main[[#This Row],[Class]]="B", WORKDAY(Main[[#This Row],[Tech Start Date]],12),IF(Main[[#This Row],[Class]]="A",WORKDAY(Main[[#This Row],[Tech Start Date]],4),""))))</f>
        <v/>
      </c>
      <c r="O1089" s="114" t="str">
        <f>IF(Main[[#This Row],[Tech Start Date]]&lt;1/1/1990,"",IF(Main[[#This Row],[Class]]="C",WORKDAY(Main[[#This Row],[Tech Start Date]],23),IF(Main[[#This Row],[Class]]="B", WORKDAY(Main[[#This Row],[Tech Start Date]],15),IF(Main[[#This Row],[Class]]="A",WORKDAY(Main[[#This Row],[Tech Start Date]],5),""))))</f>
        <v/>
      </c>
      <c r="P1089" s="114" t="str">
        <f>IF(Main[[#This Row],[Tech Start Date]]&lt;1/1/1990,"",IF(Main[[#This Row],[Class]]="C",WORKDAY(Main[[#This Row],[Tech Start Date]],28),IF(Main[[#This Row],[Class]]="B", WORKDAY(Main[[#This Row],[Tech Start Date]],19),IF(Main[[#This Row],[Class]]="A",WORKDAY(Main[[#This Row],[Tech Start Date]],9),""))))</f>
        <v/>
      </c>
      <c r="Q1089" s="129"/>
      <c r="R1089" s="129"/>
      <c r="S1089" s="139" t="s">
        <v>17</v>
      </c>
      <c r="T1089" s="115" t="s">
        <v>4</v>
      </c>
      <c r="U1089" s="139" t="s">
        <v>7</v>
      </c>
      <c r="V1089" s="139" t="s">
        <v>1917</v>
      </c>
      <c r="W1089" s="139" t="s">
        <v>1919</v>
      </c>
      <c r="X1089" s="139" t="s">
        <v>553</v>
      </c>
      <c r="Y1089" s="112" t="s">
        <v>2952</v>
      </c>
      <c r="Z1089" s="112" t="s">
        <v>4</v>
      </c>
      <c r="AA1089" s="139" t="s">
        <v>553</v>
      </c>
    </row>
    <row r="1090" spans="1:27" ht="17.25" customHeight="1">
      <c r="A1090" s="69" t="str">
        <f>IF(priority(Main[[#This Row],[Comments]])&lt;&gt;0, priority(Main[[#This Row],[Comments]]),"")</f>
        <v/>
      </c>
      <c r="B1090" s="63" t="s">
        <v>1905</v>
      </c>
      <c r="C1090" s="148" t="s">
        <v>31</v>
      </c>
      <c r="D1090" s="113" t="s">
        <v>955</v>
      </c>
      <c r="E1090" s="129">
        <v>40528.412233796298</v>
      </c>
      <c r="F1090" s="129">
        <v>40634</v>
      </c>
      <c r="G1090" s="69" t="str">
        <f>IF(stdProdLT(Main[[#This Row],[Comments]])=0.1,"N/A",IF(stdProdLT(Main[[#This Row],[Comments]])=0,"",stdProdLT(Main[[#This Row],[Comments]])))</f>
        <v/>
      </c>
      <c r="H1090" s="138">
        <f>IF(Main[[#This Row],[In Stock Date]]="N/A", "N/A",IF(AND(Main[[#This Row],[In Stock Date]]&lt;&gt;"",Main[[#This Row],[Revised Due Date]]&lt;&gt;"",Main[[#This Row],[In Stock Date]]&lt;&gt;""),Main[[#This Row],[In Stock Date]]-Main[[#This Row],[Revised Due Date]],""))</f>
        <v>-255</v>
      </c>
      <c r="I1090" s="139" t="s">
        <v>431</v>
      </c>
      <c r="J1090" s="139" t="s">
        <v>28</v>
      </c>
      <c r="K1090" s="140" t="s">
        <v>1926</v>
      </c>
      <c r="L1090" s="129"/>
      <c r="M1090" s="114" t="str">
        <f>IF(Main[[#This Row],[Tech Start Date]]&lt;1/1/1990,"",IF(Main[[#This Row],[Class]]="C",WORKDAY(Main[[#This Row],[Tech Start Date]],9),IF(Main[[#This Row],[Class]]="B", WORKDAY(Main[[#This Row],[Tech Start Date]],6),IF(Main[[#This Row],[Class]]="A",WORKDAY(Main[[#This Row],[Tech Start Date]],2),""))))</f>
        <v/>
      </c>
      <c r="N1090" s="114" t="str">
        <f>IF(Main[[#This Row],[Tech Start Date]]&lt;1/1/1990,"",IF(Main[[#This Row],[Class]]="C",WORKDAY(Main[[#This Row],[Tech Start Date]],19),IF(Main[[#This Row],[Class]]="B", WORKDAY(Main[[#This Row],[Tech Start Date]],12),IF(Main[[#This Row],[Class]]="A",WORKDAY(Main[[#This Row],[Tech Start Date]],4),""))))</f>
        <v/>
      </c>
      <c r="O1090" s="114" t="str">
        <f>IF(Main[[#This Row],[Tech Start Date]]&lt;1/1/1990,"",IF(Main[[#This Row],[Class]]="C",WORKDAY(Main[[#This Row],[Tech Start Date]],23),IF(Main[[#This Row],[Class]]="B", WORKDAY(Main[[#This Row],[Tech Start Date]],15),IF(Main[[#This Row],[Class]]="A",WORKDAY(Main[[#This Row],[Tech Start Date]],5),""))))</f>
        <v/>
      </c>
      <c r="P1090" s="114" t="str">
        <f>IF(Main[[#This Row],[Tech Start Date]]&lt;1/1/1990,"",IF(Main[[#This Row],[Class]]="C",WORKDAY(Main[[#This Row],[Tech Start Date]],28),IF(Main[[#This Row],[Class]]="B", WORKDAY(Main[[#This Row],[Tech Start Date]],19),IF(Main[[#This Row],[Class]]="A",WORKDAY(Main[[#This Row],[Tech Start Date]],9),""))))</f>
        <v/>
      </c>
      <c r="Q1090" s="129">
        <v>40634</v>
      </c>
      <c r="R1090" s="129">
        <v>40889</v>
      </c>
      <c r="S1090" s="139" t="s">
        <v>17</v>
      </c>
      <c r="T1090" s="115" t="s">
        <v>4</v>
      </c>
      <c r="U1090" s="139" t="s">
        <v>29</v>
      </c>
      <c r="V1090" s="139" t="s">
        <v>1917</v>
      </c>
      <c r="W1090" s="139" t="s">
        <v>1925</v>
      </c>
      <c r="X1090" s="139" t="s">
        <v>553</v>
      </c>
      <c r="Y1090" s="112" t="s">
        <v>3029</v>
      </c>
      <c r="Z1090" s="112" t="s">
        <v>415</v>
      </c>
      <c r="AA1090" s="139" t="s">
        <v>2892</v>
      </c>
    </row>
    <row r="1091" spans="1:27" ht="17.25" customHeight="1">
      <c r="A1091" s="69" t="str">
        <f>IF(priority(Main[[#This Row],[Comments]])&lt;&gt;0, priority(Main[[#This Row],[Comments]]),"")</f>
        <v/>
      </c>
      <c r="B1091" s="63" t="s">
        <v>2429</v>
      </c>
      <c r="C1091" s="148" t="s">
        <v>4</v>
      </c>
      <c r="D1091" s="113" t="s">
        <v>2430</v>
      </c>
      <c r="E1091" s="129">
        <v>40822.361354166664</v>
      </c>
      <c r="F1091" s="129"/>
      <c r="G1091" s="69" t="str">
        <f>IF(stdProdLT(Main[[#This Row],[Comments]])=0.1,"N/A",IF(stdProdLT(Main[[#This Row],[Comments]])=0,"",stdProdLT(Main[[#This Row],[Comments]])))</f>
        <v/>
      </c>
      <c r="H1091" s="138" t="str">
        <f>IF(Main[[#This Row],[In Stock Date]]="N/A", "N/A",IF(AND(Main[[#This Row],[In Stock Date]]&lt;&gt;"",Main[[#This Row],[Revised Due Date]]&lt;&gt;"",Main[[#This Row],[In Stock Date]]&lt;&gt;""),Main[[#This Row],[In Stock Date]]-Main[[#This Row],[Revised Due Date]],""))</f>
        <v/>
      </c>
      <c r="I1091" s="139" t="s">
        <v>4</v>
      </c>
      <c r="J1091" s="139" t="s">
        <v>4</v>
      </c>
      <c r="K1091" s="139" t="s">
        <v>4</v>
      </c>
      <c r="L1091" s="129"/>
      <c r="M1091" s="114" t="str">
        <f>IF(Main[[#This Row],[Tech Start Date]]&lt;1/1/1990,"",IF(Main[[#This Row],[Class]]="C",WORKDAY(Main[[#This Row],[Tech Start Date]],9),IF(Main[[#This Row],[Class]]="B", WORKDAY(Main[[#This Row],[Tech Start Date]],6),IF(Main[[#This Row],[Class]]="A",WORKDAY(Main[[#This Row],[Tech Start Date]],2),""))))</f>
        <v/>
      </c>
      <c r="N1091" s="114" t="str">
        <f>IF(Main[[#This Row],[Tech Start Date]]&lt;1/1/1990,"",IF(Main[[#This Row],[Class]]="C",WORKDAY(Main[[#This Row],[Tech Start Date]],19),IF(Main[[#This Row],[Class]]="B", WORKDAY(Main[[#This Row],[Tech Start Date]],12),IF(Main[[#This Row],[Class]]="A",WORKDAY(Main[[#This Row],[Tech Start Date]],4),""))))</f>
        <v/>
      </c>
      <c r="O1091" s="114" t="str">
        <f>IF(Main[[#This Row],[Tech Start Date]]&lt;1/1/1990,"",IF(Main[[#This Row],[Class]]="C",WORKDAY(Main[[#This Row],[Tech Start Date]],23),IF(Main[[#This Row],[Class]]="B", WORKDAY(Main[[#This Row],[Tech Start Date]],15),IF(Main[[#This Row],[Class]]="A",WORKDAY(Main[[#This Row],[Tech Start Date]],5),""))))</f>
        <v/>
      </c>
      <c r="P1091" s="114" t="str">
        <f>IF(Main[[#This Row],[Tech Start Date]]&lt;1/1/1990,"",IF(Main[[#This Row],[Class]]="C",WORKDAY(Main[[#This Row],[Tech Start Date]],28),IF(Main[[#This Row],[Class]]="B", WORKDAY(Main[[#This Row],[Tech Start Date]],19),IF(Main[[#This Row],[Class]]="A",WORKDAY(Main[[#This Row],[Tech Start Date]],9),""))))</f>
        <v/>
      </c>
      <c r="Q1091" s="129">
        <v>40872</v>
      </c>
      <c r="R1091" s="129"/>
      <c r="S1091" s="139" t="s">
        <v>6</v>
      </c>
      <c r="T1091" s="115" t="s">
        <v>4</v>
      </c>
      <c r="U1091" s="139" t="s">
        <v>7</v>
      </c>
      <c r="V1091" s="139" t="s">
        <v>1914</v>
      </c>
      <c r="W1091" s="139" t="s">
        <v>4</v>
      </c>
      <c r="X1091" s="139" t="s">
        <v>2822</v>
      </c>
      <c r="Y1091" s="112" t="s">
        <v>2938</v>
      </c>
      <c r="Z1091" s="112" t="s">
        <v>4</v>
      </c>
      <c r="AA1091" s="139" t="s">
        <v>2822</v>
      </c>
    </row>
    <row r="1092" spans="1:27" ht="17.25" customHeight="1">
      <c r="A1092" s="69" t="str">
        <f>IF(priority(Main[[#This Row],[Comments]])&lt;&gt;0, priority(Main[[#This Row],[Comments]]),"")</f>
        <v/>
      </c>
      <c r="B1092" s="63" t="s">
        <v>3522</v>
      </c>
      <c r="C1092" s="148" t="s">
        <v>53</v>
      </c>
      <c r="D1092" s="113" t="s">
        <v>3632</v>
      </c>
      <c r="E1092" s="129">
        <v>40949.374872685185</v>
      </c>
      <c r="F1092" s="129"/>
      <c r="G1092" s="69" t="str">
        <f>IF(stdProdLT(Main[[#This Row],[Comments]])=0.1,"N/A",IF(stdProdLT(Main[[#This Row],[Comments]])=0,"",stdProdLT(Main[[#This Row],[Comments]])))</f>
        <v/>
      </c>
      <c r="H1092" s="138" t="str">
        <f>IF(Main[[#This Row],[In Stock Date]]="N/A", "N/A",IF(AND(Main[[#This Row],[In Stock Date]]&lt;&gt;"",Main[[#This Row],[Revised Due Date]]&lt;&gt;"",Main[[#This Row],[In Stock Date]]&lt;&gt;""),Main[[#This Row],[In Stock Date]]-Main[[#This Row],[Revised Due Date]],""))</f>
        <v/>
      </c>
      <c r="I1092" s="139" t="s">
        <v>941</v>
      </c>
      <c r="J1092" s="139" t="s">
        <v>28</v>
      </c>
      <c r="K1092" s="140" t="s">
        <v>1923</v>
      </c>
      <c r="L1092" s="129"/>
      <c r="M1092" s="114" t="str">
        <f>IF(Main[[#This Row],[Tech Start Date]]&lt;1/1/1990,"",IF(Main[[#This Row],[Class]]="C",WORKDAY(Main[[#This Row],[Tech Start Date]],9),IF(Main[[#This Row],[Class]]="B", WORKDAY(Main[[#This Row],[Tech Start Date]],6),IF(Main[[#This Row],[Class]]="A",WORKDAY(Main[[#This Row],[Tech Start Date]],2),""))))</f>
        <v/>
      </c>
      <c r="N1092" s="114" t="str">
        <f>IF(Main[[#This Row],[Tech Start Date]]&lt;1/1/1990,"",IF(Main[[#This Row],[Class]]="C",WORKDAY(Main[[#This Row],[Tech Start Date]],19),IF(Main[[#This Row],[Class]]="B", WORKDAY(Main[[#This Row],[Tech Start Date]],12),IF(Main[[#This Row],[Class]]="A",WORKDAY(Main[[#This Row],[Tech Start Date]],4),""))))</f>
        <v/>
      </c>
      <c r="O1092" s="114" t="str">
        <f>IF(Main[[#This Row],[Tech Start Date]]&lt;1/1/1990,"",IF(Main[[#This Row],[Class]]="C",WORKDAY(Main[[#This Row],[Tech Start Date]],23),IF(Main[[#This Row],[Class]]="B", WORKDAY(Main[[#This Row],[Tech Start Date]],15),IF(Main[[#This Row],[Class]]="A",WORKDAY(Main[[#This Row],[Tech Start Date]],5),""))))</f>
        <v/>
      </c>
      <c r="P1092" s="114" t="str">
        <f>IF(Main[[#This Row],[Tech Start Date]]&lt;1/1/1990,"",IF(Main[[#This Row],[Class]]="C",WORKDAY(Main[[#This Row],[Tech Start Date]],28),IF(Main[[#This Row],[Class]]="B", WORKDAY(Main[[#This Row],[Tech Start Date]],19),IF(Main[[#This Row],[Class]]="A",WORKDAY(Main[[#This Row],[Tech Start Date]],9),""))))</f>
        <v/>
      </c>
      <c r="Q1092" s="129">
        <v>40956</v>
      </c>
      <c r="R1092" s="129"/>
      <c r="S1092" s="139" t="s">
        <v>6</v>
      </c>
      <c r="T1092" s="115" t="s">
        <v>4</v>
      </c>
      <c r="U1092" s="139" t="s">
        <v>29</v>
      </c>
      <c r="V1092" s="139" t="s">
        <v>1915</v>
      </c>
      <c r="W1092" s="139" t="s">
        <v>1916</v>
      </c>
      <c r="X1092" s="139" t="s">
        <v>2816</v>
      </c>
      <c r="Y1092" s="112" t="s">
        <v>4</v>
      </c>
      <c r="Z1092" s="112" t="s">
        <v>2053</v>
      </c>
      <c r="AA1092" s="139" t="s">
        <v>2816</v>
      </c>
    </row>
    <row r="1093" spans="1:27" ht="17.25" customHeight="1">
      <c r="A1093" s="69" t="str">
        <f>IF(priority(Main[[#This Row],[Comments]])&lt;&gt;0, priority(Main[[#This Row],[Comments]]),"")</f>
        <v/>
      </c>
      <c r="B1093" s="63" t="s">
        <v>3633</v>
      </c>
      <c r="C1093" s="148" t="s">
        <v>3634</v>
      </c>
      <c r="D1093" s="113" t="s">
        <v>3635</v>
      </c>
      <c r="E1093" s="129"/>
      <c r="F1093" s="129">
        <v>41044</v>
      </c>
      <c r="G1093" s="69" t="str">
        <f>IF(stdProdLT(Main[[#This Row],[Comments]])=0.1,"N/A",IF(stdProdLT(Main[[#This Row],[Comments]])=0,"",stdProdLT(Main[[#This Row],[Comments]])))</f>
        <v/>
      </c>
      <c r="H1093" s="138" t="str">
        <f>IF(Main[[#This Row],[In Stock Date]]="N/A", "N/A",IF(AND(Main[[#This Row],[In Stock Date]]&lt;&gt;"",Main[[#This Row],[Revised Due Date]]&lt;&gt;"",Main[[#This Row],[In Stock Date]]&lt;&gt;""),Main[[#This Row],[In Stock Date]]-Main[[#This Row],[Revised Due Date]],""))</f>
        <v/>
      </c>
      <c r="I1093" s="139" t="s">
        <v>4</v>
      </c>
      <c r="J1093" s="139" t="s">
        <v>4</v>
      </c>
      <c r="K1093" s="139" t="s">
        <v>4</v>
      </c>
      <c r="L1093" s="129"/>
      <c r="M1093" s="114" t="str">
        <f>IF(Main[[#This Row],[Tech Start Date]]&lt;1/1/1990,"",IF(Main[[#This Row],[Class]]="C",WORKDAY(Main[[#This Row],[Tech Start Date]],9),IF(Main[[#This Row],[Class]]="B", WORKDAY(Main[[#This Row],[Tech Start Date]],6),IF(Main[[#This Row],[Class]]="A",WORKDAY(Main[[#This Row],[Tech Start Date]],2),""))))</f>
        <v/>
      </c>
      <c r="N1093" s="114" t="str">
        <f>IF(Main[[#This Row],[Tech Start Date]]&lt;1/1/1990,"",IF(Main[[#This Row],[Class]]="C",WORKDAY(Main[[#This Row],[Tech Start Date]],19),IF(Main[[#This Row],[Class]]="B", WORKDAY(Main[[#This Row],[Tech Start Date]],12),IF(Main[[#This Row],[Class]]="A",WORKDAY(Main[[#This Row],[Tech Start Date]],4),""))))</f>
        <v/>
      </c>
      <c r="O1093" s="114" t="str">
        <f>IF(Main[[#This Row],[Tech Start Date]]&lt;1/1/1990,"",IF(Main[[#This Row],[Class]]="C",WORKDAY(Main[[#This Row],[Tech Start Date]],23),IF(Main[[#This Row],[Class]]="B", WORKDAY(Main[[#This Row],[Tech Start Date]],15),IF(Main[[#This Row],[Class]]="A",WORKDAY(Main[[#This Row],[Tech Start Date]],5),""))))</f>
        <v/>
      </c>
      <c r="P1093" s="114" t="str">
        <f>IF(Main[[#This Row],[Tech Start Date]]&lt;1/1/1990,"",IF(Main[[#This Row],[Class]]="C",WORKDAY(Main[[#This Row],[Tech Start Date]],28),IF(Main[[#This Row],[Class]]="B", WORKDAY(Main[[#This Row],[Tech Start Date]],19),IF(Main[[#This Row],[Class]]="A",WORKDAY(Main[[#This Row],[Tech Start Date]],9),""))))</f>
        <v/>
      </c>
      <c r="Q1093" s="129">
        <v>40904</v>
      </c>
      <c r="R1093" s="129"/>
      <c r="S1093" s="139" t="s">
        <v>11</v>
      </c>
      <c r="T1093" s="115" t="s">
        <v>4</v>
      </c>
      <c r="U1093" s="139" t="s">
        <v>12</v>
      </c>
      <c r="V1093" s="139" t="s">
        <v>1914</v>
      </c>
      <c r="W1093" s="139" t="s">
        <v>1922</v>
      </c>
      <c r="X1093" s="139" t="s">
        <v>2843</v>
      </c>
      <c r="Y1093" s="112" t="s">
        <v>4</v>
      </c>
      <c r="Z1093" s="112" t="s">
        <v>4</v>
      </c>
      <c r="AA1093" s="139" t="s">
        <v>2843</v>
      </c>
    </row>
    <row r="1094" spans="1:27" ht="17.25" customHeight="1">
      <c r="A1094" s="69" t="str">
        <f>IF(priority(Main[[#This Row],[Comments]])&lt;&gt;0, priority(Main[[#This Row],[Comments]]),"")</f>
        <v/>
      </c>
      <c r="B1094" s="63" t="s">
        <v>2438</v>
      </c>
      <c r="C1094" s="148" t="s">
        <v>4</v>
      </c>
      <c r="D1094" s="113" t="s">
        <v>2439</v>
      </c>
      <c r="E1094" s="129">
        <v>40820.810810185183</v>
      </c>
      <c r="F1094" s="129"/>
      <c r="G1094" s="69" t="str">
        <f>IF(stdProdLT(Main[[#This Row],[Comments]])=0.1,"N/A",IF(stdProdLT(Main[[#This Row],[Comments]])=0,"",stdProdLT(Main[[#This Row],[Comments]])))</f>
        <v/>
      </c>
      <c r="H1094" s="138" t="str">
        <f>IF(Main[[#This Row],[In Stock Date]]="N/A", "N/A",IF(AND(Main[[#This Row],[In Stock Date]]&lt;&gt;"",Main[[#This Row],[Revised Due Date]]&lt;&gt;"",Main[[#This Row],[In Stock Date]]&lt;&gt;""),Main[[#This Row],[In Stock Date]]-Main[[#This Row],[Revised Due Date]],""))</f>
        <v/>
      </c>
      <c r="I1094" s="139" t="s">
        <v>429</v>
      </c>
      <c r="J1094" s="139" t="s">
        <v>1978</v>
      </c>
      <c r="K1094" s="139" t="s">
        <v>1923</v>
      </c>
      <c r="L1094" s="129"/>
      <c r="M1094" s="114" t="str">
        <f>IF(Main[[#This Row],[Tech Start Date]]&lt;1/1/1990,"",IF(Main[[#This Row],[Class]]="C",WORKDAY(Main[[#This Row],[Tech Start Date]],9),IF(Main[[#This Row],[Class]]="B", WORKDAY(Main[[#This Row],[Tech Start Date]],6),IF(Main[[#This Row],[Class]]="A",WORKDAY(Main[[#This Row],[Tech Start Date]],2),""))))</f>
        <v/>
      </c>
      <c r="N1094" s="114" t="str">
        <f>IF(Main[[#This Row],[Tech Start Date]]&lt;1/1/1990,"",IF(Main[[#This Row],[Class]]="C",WORKDAY(Main[[#This Row],[Tech Start Date]],19),IF(Main[[#This Row],[Class]]="B", WORKDAY(Main[[#This Row],[Tech Start Date]],12),IF(Main[[#This Row],[Class]]="A",WORKDAY(Main[[#This Row],[Tech Start Date]],4),""))))</f>
        <v/>
      </c>
      <c r="O1094" s="114" t="str">
        <f>IF(Main[[#This Row],[Tech Start Date]]&lt;1/1/1990,"",IF(Main[[#This Row],[Class]]="C",WORKDAY(Main[[#This Row],[Tech Start Date]],23),IF(Main[[#This Row],[Class]]="B", WORKDAY(Main[[#This Row],[Tech Start Date]],15),IF(Main[[#This Row],[Class]]="A",WORKDAY(Main[[#This Row],[Tech Start Date]],5),""))))</f>
        <v/>
      </c>
      <c r="P1094" s="114" t="str">
        <f>IF(Main[[#This Row],[Tech Start Date]]&lt;1/1/1990,"",IF(Main[[#This Row],[Class]]="C",WORKDAY(Main[[#This Row],[Tech Start Date]],28),IF(Main[[#This Row],[Class]]="B", WORKDAY(Main[[#This Row],[Tech Start Date]],19),IF(Main[[#This Row],[Class]]="A",WORKDAY(Main[[#This Row],[Tech Start Date]],9),""))))</f>
        <v/>
      </c>
      <c r="Q1094" s="129">
        <v>40847</v>
      </c>
      <c r="R1094" s="129"/>
      <c r="S1094" s="139" t="s">
        <v>6</v>
      </c>
      <c r="T1094" s="115" t="s">
        <v>4</v>
      </c>
      <c r="U1094" s="139" t="s">
        <v>29</v>
      </c>
      <c r="V1094" s="139" t="s">
        <v>1917</v>
      </c>
      <c r="W1094" s="139" t="s">
        <v>1918</v>
      </c>
      <c r="X1094" s="139" t="s">
        <v>30</v>
      </c>
      <c r="Y1094" s="112" t="s">
        <v>2940</v>
      </c>
      <c r="Z1094" s="112" t="s">
        <v>30</v>
      </c>
      <c r="AA1094" s="139" t="s">
        <v>30</v>
      </c>
    </row>
    <row r="1095" spans="1:27" ht="17.25" customHeight="1">
      <c r="A1095" s="69" t="str">
        <f>IF(priority(Main[[#This Row],[Comments]])&lt;&gt;0, priority(Main[[#This Row],[Comments]]),"")</f>
        <v/>
      </c>
      <c r="B1095" s="63" t="s">
        <v>2440</v>
      </c>
      <c r="C1095" s="148" t="s">
        <v>4</v>
      </c>
      <c r="D1095" s="113" t="s">
        <v>2441</v>
      </c>
      <c r="E1095" s="129">
        <v>40834.538703703707</v>
      </c>
      <c r="F1095" s="129"/>
      <c r="G1095" s="69" t="str">
        <f>IF(stdProdLT(Main[[#This Row],[Comments]])=0.1,"N/A",IF(stdProdLT(Main[[#This Row],[Comments]])=0,"",stdProdLT(Main[[#This Row],[Comments]])))</f>
        <v/>
      </c>
      <c r="H1095" s="138" t="str">
        <f>IF(Main[[#This Row],[In Stock Date]]="N/A", "N/A",IF(AND(Main[[#This Row],[In Stock Date]]&lt;&gt;"",Main[[#This Row],[Revised Due Date]]&lt;&gt;"",Main[[#This Row],[In Stock Date]]&lt;&gt;""),Main[[#This Row],[In Stock Date]]-Main[[#This Row],[Revised Due Date]],""))</f>
        <v/>
      </c>
      <c r="I1095" s="139" t="s">
        <v>4</v>
      </c>
      <c r="J1095" s="139" t="s">
        <v>4</v>
      </c>
      <c r="K1095" s="139" t="s">
        <v>4</v>
      </c>
      <c r="L1095" s="129"/>
      <c r="M1095" s="114" t="str">
        <f>IF(Main[[#This Row],[Tech Start Date]]&lt;1/1/1990,"",IF(Main[[#This Row],[Class]]="C",WORKDAY(Main[[#This Row],[Tech Start Date]],9),IF(Main[[#This Row],[Class]]="B", WORKDAY(Main[[#This Row],[Tech Start Date]],6),IF(Main[[#This Row],[Class]]="A",WORKDAY(Main[[#This Row],[Tech Start Date]],2),""))))</f>
        <v/>
      </c>
      <c r="N1095" s="114" t="str">
        <f>IF(Main[[#This Row],[Tech Start Date]]&lt;1/1/1990,"",IF(Main[[#This Row],[Class]]="C",WORKDAY(Main[[#This Row],[Tech Start Date]],19),IF(Main[[#This Row],[Class]]="B", WORKDAY(Main[[#This Row],[Tech Start Date]],12),IF(Main[[#This Row],[Class]]="A",WORKDAY(Main[[#This Row],[Tech Start Date]],4),""))))</f>
        <v/>
      </c>
      <c r="O1095" s="114" t="str">
        <f>IF(Main[[#This Row],[Tech Start Date]]&lt;1/1/1990,"",IF(Main[[#This Row],[Class]]="C",WORKDAY(Main[[#This Row],[Tech Start Date]],23),IF(Main[[#This Row],[Class]]="B", WORKDAY(Main[[#This Row],[Tech Start Date]],15),IF(Main[[#This Row],[Class]]="A",WORKDAY(Main[[#This Row],[Tech Start Date]],5),""))))</f>
        <v/>
      </c>
      <c r="P1095" s="114" t="str">
        <f>IF(Main[[#This Row],[Tech Start Date]]&lt;1/1/1990,"",IF(Main[[#This Row],[Class]]="C",WORKDAY(Main[[#This Row],[Tech Start Date]],28),IF(Main[[#This Row],[Class]]="B", WORKDAY(Main[[#This Row],[Tech Start Date]],19),IF(Main[[#This Row],[Class]]="A",WORKDAY(Main[[#This Row],[Tech Start Date]],9),""))))</f>
        <v/>
      </c>
      <c r="Q1095" s="129"/>
      <c r="R1095" s="129"/>
      <c r="S1095" s="139" t="s">
        <v>6</v>
      </c>
      <c r="T1095" s="115" t="s">
        <v>4</v>
      </c>
      <c r="U1095" s="139" t="s">
        <v>29</v>
      </c>
      <c r="V1095" s="139" t="s">
        <v>1914</v>
      </c>
      <c r="W1095" s="139" t="s">
        <v>1916</v>
      </c>
      <c r="X1095" s="139" t="s">
        <v>306</v>
      </c>
      <c r="Y1095" s="112" t="s">
        <v>4</v>
      </c>
      <c r="Z1095" s="112" t="s">
        <v>4</v>
      </c>
      <c r="AA1095" s="139" t="s">
        <v>4</v>
      </c>
    </row>
    <row r="1096" spans="1:27" ht="17.25" customHeight="1">
      <c r="A1096" s="69" t="str">
        <f>IF(priority(Main[[#This Row],[Comments]])&lt;&gt;0, priority(Main[[#This Row],[Comments]]),"")</f>
        <v/>
      </c>
      <c r="B1096" s="63" t="s">
        <v>2443</v>
      </c>
      <c r="C1096" s="148" t="s">
        <v>2352</v>
      </c>
      <c r="D1096" s="113" t="s">
        <v>2444</v>
      </c>
      <c r="E1096" s="129"/>
      <c r="F1096" s="129">
        <v>40940</v>
      </c>
      <c r="G1096" s="69" t="str">
        <f>IF(stdProdLT(Main[[#This Row],[Comments]])=0.1,"N/A",IF(stdProdLT(Main[[#This Row],[Comments]])=0,"",stdProdLT(Main[[#This Row],[Comments]])))</f>
        <v/>
      </c>
      <c r="H1096" s="138" t="str">
        <f>IF(Main[[#This Row],[In Stock Date]]="N/A", "N/A",IF(AND(Main[[#This Row],[In Stock Date]]&lt;&gt;"",Main[[#This Row],[Revised Due Date]]&lt;&gt;"",Main[[#This Row],[In Stock Date]]&lt;&gt;""),Main[[#This Row],[In Stock Date]]-Main[[#This Row],[Revised Due Date]],""))</f>
        <v/>
      </c>
      <c r="I1096" s="139" t="s">
        <v>4</v>
      </c>
      <c r="J1096" s="139" t="s">
        <v>4</v>
      </c>
      <c r="K1096" s="139" t="s">
        <v>4</v>
      </c>
      <c r="L1096" s="129"/>
      <c r="M1096" s="114" t="str">
        <f>IF(Main[[#This Row],[Tech Start Date]]&lt;1/1/1990,"",IF(Main[[#This Row],[Class]]="C",WORKDAY(Main[[#This Row],[Tech Start Date]],9),IF(Main[[#This Row],[Class]]="B", WORKDAY(Main[[#This Row],[Tech Start Date]],6),IF(Main[[#This Row],[Class]]="A",WORKDAY(Main[[#This Row],[Tech Start Date]],2),""))))</f>
        <v/>
      </c>
      <c r="N1096" s="114" t="str">
        <f>IF(Main[[#This Row],[Tech Start Date]]&lt;1/1/1990,"",IF(Main[[#This Row],[Class]]="C",WORKDAY(Main[[#This Row],[Tech Start Date]],19),IF(Main[[#This Row],[Class]]="B", WORKDAY(Main[[#This Row],[Tech Start Date]],12),IF(Main[[#This Row],[Class]]="A",WORKDAY(Main[[#This Row],[Tech Start Date]],4),""))))</f>
        <v/>
      </c>
      <c r="O1096" s="114" t="str">
        <f>IF(Main[[#This Row],[Tech Start Date]]&lt;1/1/1990,"",IF(Main[[#This Row],[Class]]="C",WORKDAY(Main[[#This Row],[Tech Start Date]],23),IF(Main[[#This Row],[Class]]="B", WORKDAY(Main[[#This Row],[Tech Start Date]],15),IF(Main[[#This Row],[Class]]="A",WORKDAY(Main[[#This Row],[Tech Start Date]],5),""))))</f>
        <v/>
      </c>
      <c r="P1096" s="114" t="str">
        <f>IF(Main[[#This Row],[Tech Start Date]]&lt;1/1/1990,"",IF(Main[[#This Row],[Class]]="C",WORKDAY(Main[[#This Row],[Tech Start Date]],28),IF(Main[[#This Row],[Class]]="B", WORKDAY(Main[[#This Row],[Tech Start Date]],19),IF(Main[[#This Row],[Class]]="A",WORKDAY(Main[[#This Row],[Tech Start Date]],9),""))))</f>
        <v/>
      </c>
      <c r="Q1096" s="129">
        <v>40878</v>
      </c>
      <c r="R1096" s="129"/>
      <c r="S1096" s="139" t="s">
        <v>11</v>
      </c>
      <c r="T1096" s="115" t="s">
        <v>4</v>
      </c>
      <c r="U1096" s="139" t="s">
        <v>14</v>
      </c>
      <c r="V1096" s="139" t="s">
        <v>1924</v>
      </c>
      <c r="W1096" s="139" t="s">
        <v>1922</v>
      </c>
      <c r="X1096" s="139" t="s">
        <v>2848</v>
      </c>
      <c r="Y1096" s="112" t="s">
        <v>2979</v>
      </c>
      <c r="Z1096" s="112" t="s">
        <v>4</v>
      </c>
      <c r="AA1096" s="139" t="s">
        <v>2848</v>
      </c>
    </row>
    <row r="1097" spans="1:27" ht="17.25" customHeight="1">
      <c r="A1097" s="69" t="str">
        <f>IF(priority(Main[[#This Row],[Comments]])&lt;&gt;0, priority(Main[[#This Row],[Comments]]),"")</f>
        <v/>
      </c>
      <c r="B1097" s="63" t="s">
        <v>1985</v>
      </c>
      <c r="C1097" s="148" t="s">
        <v>4</v>
      </c>
      <c r="D1097" s="113" t="s">
        <v>2446</v>
      </c>
      <c r="E1097" s="129">
        <v>40737.702951388892</v>
      </c>
      <c r="F1097" s="129">
        <v>40755</v>
      </c>
      <c r="G1097" s="69" t="str">
        <f>IF(stdProdLT(Main[[#This Row],[Comments]])=0.1,"N/A",IF(stdProdLT(Main[[#This Row],[Comments]])=0,"",stdProdLT(Main[[#This Row],[Comments]])))</f>
        <v/>
      </c>
      <c r="H1097" s="138" t="str">
        <f>IF(Main[[#This Row],[In Stock Date]]="N/A", "N/A",IF(AND(Main[[#This Row],[In Stock Date]]&lt;&gt;"",Main[[#This Row],[Revised Due Date]]&lt;&gt;"",Main[[#This Row],[In Stock Date]]&lt;&gt;""),Main[[#This Row],[In Stock Date]]-Main[[#This Row],[Revised Due Date]],""))</f>
        <v/>
      </c>
      <c r="I1097" s="139" t="s">
        <v>530</v>
      </c>
      <c r="J1097" s="139" t="s">
        <v>21</v>
      </c>
      <c r="K1097" s="139" t="s">
        <v>1923</v>
      </c>
      <c r="L1097" s="129"/>
      <c r="M1097" s="114" t="str">
        <f>IF(Main[[#This Row],[Tech Start Date]]&lt;1/1/1990,"",IF(Main[[#This Row],[Class]]="C",WORKDAY(Main[[#This Row],[Tech Start Date]],9),IF(Main[[#This Row],[Class]]="B", WORKDAY(Main[[#This Row],[Tech Start Date]],6),IF(Main[[#This Row],[Class]]="A",WORKDAY(Main[[#This Row],[Tech Start Date]],2),""))))</f>
        <v/>
      </c>
      <c r="N1097" s="114" t="str">
        <f>IF(Main[[#This Row],[Tech Start Date]]&lt;1/1/1990,"",IF(Main[[#This Row],[Class]]="C",WORKDAY(Main[[#This Row],[Tech Start Date]],19),IF(Main[[#This Row],[Class]]="B", WORKDAY(Main[[#This Row],[Tech Start Date]],12),IF(Main[[#This Row],[Class]]="A",WORKDAY(Main[[#This Row],[Tech Start Date]],4),""))))</f>
        <v/>
      </c>
      <c r="O1097" s="114" t="str">
        <f>IF(Main[[#This Row],[Tech Start Date]]&lt;1/1/1990,"",IF(Main[[#This Row],[Class]]="C",WORKDAY(Main[[#This Row],[Tech Start Date]],23),IF(Main[[#This Row],[Class]]="B", WORKDAY(Main[[#This Row],[Tech Start Date]],15),IF(Main[[#This Row],[Class]]="A",WORKDAY(Main[[#This Row],[Tech Start Date]],5),""))))</f>
        <v/>
      </c>
      <c r="P1097" s="114" t="str">
        <f>IF(Main[[#This Row],[Tech Start Date]]&lt;1/1/1990,"",IF(Main[[#This Row],[Class]]="C",WORKDAY(Main[[#This Row],[Tech Start Date]],28),IF(Main[[#This Row],[Class]]="B", WORKDAY(Main[[#This Row],[Tech Start Date]],19),IF(Main[[#This Row],[Class]]="A",WORKDAY(Main[[#This Row],[Tech Start Date]],9),""))))</f>
        <v/>
      </c>
      <c r="Q1097" s="129">
        <v>40770</v>
      </c>
      <c r="R1097" s="129"/>
      <c r="S1097" s="139" t="s">
        <v>6</v>
      </c>
      <c r="T1097" s="115" t="s">
        <v>4</v>
      </c>
      <c r="U1097" s="139" t="s">
        <v>29</v>
      </c>
      <c r="V1097" s="139" t="s">
        <v>1924</v>
      </c>
      <c r="W1097" s="139" t="s">
        <v>1918</v>
      </c>
      <c r="X1097" s="139" t="s">
        <v>2841</v>
      </c>
      <c r="Y1097" s="112" t="s">
        <v>2971</v>
      </c>
      <c r="Z1097" s="112" t="s">
        <v>30</v>
      </c>
      <c r="AA1097" s="139" t="s">
        <v>2841</v>
      </c>
    </row>
    <row r="1098" spans="1:27" ht="17.25" customHeight="1">
      <c r="A1098" s="69" t="str">
        <f>IF(priority(Main[[#This Row],[Comments]])&lt;&gt;0, priority(Main[[#This Row],[Comments]]),"")</f>
        <v/>
      </c>
      <c r="B1098" s="63" t="s">
        <v>1313</v>
      </c>
      <c r="C1098" s="148" t="s">
        <v>4</v>
      </c>
      <c r="D1098" s="113" t="s">
        <v>2304</v>
      </c>
      <c r="E1098" s="129">
        <v>40627.285358796296</v>
      </c>
      <c r="F1098" s="129"/>
      <c r="G1098" s="69" t="str">
        <f>IF(stdProdLT(Main[[#This Row],[Comments]])=0.1,"N/A",IF(stdProdLT(Main[[#This Row],[Comments]])=0,"",stdProdLT(Main[[#This Row],[Comments]])))</f>
        <v/>
      </c>
      <c r="H1098" s="138" t="str">
        <f>IF(Main[[#This Row],[In Stock Date]]="N/A", "N/A",IF(AND(Main[[#This Row],[In Stock Date]]&lt;&gt;"",Main[[#This Row],[Revised Due Date]]&lt;&gt;"",Main[[#This Row],[In Stock Date]]&lt;&gt;""),Main[[#This Row],[In Stock Date]]-Main[[#This Row],[Revised Due Date]],""))</f>
        <v/>
      </c>
      <c r="I1098" s="139" t="s">
        <v>561</v>
      </c>
      <c r="J1098" s="139" t="s">
        <v>21</v>
      </c>
      <c r="K1098" s="140" t="s">
        <v>1923</v>
      </c>
      <c r="L1098" s="129"/>
      <c r="M1098" s="114" t="str">
        <f>IF(Main[[#This Row],[Tech Start Date]]&lt;1/1/1990,"",IF(Main[[#This Row],[Class]]="C",WORKDAY(Main[[#This Row],[Tech Start Date]],9),IF(Main[[#This Row],[Class]]="B", WORKDAY(Main[[#This Row],[Tech Start Date]],6),IF(Main[[#This Row],[Class]]="A",WORKDAY(Main[[#This Row],[Tech Start Date]],2),""))))</f>
        <v/>
      </c>
      <c r="N1098" s="114" t="str">
        <f>IF(Main[[#This Row],[Tech Start Date]]&lt;1/1/1990,"",IF(Main[[#This Row],[Class]]="C",WORKDAY(Main[[#This Row],[Tech Start Date]],19),IF(Main[[#This Row],[Class]]="B", WORKDAY(Main[[#This Row],[Tech Start Date]],12),IF(Main[[#This Row],[Class]]="A",WORKDAY(Main[[#This Row],[Tech Start Date]],4),""))))</f>
        <v/>
      </c>
      <c r="O1098" s="114" t="str">
        <f>IF(Main[[#This Row],[Tech Start Date]]&lt;1/1/1990,"",IF(Main[[#This Row],[Class]]="C",WORKDAY(Main[[#This Row],[Tech Start Date]],23),IF(Main[[#This Row],[Class]]="B", WORKDAY(Main[[#This Row],[Tech Start Date]],15),IF(Main[[#This Row],[Class]]="A",WORKDAY(Main[[#This Row],[Tech Start Date]],5),""))))</f>
        <v/>
      </c>
      <c r="P1098" s="114" t="str">
        <f>IF(Main[[#This Row],[Tech Start Date]]&lt;1/1/1990,"",IF(Main[[#This Row],[Class]]="C",WORKDAY(Main[[#This Row],[Tech Start Date]],28),IF(Main[[#This Row],[Class]]="B", WORKDAY(Main[[#This Row],[Tech Start Date]],19),IF(Main[[#This Row],[Class]]="A",WORKDAY(Main[[#This Row],[Tech Start Date]],9),""))))</f>
        <v/>
      </c>
      <c r="Q1098" s="129">
        <v>40658</v>
      </c>
      <c r="R1098" s="129"/>
      <c r="S1098" s="139" t="s">
        <v>6</v>
      </c>
      <c r="T1098" s="115" t="s">
        <v>4</v>
      </c>
      <c r="U1098" s="139" t="s">
        <v>29</v>
      </c>
      <c r="V1098" s="139" t="s">
        <v>1914</v>
      </c>
      <c r="W1098" s="139" t="s">
        <v>1916</v>
      </c>
      <c r="X1098" s="139" t="s">
        <v>2818</v>
      </c>
      <c r="Y1098" s="112" t="s">
        <v>2929</v>
      </c>
      <c r="Z1098" s="112" t="s">
        <v>530</v>
      </c>
      <c r="AA1098" s="139" t="s">
        <v>2818</v>
      </c>
    </row>
    <row r="1099" spans="1:27" ht="17.25" customHeight="1">
      <c r="A1099" s="69" t="str">
        <f>IF(priority(Main[[#This Row],[Comments]])&lt;&gt;0, priority(Main[[#This Row],[Comments]]),"")</f>
        <v/>
      </c>
      <c r="B1099" s="63" t="s">
        <v>2435</v>
      </c>
      <c r="C1099" s="148" t="s">
        <v>4</v>
      </c>
      <c r="D1099" s="113" t="s">
        <v>2436</v>
      </c>
      <c r="E1099" s="129"/>
      <c r="F1099" s="129"/>
      <c r="G1099" s="69" t="str">
        <f>IF(stdProdLT(Main[[#This Row],[Comments]])=0.1,"N/A",IF(stdProdLT(Main[[#This Row],[Comments]])=0,"",stdProdLT(Main[[#This Row],[Comments]])))</f>
        <v/>
      </c>
      <c r="H1099" s="138" t="str">
        <f>IF(Main[[#This Row],[In Stock Date]]="N/A", "N/A",IF(AND(Main[[#This Row],[In Stock Date]]&lt;&gt;"",Main[[#This Row],[Revised Due Date]]&lt;&gt;"",Main[[#This Row],[In Stock Date]]&lt;&gt;""),Main[[#This Row],[In Stock Date]]-Main[[#This Row],[Revised Due Date]],""))</f>
        <v/>
      </c>
      <c r="I1099" s="139" t="s">
        <v>4</v>
      </c>
      <c r="J1099" s="139" t="s">
        <v>4</v>
      </c>
      <c r="K1099" s="139" t="s">
        <v>4</v>
      </c>
      <c r="L1099" s="129"/>
      <c r="M1099" s="114" t="str">
        <f>IF(Main[[#This Row],[Tech Start Date]]&lt;1/1/1990,"",IF(Main[[#This Row],[Class]]="C",WORKDAY(Main[[#This Row],[Tech Start Date]],9),IF(Main[[#This Row],[Class]]="B", WORKDAY(Main[[#This Row],[Tech Start Date]],6),IF(Main[[#This Row],[Class]]="A",WORKDAY(Main[[#This Row],[Tech Start Date]],2),""))))</f>
        <v/>
      </c>
      <c r="N1099" s="114" t="str">
        <f>IF(Main[[#This Row],[Tech Start Date]]&lt;1/1/1990,"",IF(Main[[#This Row],[Class]]="C",WORKDAY(Main[[#This Row],[Tech Start Date]],19),IF(Main[[#This Row],[Class]]="B", WORKDAY(Main[[#This Row],[Tech Start Date]],12),IF(Main[[#This Row],[Class]]="A",WORKDAY(Main[[#This Row],[Tech Start Date]],4),""))))</f>
        <v/>
      </c>
      <c r="O1099" s="114" t="str">
        <f>IF(Main[[#This Row],[Tech Start Date]]&lt;1/1/1990,"",IF(Main[[#This Row],[Class]]="C",WORKDAY(Main[[#This Row],[Tech Start Date]],23),IF(Main[[#This Row],[Class]]="B", WORKDAY(Main[[#This Row],[Tech Start Date]],15),IF(Main[[#This Row],[Class]]="A",WORKDAY(Main[[#This Row],[Tech Start Date]],5),""))))</f>
        <v/>
      </c>
      <c r="P1099" s="114" t="str">
        <f>IF(Main[[#This Row],[Tech Start Date]]&lt;1/1/1990,"",IF(Main[[#This Row],[Class]]="C",WORKDAY(Main[[#This Row],[Tech Start Date]],28),IF(Main[[#This Row],[Class]]="B", WORKDAY(Main[[#This Row],[Tech Start Date]],19),IF(Main[[#This Row],[Class]]="A",WORKDAY(Main[[#This Row],[Tech Start Date]],9),""))))</f>
        <v/>
      </c>
      <c r="Q1099" s="129">
        <v>40877</v>
      </c>
      <c r="R1099" s="129"/>
      <c r="S1099" s="139" t="s">
        <v>6</v>
      </c>
      <c r="T1099" s="115" t="s">
        <v>4</v>
      </c>
      <c r="U1099" s="139" t="s">
        <v>14</v>
      </c>
      <c r="V1099" s="139" t="s">
        <v>1914</v>
      </c>
      <c r="W1099" s="139" t="s">
        <v>1918</v>
      </c>
      <c r="X1099" s="139" t="s">
        <v>2821</v>
      </c>
      <c r="Y1099" s="112" t="s">
        <v>2936</v>
      </c>
      <c r="Z1099" s="112" t="s">
        <v>4</v>
      </c>
      <c r="AA1099" s="139" t="s">
        <v>2821</v>
      </c>
    </row>
    <row r="1100" spans="1:27" ht="17.25" customHeight="1">
      <c r="A1100" s="69" t="str">
        <f>IF(priority(Main[[#This Row],[Comments]])&lt;&gt;0, priority(Main[[#This Row],[Comments]]),"")</f>
        <v/>
      </c>
      <c r="B1100" s="63" t="s">
        <v>2437</v>
      </c>
      <c r="C1100" s="148" t="s">
        <v>2354</v>
      </c>
      <c r="D1100" s="113" t="s">
        <v>2355</v>
      </c>
      <c r="E1100" s="129"/>
      <c r="F1100" s="129">
        <v>41008</v>
      </c>
      <c r="G1100" s="69" t="str">
        <f>IF(stdProdLT(Main[[#This Row],[Comments]])=0.1,"N/A",IF(stdProdLT(Main[[#This Row],[Comments]])=0,"",stdProdLT(Main[[#This Row],[Comments]])))</f>
        <v/>
      </c>
      <c r="H1100" s="138" t="str">
        <f>IF(Main[[#This Row],[In Stock Date]]="N/A", "N/A",IF(AND(Main[[#This Row],[In Stock Date]]&lt;&gt;"",Main[[#This Row],[Revised Due Date]]&lt;&gt;"",Main[[#This Row],[In Stock Date]]&lt;&gt;""),Main[[#This Row],[In Stock Date]]-Main[[#This Row],[Revised Due Date]],""))</f>
        <v/>
      </c>
      <c r="I1100" s="139" t="s">
        <v>4</v>
      </c>
      <c r="J1100" s="139" t="s">
        <v>4</v>
      </c>
      <c r="K1100" s="139" t="s">
        <v>4</v>
      </c>
      <c r="L1100" s="129"/>
      <c r="M1100" s="114" t="str">
        <f>IF(Main[[#This Row],[Tech Start Date]]&lt;1/1/1990,"",IF(Main[[#This Row],[Class]]="C",WORKDAY(Main[[#This Row],[Tech Start Date]],9),IF(Main[[#This Row],[Class]]="B", WORKDAY(Main[[#This Row],[Tech Start Date]],6),IF(Main[[#This Row],[Class]]="A",WORKDAY(Main[[#This Row],[Tech Start Date]],2),""))))</f>
        <v/>
      </c>
      <c r="N1100" s="114" t="str">
        <f>IF(Main[[#This Row],[Tech Start Date]]&lt;1/1/1990,"",IF(Main[[#This Row],[Class]]="C",WORKDAY(Main[[#This Row],[Tech Start Date]],19),IF(Main[[#This Row],[Class]]="B", WORKDAY(Main[[#This Row],[Tech Start Date]],12),IF(Main[[#This Row],[Class]]="A",WORKDAY(Main[[#This Row],[Tech Start Date]],4),""))))</f>
        <v/>
      </c>
      <c r="O1100" s="114" t="str">
        <f>IF(Main[[#This Row],[Tech Start Date]]&lt;1/1/1990,"",IF(Main[[#This Row],[Class]]="C",WORKDAY(Main[[#This Row],[Tech Start Date]],23),IF(Main[[#This Row],[Class]]="B", WORKDAY(Main[[#This Row],[Tech Start Date]],15),IF(Main[[#This Row],[Class]]="A",WORKDAY(Main[[#This Row],[Tech Start Date]],5),""))))</f>
        <v/>
      </c>
      <c r="P1100" s="114" t="str">
        <f>IF(Main[[#This Row],[Tech Start Date]]&lt;1/1/1990,"",IF(Main[[#This Row],[Class]]="C",WORKDAY(Main[[#This Row],[Tech Start Date]],28),IF(Main[[#This Row],[Class]]="B", WORKDAY(Main[[#This Row],[Tech Start Date]],19),IF(Main[[#This Row],[Class]]="A",WORKDAY(Main[[#This Row],[Tech Start Date]],9),""))))</f>
        <v/>
      </c>
      <c r="Q1100" s="129">
        <v>40826</v>
      </c>
      <c r="R1100" s="129"/>
      <c r="S1100" s="139" t="s">
        <v>11</v>
      </c>
      <c r="T1100" s="115" t="s">
        <v>4</v>
      </c>
      <c r="U1100" s="139" t="s">
        <v>12</v>
      </c>
      <c r="V1100" s="139" t="s">
        <v>1917</v>
      </c>
      <c r="W1100" s="139" t="s">
        <v>1920</v>
      </c>
      <c r="X1100" s="139" t="s">
        <v>2843</v>
      </c>
      <c r="Y1100" s="112" t="s">
        <v>4</v>
      </c>
      <c r="Z1100" s="112" t="s">
        <v>4</v>
      </c>
      <c r="AA1100" s="139" t="s">
        <v>2843</v>
      </c>
    </row>
    <row r="1101" spans="1:27" ht="17.25" customHeight="1">
      <c r="A1101" s="69" t="str">
        <f>IF(priority(Main[[#This Row],[Comments]])&lt;&gt;0, priority(Main[[#This Row],[Comments]]),"")</f>
        <v/>
      </c>
      <c r="B1101" s="63" t="s">
        <v>3527</v>
      </c>
      <c r="C1101" s="148" t="s">
        <v>4</v>
      </c>
      <c r="D1101" s="113" t="s">
        <v>3528</v>
      </c>
      <c r="E1101" s="129">
        <v>40948.6487037037</v>
      </c>
      <c r="F1101" s="129"/>
      <c r="G1101" s="69" t="str">
        <f>IF(stdProdLT(Main[[#This Row],[Comments]])=0.1,"N/A",IF(stdProdLT(Main[[#This Row],[Comments]])=0,"",stdProdLT(Main[[#This Row],[Comments]])))</f>
        <v/>
      </c>
      <c r="H1101" s="138" t="str">
        <f>IF(Main[[#This Row],[In Stock Date]]="N/A", "N/A",IF(AND(Main[[#This Row],[In Stock Date]]&lt;&gt;"",Main[[#This Row],[Revised Due Date]]&lt;&gt;"",Main[[#This Row],[In Stock Date]]&lt;&gt;""),Main[[#This Row],[In Stock Date]]-Main[[#This Row],[Revised Due Date]],""))</f>
        <v/>
      </c>
      <c r="I1101" s="139" t="s">
        <v>530</v>
      </c>
      <c r="J1101" s="139" t="s">
        <v>28</v>
      </c>
      <c r="K1101" s="140" t="s">
        <v>1923</v>
      </c>
      <c r="L1101" s="129"/>
      <c r="M1101" s="114" t="str">
        <f>IF(Main[[#This Row],[Tech Start Date]]&lt;1/1/1990,"",IF(Main[[#This Row],[Class]]="C",WORKDAY(Main[[#This Row],[Tech Start Date]],9),IF(Main[[#This Row],[Class]]="B", WORKDAY(Main[[#This Row],[Tech Start Date]],6),IF(Main[[#This Row],[Class]]="A",WORKDAY(Main[[#This Row],[Tech Start Date]],2),""))))</f>
        <v/>
      </c>
      <c r="N1101" s="114" t="str">
        <f>IF(Main[[#This Row],[Tech Start Date]]&lt;1/1/1990,"",IF(Main[[#This Row],[Class]]="C",WORKDAY(Main[[#This Row],[Tech Start Date]],19),IF(Main[[#This Row],[Class]]="B", WORKDAY(Main[[#This Row],[Tech Start Date]],12),IF(Main[[#This Row],[Class]]="A",WORKDAY(Main[[#This Row],[Tech Start Date]],4),""))))</f>
        <v/>
      </c>
      <c r="O1101" s="114" t="str">
        <f>IF(Main[[#This Row],[Tech Start Date]]&lt;1/1/1990,"",IF(Main[[#This Row],[Class]]="C",WORKDAY(Main[[#This Row],[Tech Start Date]],23),IF(Main[[#This Row],[Class]]="B", WORKDAY(Main[[#This Row],[Tech Start Date]],15),IF(Main[[#This Row],[Class]]="A",WORKDAY(Main[[#This Row],[Tech Start Date]],5),""))))</f>
        <v/>
      </c>
      <c r="P1101" s="114" t="str">
        <f>IF(Main[[#This Row],[Tech Start Date]]&lt;1/1/1990,"",IF(Main[[#This Row],[Class]]="C",WORKDAY(Main[[#This Row],[Tech Start Date]],28),IF(Main[[#This Row],[Class]]="B", WORKDAY(Main[[#This Row],[Tech Start Date]],19),IF(Main[[#This Row],[Class]]="A",WORKDAY(Main[[#This Row],[Tech Start Date]],9),""))))</f>
        <v/>
      </c>
      <c r="Q1101" s="129">
        <v>40949</v>
      </c>
      <c r="R1101" s="129"/>
      <c r="S1101" s="139" t="s">
        <v>6</v>
      </c>
      <c r="T1101" s="115" t="s">
        <v>4</v>
      </c>
      <c r="U1101" s="139" t="s">
        <v>29</v>
      </c>
      <c r="V1101" s="139" t="s">
        <v>1917</v>
      </c>
      <c r="W1101" s="139" t="s">
        <v>1916</v>
      </c>
      <c r="X1101" s="139" t="s">
        <v>2895</v>
      </c>
      <c r="Y1101" s="112" t="s">
        <v>3060</v>
      </c>
      <c r="Z1101" s="112" t="s">
        <v>30</v>
      </c>
      <c r="AA1101" s="139" t="s">
        <v>2895</v>
      </c>
    </row>
    <row r="1102" spans="1:27" ht="17.25" customHeight="1">
      <c r="A1102" s="69" t="str">
        <f>IF(priority(Main[[#This Row],[Comments]])&lt;&gt;0, priority(Main[[#This Row],[Comments]]),"")</f>
        <v/>
      </c>
      <c r="B1102" s="63" t="s">
        <v>2066</v>
      </c>
      <c r="C1102" s="148" t="s">
        <v>4</v>
      </c>
      <c r="D1102" s="113" t="s">
        <v>2447</v>
      </c>
      <c r="E1102" s="129">
        <v>40772.422800925924</v>
      </c>
      <c r="F1102" s="129"/>
      <c r="G1102" s="69" t="str">
        <f>IF(stdProdLT(Main[[#This Row],[Comments]])=0.1,"N/A",IF(stdProdLT(Main[[#This Row],[Comments]])=0,"",stdProdLT(Main[[#This Row],[Comments]])))</f>
        <v/>
      </c>
      <c r="H1102" s="138" t="str">
        <f>IF(Main[[#This Row],[In Stock Date]]="N/A", "N/A",IF(AND(Main[[#This Row],[In Stock Date]]&lt;&gt;"",Main[[#This Row],[Revised Due Date]]&lt;&gt;"",Main[[#This Row],[In Stock Date]]&lt;&gt;""),Main[[#This Row],[In Stock Date]]-Main[[#This Row],[Revised Due Date]],""))</f>
        <v/>
      </c>
      <c r="I1102" s="139" t="s">
        <v>912</v>
      </c>
      <c r="J1102" s="139" t="s">
        <v>52</v>
      </c>
      <c r="K1102" s="139" t="s">
        <v>4</v>
      </c>
      <c r="L1102" s="129"/>
      <c r="M1102" s="114" t="str">
        <f>IF(Main[[#This Row],[Tech Start Date]]&lt;1/1/1990,"",IF(Main[[#This Row],[Class]]="C",WORKDAY(Main[[#This Row],[Tech Start Date]],9),IF(Main[[#This Row],[Class]]="B", WORKDAY(Main[[#This Row],[Tech Start Date]],6),IF(Main[[#This Row],[Class]]="A",WORKDAY(Main[[#This Row],[Tech Start Date]],2),""))))</f>
        <v/>
      </c>
      <c r="N1102" s="114" t="str">
        <f>IF(Main[[#This Row],[Tech Start Date]]&lt;1/1/1990,"",IF(Main[[#This Row],[Class]]="C",WORKDAY(Main[[#This Row],[Tech Start Date]],19),IF(Main[[#This Row],[Class]]="B", WORKDAY(Main[[#This Row],[Tech Start Date]],12),IF(Main[[#This Row],[Class]]="A",WORKDAY(Main[[#This Row],[Tech Start Date]],4),""))))</f>
        <v/>
      </c>
      <c r="O1102" s="114" t="str">
        <f>IF(Main[[#This Row],[Tech Start Date]]&lt;1/1/1990,"",IF(Main[[#This Row],[Class]]="C",WORKDAY(Main[[#This Row],[Tech Start Date]],23),IF(Main[[#This Row],[Class]]="B", WORKDAY(Main[[#This Row],[Tech Start Date]],15),IF(Main[[#This Row],[Class]]="A",WORKDAY(Main[[#This Row],[Tech Start Date]],5),""))))</f>
        <v/>
      </c>
      <c r="P1102" s="114" t="str">
        <f>IF(Main[[#This Row],[Tech Start Date]]&lt;1/1/1990,"",IF(Main[[#This Row],[Class]]="C",WORKDAY(Main[[#This Row],[Tech Start Date]],28),IF(Main[[#This Row],[Class]]="B", WORKDAY(Main[[#This Row],[Tech Start Date]],19),IF(Main[[#This Row],[Class]]="A",WORKDAY(Main[[#This Row],[Tech Start Date]],9),""))))</f>
        <v/>
      </c>
      <c r="Q1102" s="129"/>
      <c r="R1102" s="129"/>
      <c r="S1102" s="139" t="s">
        <v>6</v>
      </c>
      <c r="T1102" s="115" t="s">
        <v>4</v>
      </c>
      <c r="U1102" s="139" t="s">
        <v>29</v>
      </c>
      <c r="V1102" s="139" t="s">
        <v>1914</v>
      </c>
      <c r="W1102" s="139" t="s">
        <v>1918</v>
      </c>
      <c r="X1102" s="139" t="s">
        <v>937</v>
      </c>
      <c r="Y1102" s="112" t="s">
        <v>2984</v>
      </c>
      <c r="Z1102" s="112" t="s">
        <v>129</v>
      </c>
      <c r="AA1102" s="139" t="s">
        <v>937</v>
      </c>
    </row>
    <row r="1103" spans="1:27" ht="17.25" customHeight="1">
      <c r="A1103" s="69" t="str">
        <f>IF(priority(Main[[#This Row],[Comments]])&lt;&gt;0, priority(Main[[#This Row],[Comments]]),"")</f>
        <v/>
      </c>
      <c r="B1103" s="63" t="s">
        <v>2448</v>
      </c>
      <c r="C1103" s="148" t="s">
        <v>4</v>
      </c>
      <c r="D1103" s="113" t="s">
        <v>2449</v>
      </c>
      <c r="E1103" s="129">
        <v>40834.417719907404</v>
      </c>
      <c r="F1103" s="129"/>
      <c r="G1103" s="69" t="str">
        <f>IF(stdProdLT(Main[[#This Row],[Comments]])=0.1,"N/A",IF(stdProdLT(Main[[#This Row],[Comments]])=0,"",stdProdLT(Main[[#This Row],[Comments]])))</f>
        <v/>
      </c>
      <c r="H1103" s="138" t="str">
        <f>IF(Main[[#This Row],[In Stock Date]]="N/A", "N/A",IF(AND(Main[[#This Row],[In Stock Date]]&lt;&gt;"",Main[[#This Row],[Revised Due Date]]&lt;&gt;"",Main[[#This Row],[In Stock Date]]&lt;&gt;""),Main[[#This Row],[In Stock Date]]-Main[[#This Row],[Revised Due Date]],""))</f>
        <v/>
      </c>
      <c r="I1103" s="139" t="s">
        <v>4</v>
      </c>
      <c r="J1103" s="139" t="s">
        <v>4</v>
      </c>
      <c r="K1103" s="139" t="s">
        <v>4</v>
      </c>
      <c r="L1103" s="129"/>
      <c r="M1103" s="114" t="str">
        <f>IF(Main[[#This Row],[Tech Start Date]]&lt;1/1/1990,"",IF(Main[[#This Row],[Class]]="C",WORKDAY(Main[[#This Row],[Tech Start Date]],9),IF(Main[[#This Row],[Class]]="B", WORKDAY(Main[[#This Row],[Tech Start Date]],6),IF(Main[[#This Row],[Class]]="A",WORKDAY(Main[[#This Row],[Tech Start Date]],2),""))))</f>
        <v/>
      </c>
      <c r="N1103" s="114" t="str">
        <f>IF(Main[[#This Row],[Tech Start Date]]&lt;1/1/1990,"",IF(Main[[#This Row],[Class]]="C",WORKDAY(Main[[#This Row],[Tech Start Date]],19),IF(Main[[#This Row],[Class]]="B", WORKDAY(Main[[#This Row],[Tech Start Date]],12),IF(Main[[#This Row],[Class]]="A",WORKDAY(Main[[#This Row],[Tech Start Date]],4),""))))</f>
        <v/>
      </c>
      <c r="O1103" s="114" t="str">
        <f>IF(Main[[#This Row],[Tech Start Date]]&lt;1/1/1990,"",IF(Main[[#This Row],[Class]]="C",WORKDAY(Main[[#This Row],[Tech Start Date]],23),IF(Main[[#This Row],[Class]]="B", WORKDAY(Main[[#This Row],[Tech Start Date]],15),IF(Main[[#This Row],[Class]]="A",WORKDAY(Main[[#This Row],[Tech Start Date]],5),""))))</f>
        <v/>
      </c>
      <c r="P1103" s="114" t="str">
        <f>IF(Main[[#This Row],[Tech Start Date]]&lt;1/1/1990,"",IF(Main[[#This Row],[Class]]="C",WORKDAY(Main[[#This Row],[Tech Start Date]],28),IF(Main[[#This Row],[Class]]="B", WORKDAY(Main[[#This Row],[Tech Start Date]],19),IF(Main[[#This Row],[Class]]="A",WORKDAY(Main[[#This Row],[Tech Start Date]],9),""))))</f>
        <v/>
      </c>
      <c r="Q1103" s="129"/>
      <c r="R1103" s="129"/>
      <c r="S1103" s="139" t="s">
        <v>6</v>
      </c>
      <c r="T1103" s="115" t="s">
        <v>4</v>
      </c>
      <c r="U1103" s="139" t="s">
        <v>29</v>
      </c>
      <c r="V1103" s="139" t="s">
        <v>1917</v>
      </c>
      <c r="W1103" s="139" t="s">
        <v>1918</v>
      </c>
      <c r="X1103" s="139" t="s">
        <v>306</v>
      </c>
      <c r="Y1103" s="112" t="s">
        <v>4</v>
      </c>
      <c r="Z1103" s="112" t="s">
        <v>4</v>
      </c>
      <c r="AA1103" s="139" t="s">
        <v>4</v>
      </c>
    </row>
    <row r="1104" spans="1:27" ht="17.25" customHeight="1">
      <c r="A1104" s="69" t="str">
        <f>IF(priority(Main[[#This Row],[Comments]])&lt;&gt;0, priority(Main[[#This Row],[Comments]]),"")</f>
        <v/>
      </c>
      <c r="B1104" s="63" t="s">
        <v>2242</v>
      </c>
      <c r="C1104" s="148" t="s">
        <v>4</v>
      </c>
      <c r="D1104" s="113" t="s">
        <v>2450</v>
      </c>
      <c r="E1104" s="129">
        <v>40798.432673611111</v>
      </c>
      <c r="F1104" s="129"/>
      <c r="G1104" s="69" t="str">
        <f>IF(stdProdLT(Main[[#This Row],[Comments]])=0.1,"N/A",IF(stdProdLT(Main[[#This Row],[Comments]])=0,"",stdProdLT(Main[[#This Row],[Comments]])))</f>
        <v/>
      </c>
      <c r="H1104" s="138" t="str">
        <f>IF(Main[[#This Row],[In Stock Date]]="N/A", "N/A",IF(AND(Main[[#This Row],[In Stock Date]]&lt;&gt;"",Main[[#This Row],[Revised Due Date]]&lt;&gt;"",Main[[#This Row],[In Stock Date]]&lt;&gt;""),Main[[#This Row],[In Stock Date]]-Main[[#This Row],[Revised Due Date]],""))</f>
        <v/>
      </c>
      <c r="I1104" s="139" t="s">
        <v>912</v>
      </c>
      <c r="J1104" s="139" t="s">
        <v>52</v>
      </c>
      <c r="K1104" s="139" t="s">
        <v>4</v>
      </c>
      <c r="L1104" s="129"/>
      <c r="M1104" s="114" t="str">
        <f>IF(Main[[#This Row],[Tech Start Date]]&lt;1/1/1990,"",IF(Main[[#This Row],[Class]]="C",WORKDAY(Main[[#This Row],[Tech Start Date]],9),IF(Main[[#This Row],[Class]]="B", WORKDAY(Main[[#This Row],[Tech Start Date]],6),IF(Main[[#This Row],[Class]]="A",WORKDAY(Main[[#This Row],[Tech Start Date]],2),""))))</f>
        <v/>
      </c>
      <c r="N1104" s="114" t="str">
        <f>IF(Main[[#This Row],[Tech Start Date]]&lt;1/1/1990,"",IF(Main[[#This Row],[Class]]="C",WORKDAY(Main[[#This Row],[Tech Start Date]],19),IF(Main[[#This Row],[Class]]="B", WORKDAY(Main[[#This Row],[Tech Start Date]],12),IF(Main[[#This Row],[Class]]="A",WORKDAY(Main[[#This Row],[Tech Start Date]],4),""))))</f>
        <v/>
      </c>
      <c r="O1104" s="114" t="str">
        <f>IF(Main[[#This Row],[Tech Start Date]]&lt;1/1/1990,"",IF(Main[[#This Row],[Class]]="C",WORKDAY(Main[[#This Row],[Tech Start Date]],23),IF(Main[[#This Row],[Class]]="B", WORKDAY(Main[[#This Row],[Tech Start Date]],15),IF(Main[[#This Row],[Class]]="A",WORKDAY(Main[[#This Row],[Tech Start Date]],5),""))))</f>
        <v/>
      </c>
      <c r="P1104" s="114" t="str">
        <f>IF(Main[[#This Row],[Tech Start Date]]&lt;1/1/1990,"",IF(Main[[#This Row],[Class]]="C",WORKDAY(Main[[#This Row],[Tech Start Date]],28),IF(Main[[#This Row],[Class]]="B", WORKDAY(Main[[#This Row],[Tech Start Date]],19),IF(Main[[#This Row],[Class]]="A",WORKDAY(Main[[#This Row],[Tech Start Date]],9),""))))</f>
        <v/>
      </c>
      <c r="Q1104" s="129"/>
      <c r="R1104" s="129"/>
      <c r="S1104" s="139" t="s">
        <v>6</v>
      </c>
      <c r="T1104" s="115" t="s">
        <v>4</v>
      </c>
      <c r="U1104" s="139" t="s">
        <v>29</v>
      </c>
      <c r="V1104" s="139" t="s">
        <v>1914</v>
      </c>
      <c r="W1104" s="139" t="s">
        <v>1918</v>
      </c>
      <c r="X1104" s="139" t="s">
        <v>561</v>
      </c>
      <c r="Y1104" s="112" t="s">
        <v>4</v>
      </c>
      <c r="Z1104" s="112" t="s">
        <v>129</v>
      </c>
      <c r="AA1104" s="139" t="s">
        <v>4</v>
      </c>
    </row>
    <row r="1105" spans="1:27" ht="17.25" customHeight="1">
      <c r="A1105" s="69" t="str">
        <f>IF(priority(Main[[#This Row],[Comments]])&lt;&gt;0, priority(Main[[#This Row],[Comments]]),"")</f>
        <v/>
      </c>
      <c r="B1105" s="63" t="s">
        <v>2714</v>
      </c>
      <c r="C1105" s="148" t="s">
        <v>4</v>
      </c>
      <c r="D1105" s="113" t="s">
        <v>3651</v>
      </c>
      <c r="E1105" s="129">
        <v>40917.685127314813</v>
      </c>
      <c r="F1105" s="129"/>
      <c r="G1105" s="69" t="str">
        <f>IF(stdProdLT(Main[[#This Row],[Comments]])=0.1,"N/A",IF(stdProdLT(Main[[#This Row],[Comments]])=0,"",stdProdLT(Main[[#This Row],[Comments]])))</f>
        <v/>
      </c>
      <c r="H1105" s="138" t="str">
        <f>IF(Main[[#This Row],[In Stock Date]]="N/A", "N/A",IF(AND(Main[[#This Row],[In Stock Date]]&lt;&gt;"",Main[[#This Row],[Revised Due Date]]&lt;&gt;"",Main[[#This Row],[In Stock Date]]&lt;&gt;""),Main[[#This Row],[In Stock Date]]-Main[[#This Row],[Revised Due Date]],""))</f>
        <v/>
      </c>
      <c r="I1105" s="139" t="s">
        <v>69</v>
      </c>
      <c r="J1105" s="139" t="s">
        <v>70</v>
      </c>
      <c r="K1105" s="140" t="s">
        <v>1923</v>
      </c>
      <c r="L1105" s="129"/>
      <c r="M1105" s="114" t="str">
        <f>IF(Main[[#This Row],[Tech Start Date]]&lt;1/1/1990,"",IF(Main[[#This Row],[Class]]="C",WORKDAY(Main[[#This Row],[Tech Start Date]],9),IF(Main[[#This Row],[Class]]="B", WORKDAY(Main[[#This Row],[Tech Start Date]],6),IF(Main[[#This Row],[Class]]="A",WORKDAY(Main[[#This Row],[Tech Start Date]],2),""))))</f>
        <v/>
      </c>
      <c r="N1105" s="114" t="str">
        <f>IF(Main[[#This Row],[Tech Start Date]]&lt;1/1/1990,"",IF(Main[[#This Row],[Class]]="C",WORKDAY(Main[[#This Row],[Tech Start Date]],19),IF(Main[[#This Row],[Class]]="B", WORKDAY(Main[[#This Row],[Tech Start Date]],12),IF(Main[[#This Row],[Class]]="A",WORKDAY(Main[[#This Row],[Tech Start Date]],4),""))))</f>
        <v/>
      </c>
      <c r="O1105" s="114" t="str">
        <f>IF(Main[[#This Row],[Tech Start Date]]&lt;1/1/1990,"",IF(Main[[#This Row],[Class]]="C",WORKDAY(Main[[#This Row],[Tech Start Date]],23),IF(Main[[#This Row],[Class]]="B", WORKDAY(Main[[#This Row],[Tech Start Date]],15),IF(Main[[#This Row],[Class]]="A",WORKDAY(Main[[#This Row],[Tech Start Date]],5),""))))</f>
        <v/>
      </c>
      <c r="P1105" s="114" t="str">
        <f>IF(Main[[#This Row],[Tech Start Date]]&lt;1/1/1990,"",IF(Main[[#This Row],[Class]]="C",WORKDAY(Main[[#This Row],[Tech Start Date]],28),IF(Main[[#This Row],[Class]]="B", WORKDAY(Main[[#This Row],[Tech Start Date]],19),IF(Main[[#This Row],[Class]]="A",WORKDAY(Main[[#This Row],[Tech Start Date]],9),""))))</f>
        <v/>
      </c>
      <c r="Q1105" s="129"/>
      <c r="R1105" s="129"/>
      <c r="S1105" s="139" t="s">
        <v>6</v>
      </c>
      <c r="T1105" s="115" t="s">
        <v>4</v>
      </c>
      <c r="U1105" s="139" t="s">
        <v>29</v>
      </c>
      <c r="V1105" s="139" t="s">
        <v>1917</v>
      </c>
      <c r="W1105" s="139" t="s">
        <v>1918</v>
      </c>
      <c r="X1105" s="139" t="s">
        <v>2865</v>
      </c>
      <c r="Y1105" s="112" t="s">
        <v>3010</v>
      </c>
      <c r="Z1105" s="112" t="s">
        <v>81</v>
      </c>
      <c r="AA1105" s="139" t="s">
        <v>2865</v>
      </c>
    </row>
    <row r="1106" spans="1:27" ht="17.25" customHeight="1">
      <c r="A1106" s="69" t="str">
        <f>IF(priority(Main[[#This Row],[Comments]])&lt;&gt;0, priority(Main[[#This Row],[Comments]]),"")</f>
        <v/>
      </c>
      <c r="B1106" s="63" t="s">
        <v>1200</v>
      </c>
      <c r="C1106" s="148" t="s">
        <v>4</v>
      </c>
      <c r="D1106" s="113" t="s">
        <v>3305</v>
      </c>
      <c r="E1106" s="129"/>
      <c r="F1106" s="129"/>
      <c r="G1106" s="69" t="str">
        <f>IF(stdProdLT(Main[[#This Row],[Comments]])=0.1,"N/A",IF(stdProdLT(Main[[#This Row],[Comments]])=0,"",stdProdLT(Main[[#This Row],[Comments]])))</f>
        <v/>
      </c>
      <c r="H1106" s="138" t="str">
        <f>IF(Main[[#This Row],[In Stock Date]]="N/A", "N/A",IF(AND(Main[[#This Row],[In Stock Date]]&lt;&gt;"",Main[[#This Row],[Revised Due Date]]&lt;&gt;"",Main[[#This Row],[In Stock Date]]&lt;&gt;""),Main[[#This Row],[In Stock Date]]-Main[[#This Row],[Revised Due Date]],""))</f>
        <v/>
      </c>
      <c r="I1106" s="139" t="s">
        <v>2051</v>
      </c>
      <c r="J1106" s="139" t="s">
        <v>28</v>
      </c>
      <c r="K1106" s="139" t="s">
        <v>1923</v>
      </c>
      <c r="L1106" s="129"/>
      <c r="M1106" s="114" t="str">
        <f>IF(Main[[#This Row],[Tech Start Date]]&lt;1/1/1990,"",IF(Main[[#This Row],[Class]]="C",WORKDAY(Main[[#This Row],[Tech Start Date]],9),IF(Main[[#This Row],[Class]]="B", WORKDAY(Main[[#This Row],[Tech Start Date]],6),IF(Main[[#This Row],[Class]]="A",WORKDAY(Main[[#This Row],[Tech Start Date]],2),""))))</f>
        <v/>
      </c>
      <c r="N1106" s="114" t="str">
        <f>IF(Main[[#This Row],[Tech Start Date]]&lt;1/1/1990,"",IF(Main[[#This Row],[Class]]="C",WORKDAY(Main[[#This Row],[Tech Start Date]],19),IF(Main[[#This Row],[Class]]="B", WORKDAY(Main[[#This Row],[Tech Start Date]],12),IF(Main[[#This Row],[Class]]="A",WORKDAY(Main[[#This Row],[Tech Start Date]],4),""))))</f>
        <v/>
      </c>
      <c r="O1106" s="114" t="str">
        <f>IF(Main[[#This Row],[Tech Start Date]]&lt;1/1/1990,"",IF(Main[[#This Row],[Class]]="C",WORKDAY(Main[[#This Row],[Tech Start Date]],23),IF(Main[[#This Row],[Class]]="B", WORKDAY(Main[[#This Row],[Tech Start Date]],15),IF(Main[[#This Row],[Class]]="A",WORKDAY(Main[[#This Row],[Tech Start Date]],5),""))))</f>
        <v/>
      </c>
      <c r="P1106" s="114" t="str">
        <f>IF(Main[[#This Row],[Tech Start Date]]&lt;1/1/1990,"",IF(Main[[#This Row],[Class]]="C",WORKDAY(Main[[#This Row],[Tech Start Date]],28),IF(Main[[#This Row],[Class]]="B", WORKDAY(Main[[#This Row],[Tech Start Date]],19),IF(Main[[#This Row],[Class]]="A",WORKDAY(Main[[#This Row],[Tech Start Date]],9),""))))</f>
        <v/>
      </c>
      <c r="Q1106" s="129"/>
      <c r="R1106" s="129"/>
      <c r="S1106" s="139" t="s">
        <v>6</v>
      </c>
      <c r="T1106" s="115" t="s">
        <v>4</v>
      </c>
      <c r="U1106" s="139" t="s">
        <v>14</v>
      </c>
      <c r="V1106" s="139" t="s">
        <v>1917</v>
      </c>
      <c r="W1106" s="139" t="s">
        <v>1918</v>
      </c>
      <c r="X1106" s="139" t="s">
        <v>2819</v>
      </c>
      <c r="Y1106" s="112" t="s">
        <v>2932</v>
      </c>
      <c r="Z1106" s="112" t="s">
        <v>30</v>
      </c>
      <c r="AA1106" s="139" t="s">
        <v>2819</v>
      </c>
    </row>
    <row r="1107" spans="1:27" ht="17.25" customHeight="1">
      <c r="A1107" s="69" t="str">
        <f>IF(priority(Main[[#This Row],[Comments]])&lt;&gt;0, priority(Main[[#This Row],[Comments]]),"")</f>
        <v/>
      </c>
      <c r="B1107" s="63" t="s">
        <v>1843</v>
      </c>
      <c r="C1107" s="148" t="s">
        <v>4</v>
      </c>
      <c r="D1107" s="113" t="s">
        <v>900</v>
      </c>
      <c r="E1107" s="129">
        <v>40478.709317129629</v>
      </c>
      <c r="F1107" s="129">
        <v>40492</v>
      </c>
      <c r="G1107" s="69" t="str">
        <f>IF(stdProdLT(Main[[#This Row],[Comments]])=0.1,"N/A",IF(stdProdLT(Main[[#This Row],[Comments]])=0,"",stdProdLT(Main[[#This Row],[Comments]])))</f>
        <v/>
      </c>
      <c r="H1107" s="138">
        <f>IF(Main[[#This Row],[In Stock Date]]="N/A", "N/A",IF(AND(Main[[#This Row],[In Stock Date]]&lt;&gt;"",Main[[#This Row],[Revised Due Date]]&lt;&gt;"",Main[[#This Row],[In Stock Date]]&lt;&gt;""),Main[[#This Row],[In Stock Date]]-Main[[#This Row],[Revised Due Date]],""))</f>
        <v>-3</v>
      </c>
      <c r="I1107" s="139" t="s">
        <v>4</v>
      </c>
      <c r="J1107" s="139" t="s">
        <v>28</v>
      </c>
      <c r="K1107" s="139" t="s">
        <v>1921</v>
      </c>
      <c r="L1107" s="129"/>
      <c r="M1107" s="114" t="str">
        <f>IF(Main[[#This Row],[Tech Start Date]]&lt;1/1/1990,"",IF(Main[[#This Row],[Class]]="C",WORKDAY(Main[[#This Row],[Tech Start Date]],9),IF(Main[[#This Row],[Class]]="B", WORKDAY(Main[[#This Row],[Tech Start Date]],6),IF(Main[[#This Row],[Class]]="A",WORKDAY(Main[[#This Row],[Tech Start Date]],2),""))))</f>
        <v/>
      </c>
      <c r="N1107" s="114" t="str">
        <f>IF(Main[[#This Row],[Tech Start Date]]&lt;1/1/1990,"",IF(Main[[#This Row],[Class]]="C",WORKDAY(Main[[#This Row],[Tech Start Date]],19),IF(Main[[#This Row],[Class]]="B", WORKDAY(Main[[#This Row],[Tech Start Date]],12),IF(Main[[#This Row],[Class]]="A",WORKDAY(Main[[#This Row],[Tech Start Date]],4),""))))</f>
        <v/>
      </c>
      <c r="O1107" s="114" t="str">
        <f>IF(Main[[#This Row],[Tech Start Date]]&lt;1/1/1990,"",IF(Main[[#This Row],[Class]]="C",WORKDAY(Main[[#This Row],[Tech Start Date]],23),IF(Main[[#This Row],[Class]]="B", WORKDAY(Main[[#This Row],[Tech Start Date]],15),IF(Main[[#This Row],[Class]]="A",WORKDAY(Main[[#This Row],[Tech Start Date]],5),""))))</f>
        <v/>
      </c>
      <c r="P1107" s="114" t="str">
        <f>IF(Main[[#This Row],[Tech Start Date]]&lt;1/1/1990,"",IF(Main[[#This Row],[Class]]="C",WORKDAY(Main[[#This Row],[Tech Start Date]],28),IF(Main[[#This Row],[Class]]="B", WORKDAY(Main[[#This Row],[Tech Start Date]],19),IF(Main[[#This Row],[Class]]="A",WORKDAY(Main[[#This Row],[Tech Start Date]],9),""))))</f>
        <v/>
      </c>
      <c r="Q1107" s="129">
        <v>40908</v>
      </c>
      <c r="R1107" s="129">
        <v>40495</v>
      </c>
      <c r="S1107" s="139" t="s">
        <v>17</v>
      </c>
      <c r="T1107" s="115" t="s">
        <v>2433</v>
      </c>
      <c r="U1107" s="139" t="s">
        <v>29</v>
      </c>
      <c r="V1107" s="139" t="s">
        <v>1915</v>
      </c>
      <c r="W1107" s="139" t="s">
        <v>1916</v>
      </c>
      <c r="X1107" s="139" t="s">
        <v>50</v>
      </c>
      <c r="Y1107" s="112" t="s">
        <v>4</v>
      </c>
      <c r="Z1107" s="112" t="s">
        <v>4</v>
      </c>
      <c r="AA1107" s="139" t="s">
        <v>975</v>
      </c>
    </row>
    <row r="1108" spans="1:27" ht="17.25" customHeight="1">
      <c r="A1108" s="69" t="str">
        <f>IF(priority(Main[[#This Row],[Comments]])&lt;&gt;0, priority(Main[[#This Row],[Comments]]),"")</f>
        <v/>
      </c>
      <c r="B1108" s="63" t="s">
        <v>1124</v>
      </c>
      <c r="C1108" s="148" t="s">
        <v>4</v>
      </c>
      <c r="D1108" s="113" t="s">
        <v>2434</v>
      </c>
      <c r="E1108" s="129">
        <v>40581.512430555558</v>
      </c>
      <c r="F1108" s="129">
        <v>40627</v>
      </c>
      <c r="G1108" s="69" t="str">
        <f>IF(stdProdLT(Main[[#This Row],[Comments]])=0.1,"N/A",IF(stdProdLT(Main[[#This Row],[Comments]])=0,"",stdProdLT(Main[[#This Row],[Comments]])))</f>
        <v/>
      </c>
      <c r="H1108" s="138" t="str">
        <f>IF(Main[[#This Row],[In Stock Date]]="N/A", "N/A",IF(AND(Main[[#This Row],[In Stock Date]]&lt;&gt;"",Main[[#This Row],[Revised Due Date]]&lt;&gt;"",Main[[#This Row],[In Stock Date]]&lt;&gt;""),Main[[#This Row],[In Stock Date]]-Main[[#This Row],[Revised Due Date]],""))</f>
        <v/>
      </c>
      <c r="I1108" s="139" t="s">
        <v>912</v>
      </c>
      <c r="J1108" s="139" t="s">
        <v>52</v>
      </c>
      <c r="K1108" s="139" t="s">
        <v>1921</v>
      </c>
      <c r="L1108" s="129"/>
      <c r="M1108" s="114" t="str">
        <f>IF(Main[[#This Row],[Tech Start Date]]&lt;1/1/1990,"",IF(Main[[#This Row],[Class]]="C",WORKDAY(Main[[#This Row],[Tech Start Date]],9),IF(Main[[#This Row],[Class]]="B", WORKDAY(Main[[#This Row],[Tech Start Date]],6),IF(Main[[#This Row],[Class]]="A",WORKDAY(Main[[#This Row],[Tech Start Date]],2),""))))</f>
        <v/>
      </c>
      <c r="N1108" s="114" t="str">
        <f>IF(Main[[#This Row],[Tech Start Date]]&lt;1/1/1990,"",IF(Main[[#This Row],[Class]]="C",WORKDAY(Main[[#This Row],[Tech Start Date]],19),IF(Main[[#This Row],[Class]]="B", WORKDAY(Main[[#This Row],[Tech Start Date]],12),IF(Main[[#This Row],[Class]]="A",WORKDAY(Main[[#This Row],[Tech Start Date]],4),""))))</f>
        <v/>
      </c>
      <c r="O1108" s="114" t="str">
        <f>IF(Main[[#This Row],[Tech Start Date]]&lt;1/1/1990,"",IF(Main[[#This Row],[Class]]="C",WORKDAY(Main[[#This Row],[Tech Start Date]],23),IF(Main[[#This Row],[Class]]="B", WORKDAY(Main[[#This Row],[Tech Start Date]],15),IF(Main[[#This Row],[Class]]="A",WORKDAY(Main[[#This Row],[Tech Start Date]],5),""))))</f>
        <v/>
      </c>
      <c r="P1108" s="114" t="str">
        <f>IF(Main[[#This Row],[Tech Start Date]]&lt;1/1/1990,"",IF(Main[[#This Row],[Class]]="C",WORKDAY(Main[[#This Row],[Tech Start Date]],28),IF(Main[[#This Row],[Class]]="B", WORKDAY(Main[[#This Row],[Tech Start Date]],19),IF(Main[[#This Row],[Class]]="A",WORKDAY(Main[[#This Row],[Tech Start Date]],9),""))))</f>
        <v/>
      </c>
      <c r="Q1108" s="129">
        <v>40627</v>
      </c>
      <c r="R1108" s="129"/>
      <c r="S1108" s="139" t="s">
        <v>6</v>
      </c>
      <c r="T1108" s="115" t="s">
        <v>4</v>
      </c>
      <c r="U1108" s="139" t="s">
        <v>29</v>
      </c>
      <c r="V1108" s="139" t="s">
        <v>1914</v>
      </c>
      <c r="W1108" s="139" t="s">
        <v>1916</v>
      </c>
      <c r="X1108" s="139" t="s">
        <v>2818</v>
      </c>
      <c r="Y1108" s="112" t="s">
        <v>2929</v>
      </c>
      <c r="Z1108" s="112" t="s">
        <v>129</v>
      </c>
      <c r="AA1108" s="139" t="s">
        <v>2818</v>
      </c>
    </row>
    <row r="1109" spans="1:27" ht="17.25" customHeight="1">
      <c r="A1109" s="69" t="str">
        <f>IF(priority(Main[[#This Row],[Comments]])&lt;&gt;0, priority(Main[[#This Row],[Comments]]),"")</f>
        <v/>
      </c>
      <c r="B1109" s="63" t="s">
        <v>2451</v>
      </c>
      <c r="C1109" s="148" t="s">
        <v>4</v>
      </c>
      <c r="D1109" s="113" t="s">
        <v>2452</v>
      </c>
      <c r="E1109" s="129">
        <v>40841.609861111108</v>
      </c>
      <c r="F1109" s="129"/>
      <c r="G1109" s="69" t="str">
        <f>IF(stdProdLT(Main[[#This Row],[Comments]])=0.1,"N/A",IF(stdProdLT(Main[[#This Row],[Comments]])=0,"",stdProdLT(Main[[#This Row],[Comments]])))</f>
        <v/>
      </c>
      <c r="H1109" s="138" t="str">
        <f>IF(Main[[#This Row],[In Stock Date]]="N/A", "N/A",IF(AND(Main[[#This Row],[In Stock Date]]&lt;&gt;"",Main[[#This Row],[Revised Due Date]]&lt;&gt;"",Main[[#This Row],[In Stock Date]]&lt;&gt;""),Main[[#This Row],[In Stock Date]]-Main[[#This Row],[Revised Due Date]],""))</f>
        <v/>
      </c>
      <c r="I1109" s="139" t="s">
        <v>4</v>
      </c>
      <c r="J1109" s="139" t="s">
        <v>4</v>
      </c>
      <c r="K1109" s="139" t="s">
        <v>4</v>
      </c>
      <c r="L1109" s="129"/>
      <c r="M1109" s="114" t="str">
        <f>IF(Main[[#This Row],[Tech Start Date]]&lt;1/1/1990,"",IF(Main[[#This Row],[Class]]="C",WORKDAY(Main[[#This Row],[Tech Start Date]],9),IF(Main[[#This Row],[Class]]="B", WORKDAY(Main[[#This Row],[Tech Start Date]],6),IF(Main[[#This Row],[Class]]="A",WORKDAY(Main[[#This Row],[Tech Start Date]],2),""))))</f>
        <v/>
      </c>
      <c r="N1109" s="114" t="str">
        <f>IF(Main[[#This Row],[Tech Start Date]]&lt;1/1/1990,"",IF(Main[[#This Row],[Class]]="C",WORKDAY(Main[[#This Row],[Tech Start Date]],19),IF(Main[[#This Row],[Class]]="B", WORKDAY(Main[[#This Row],[Tech Start Date]],12),IF(Main[[#This Row],[Class]]="A",WORKDAY(Main[[#This Row],[Tech Start Date]],4),""))))</f>
        <v/>
      </c>
      <c r="O1109" s="114" t="str">
        <f>IF(Main[[#This Row],[Tech Start Date]]&lt;1/1/1990,"",IF(Main[[#This Row],[Class]]="C",WORKDAY(Main[[#This Row],[Tech Start Date]],23),IF(Main[[#This Row],[Class]]="B", WORKDAY(Main[[#This Row],[Tech Start Date]],15),IF(Main[[#This Row],[Class]]="A",WORKDAY(Main[[#This Row],[Tech Start Date]],5),""))))</f>
        <v/>
      </c>
      <c r="P1109" s="114" t="str">
        <f>IF(Main[[#This Row],[Tech Start Date]]&lt;1/1/1990,"",IF(Main[[#This Row],[Class]]="C",WORKDAY(Main[[#This Row],[Tech Start Date]],28),IF(Main[[#This Row],[Class]]="B", WORKDAY(Main[[#This Row],[Tech Start Date]],19),IF(Main[[#This Row],[Class]]="A",WORKDAY(Main[[#This Row],[Tech Start Date]],9),""))))</f>
        <v/>
      </c>
      <c r="Q1109" s="129"/>
      <c r="R1109" s="129"/>
      <c r="S1109" s="139" t="s">
        <v>6</v>
      </c>
      <c r="T1109" s="115" t="s">
        <v>4</v>
      </c>
      <c r="U1109" s="139" t="s">
        <v>7</v>
      </c>
      <c r="V1109" s="139" t="s">
        <v>1914</v>
      </c>
      <c r="W1109" s="139" t="s">
        <v>4</v>
      </c>
      <c r="X1109" s="139" t="s">
        <v>912</v>
      </c>
      <c r="Y1109" s="112" t="s">
        <v>3057</v>
      </c>
      <c r="Z1109" s="112" t="s">
        <v>4</v>
      </c>
      <c r="AA1109" s="139" t="s">
        <v>912</v>
      </c>
    </row>
    <row r="1110" spans="1:27" ht="17.25" customHeight="1">
      <c r="A1110" s="69" t="str">
        <f>IF(priority(Main[[#This Row],[Comments]])&lt;&gt;0, priority(Main[[#This Row],[Comments]]),"")</f>
        <v/>
      </c>
      <c r="B1110" s="63" t="s">
        <v>1636</v>
      </c>
      <c r="C1110" s="148" t="s">
        <v>4</v>
      </c>
      <c r="D1110" s="113" t="s">
        <v>707</v>
      </c>
      <c r="E1110" s="129">
        <v>40634.328217592592</v>
      </c>
      <c r="F1110" s="129"/>
      <c r="G1110" s="69" t="str">
        <f>IF(stdProdLT(Main[[#This Row],[Comments]])=0.1,"N/A",IF(stdProdLT(Main[[#This Row],[Comments]])=0,"",stdProdLT(Main[[#This Row],[Comments]])))</f>
        <v/>
      </c>
      <c r="H1110" s="138" t="str">
        <f>IF(Main[[#This Row],[In Stock Date]]="N/A", "N/A",IF(AND(Main[[#This Row],[In Stock Date]]&lt;&gt;"",Main[[#This Row],[Revised Due Date]]&lt;&gt;"",Main[[#This Row],[In Stock Date]]&lt;&gt;""),Main[[#This Row],[In Stock Date]]-Main[[#This Row],[Revised Due Date]],""))</f>
        <v/>
      </c>
      <c r="I1110" s="139" t="s">
        <v>912</v>
      </c>
      <c r="J1110" s="139" t="s">
        <v>4</v>
      </c>
      <c r="K1110" s="140" t="s">
        <v>4</v>
      </c>
      <c r="L1110" s="129"/>
      <c r="M1110" s="114" t="str">
        <f>IF(Main[[#This Row],[Tech Start Date]]&lt;1/1/1990,"",IF(Main[[#This Row],[Class]]="C",WORKDAY(Main[[#This Row],[Tech Start Date]],9),IF(Main[[#This Row],[Class]]="B", WORKDAY(Main[[#This Row],[Tech Start Date]],6),IF(Main[[#This Row],[Class]]="A",WORKDAY(Main[[#This Row],[Tech Start Date]],2),""))))</f>
        <v/>
      </c>
      <c r="N1110" s="114" t="str">
        <f>IF(Main[[#This Row],[Tech Start Date]]&lt;1/1/1990,"",IF(Main[[#This Row],[Class]]="C",WORKDAY(Main[[#This Row],[Tech Start Date]],19),IF(Main[[#This Row],[Class]]="B", WORKDAY(Main[[#This Row],[Tech Start Date]],12),IF(Main[[#This Row],[Class]]="A",WORKDAY(Main[[#This Row],[Tech Start Date]],4),""))))</f>
        <v/>
      </c>
      <c r="O1110" s="114" t="str">
        <f>IF(Main[[#This Row],[Tech Start Date]]&lt;1/1/1990,"",IF(Main[[#This Row],[Class]]="C",WORKDAY(Main[[#This Row],[Tech Start Date]],23),IF(Main[[#This Row],[Class]]="B", WORKDAY(Main[[#This Row],[Tech Start Date]],15),IF(Main[[#This Row],[Class]]="A",WORKDAY(Main[[#This Row],[Tech Start Date]],5),""))))</f>
        <v/>
      </c>
      <c r="P1110" s="114" t="str">
        <f>IF(Main[[#This Row],[Tech Start Date]]&lt;1/1/1990,"",IF(Main[[#This Row],[Class]]="C",WORKDAY(Main[[#This Row],[Tech Start Date]],28),IF(Main[[#This Row],[Class]]="B", WORKDAY(Main[[#This Row],[Tech Start Date]],19),IF(Main[[#This Row],[Class]]="A",WORKDAY(Main[[#This Row],[Tech Start Date]],9),""))))</f>
        <v/>
      </c>
      <c r="Q1110" s="129"/>
      <c r="R1110" s="129"/>
      <c r="S1110" s="139" t="s">
        <v>6</v>
      </c>
      <c r="T1110" s="115" t="s">
        <v>4</v>
      </c>
      <c r="U1110" s="139" t="s">
        <v>7</v>
      </c>
      <c r="V1110" s="139" t="s">
        <v>1914</v>
      </c>
      <c r="W1110" s="139" t="s">
        <v>1918</v>
      </c>
      <c r="X1110" s="139" t="s">
        <v>399</v>
      </c>
      <c r="Y1110" s="112" t="s">
        <v>4</v>
      </c>
      <c r="Z1110" s="112" t="s">
        <v>4</v>
      </c>
      <c r="AA1110" s="139" t="s">
        <v>3455</v>
      </c>
    </row>
    <row r="1111" spans="1:27" ht="17.25" customHeight="1">
      <c r="A1111" s="69" t="str">
        <f>IF(priority(Main[[#This Row],[Comments]])&lt;&gt;0, priority(Main[[#This Row],[Comments]]),"")</f>
        <v/>
      </c>
      <c r="B1111" s="63" t="s">
        <v>1835</v>
      </c>
      <c r="C1111" s="148" t="s">
        <v>4</v>
      </c>
      <c r="D1111" s="113" t="s">
        <v>890</v>
      </c>
      <c r="E1111" s="129">
        <v>40351.730219907404</v>
      </c>
      <c r="F1111" s="129"/>
      <c r="G1111" s="69" t="str">
        <f>IF(stdProdLT(Main[[#This Row],[Comments]])=0.1,"N/A",IF(stdProdLT(Main[[#This Row],[Comments]])=0,"",stdProdLT(Main[[#This Row],[Comments]])))</f>
        <v/>
      </c>
      <c r="H1111" s="138" t="str">
        <f>IF(Main[[#This Row],[In Stock Date]]="N/A", "N/A",IF(AND(Main[[#This Row],[In Stock Date]]&lt;&gt;"",Main[[#This Row],[Revised Due Date]]&lt;&gt;"",Main[[#This Row],[In Stock Date]]&lt;&gt;""),Main[[#This Row],[In Stock Date]]-Main[[#This Row],[Revised Due Date]],""))</f>
        <v/>
      </c>
      <c r="I1111" s="139" t="s">
        <v>2053</v>
      </c>
      <c r="J1111" s="139" t="s">
        <v>28</v>
      </c>
      <c r="K1111" s="139" t="s">
        <v>1926</v>
      </c>
      <c r="L1111" s="129"/>
      <c r="M1111" s="114" t="str">
        <f>IF(Main[[#This Row],[Tech Start Date]]&lt;1/1/1990,"",IF(Main[[#This Row],[Class]]="C",WORKDAY(Main[[#This Row],[Tech Start Date]],9),IF(Main[[#This Row],[Class]]="B", WORKDAY(Main[[#This Row],[Tech Start Date]],6),IF(Main[[#This Row],[Class]]="A",WORKDAY(Main[[#This Row],[Tech Start Date]],2),""))))</f>
        <v/>
      </c>
      <c r="N1111" s="114" t="str">
        <f>IF(Main[[#This Row],[Tech Start Date]]&lt;1/1/1990,"",IF(Main[[#This Row],[Class]]="C",WORKDAY(Main[[#This Row],[Tech Start Date]],19),IF(Main[[#This Row],[Class]]="B", WORKDAY(Main[[#This Row],[Tech Start Date]],12),IF(Main[[#This Row],[Class]]="A",WORKDAY(Main[[#This Row],[Tech Start Date]],4),""))))</f>
        <v/>
      </c>
      <c r="O1111" s="114" t="str">
        <f>IF(Main[[#This Row],[Tech Start Date]]&lt;1/1/1990,"",IF(Main[[#This Row],[Class]]="C",WORKDAY(Main[[#This Row],[Tech Start Date]],23),IF(Main[[#This Row],[Class]]="B", WORKDAY(Main[[#This Row],[Tech Start Date]],15),IF(Main[[#This Row],[Class]]="A",WORKDAY(Main[[#This Row],[Tech Start Date]],5),""))))</f>
        <v/>
      </c>
      <c r="P1111" s="114" t="str">
        <f>IF(Main[[#This Row],[Tech Start Date]]&lt;1/1/1990,"",IF(Main[[#This Row],[Class]]="C",WORKDAY(Main[[#This Row],[Tech Start Date]],28),IF(Main[[#This Row],[Class]]="B", WORKDAY(Main[[#This Row],[Tech Start Date]],19),IF(Main[[#This Row],[Class]]="A",WORKDAY(Main[[#This Row],[Tech Start Date]],9),""))))</f>
        <v/>
      </c>
      <c r="Q1111" s="129">
        <v>40906</v>
      </c>
      <c r="R1111" s="129">
        <v>40436</v>
      </c>
      <c r="S1111" s="139" t="s">
        <v>17</v>
      </c>
      <c r="T1111" s="115" t="s">
        <v>4</v>
      </c>
      <c r="U1111" s="139" t="s">
        <v>29</v>
      </c>
      <c r="V1111" s="139" t="s">
        <v>1915</v>
      </c>
      <c r="W1111" s="139" t="s">
        <v>1919</v>
      </c>
      <c r="X1111" s="139" t="s">
        <v>2862</v>
      </c>
      <c r="Y1111" s="112" t="s">
        <v>3006</v>
      </c>
      <c r="Z1111" s="112" t="s">
        <v>108</v>
      </c>
      <c r="AA1111" s="139" t="s">
        <v>2862</v>
      </c>
    </row>
    <row r="1112" spans="1:27" ht="17.25" customHeight="1">
      <c r="A1112" s="69" t="str">
        <f>IF(priority(Main[[#This Row],[Comments]])&lt;&gt;0, priority(Main[[#This Row],[Comments]]),"")</f>
        <v/>
      </c>
      <c r="B1112" s="63" t="s">
        <v>3212</v>
      </c>
      <c r="C1112" s="148" t="s">
        <v>4</v>
      </c>
      <c r="D1112" s="113" t="s">
        <v>3647</v>
      </c>
      <c r="E1112" s="129">
        <v>40921.629143518519</v>
      </c>
      <c r="F1112" s="129"/>
      <c r="G1112" s="69" t="str">
        <f>IF(stdProdLT(Main[[#This Row],[Comments]])=0.1,"N/A",IF(stdProdLT(Main[[#This Row],[Comments]])=0,"",stdProdLT(Main[[#This Row],[Comments]])))</f>
        <v/>
      </c>
      <c r="H1112" s="138" t="str">
        <f>IF(Main[[#This Row],[In Stock Date]]="N/A", "N/A",IF(AND(Main[[#This Row],[In Stock Date]]&lt;&gt;"",Main[[#This Row],[Revised Due Date]]&lt;&gt;"",Main[[#This Row],[In Stock Date]]&lt;&gt;""),Main[[#This Row],[In Stock Date]]-Main[[#This Row],[Revised Due Date]],""))</f>
        <v/>
      </c>
      <c r="I1112" s="139" t="s">
        <v>2051</v>
      </c>
      <c r="J1112" s="139" t="s">
        <v>28</v>
      </c>
      <c r="K1112" s="140" t="s">
        <v>1923</v>
      </c>
      <c r="L1112" s="129"/>
      <c r="M1112" s="114" t="str">
        <f>IF(Main[[#This Row],[Tech Start Date]]&lt;1/1/1990,"",IF(Main[[#This Row],[Class]]="C",WORKDAY(Main[[#This Row],[Tech Start Date]],9),IF(Main[[#This Row],[Class]]="B", WORKDAY(Main[[#This Row],[Tech Start Date]],6),IF(Main[[#This Row],[Class]]="A",WORKDAY(Main[[#This Row],[Tech Start Date]],2),""))))</f>
        <v/>
      </c>
      <c r="N1112" s="114" t="str">
        <f>IF(Main[[#This Row],[Tech Start Date]]&lt;1/1/1990,"",IF(Main[[#This Row],[Class]]="C",WORKDAY(Main[[#This Row],[Tech Start Date]],19),IF(Main[[#This Row],[Class]]="B", WORKDAY(Main[[#This Row],[Tech Start Date]],12),IF(Main[[#This Row],[Class]]="A",WORKDAY(Main[[#This Row],[Tech Start Date]],4),""))))</f>
        <v/>
      </c>
      <c r="O1112" s="114" t="str">
        <f>IF(Main[[#This Row],[Tech Start Date]]&lt;1/1/1990,"",IF(Main[[#This Row],[Class]]="C",WORKDAY(Main[[#This Row],[Tech Start Date]],23),IF(Main[[#This Row],[Class]]="B", WORKDAY(Main[[#This Row],[Tech Start Date]],15),IF(Main[[#This Row],[Class]]="A",WORKDAY(Main[[#This Row],[Tech Start Date]],5),""))))</f>
        <v/>
      </c>
      <c r="P1112" s="114" t="str">
        <f>IF(Main[[#This Row],[Tech Start Date]]&lt;1/1/1990,"",IF(Main[[#This Row],[Class]]="C",WORKDAY(Main[[#This Row],[Tech Start Date]],28),IF(Main[[#This Row],[Class]]="B", WORKDAY(Main[[#This Row],[Tech Start Date]],19),IF(Main[[#This Row],[Class]]="A",WORKDAY(Main[[#This Row],[Tech Start Date]],9),""))))</f>
        <v/>
      </c>
      <c r="Q1112" s="129"/>
      <c r="R1112" s="129"/>
      <c r="S1112" s="139" t="s">
        <v>6</v>
      </c>
      <c r="T1112" s="115" t="s">
        <v>4</v>
      </c>
      <c r="U1112" s="139" t="s">
        <v>29</v>
      </c>
      <c r="V1112" s="139" t="s">
        <v>1924</v>
      </c>
      <c r="W1112" s="139" t="s">
        <v>1918</v>
      </c>
      <c r="X1112" s="139" t="s">
        <v>306</v>
      </c>
      <c r="Y1112" s="112" t="s">
        <v>4</v>
      </c>
      <c r="Z1112" s="112" t="s">
        <v>30</v>
      </c>
      <c r="AA1112" s="139" t="s">
        <v>4</v>
      </c>
    </row>
    <row r="1113" spans="1:27" ht="17.25" customHeight="1">
      <c r="A1113" s="69" t="str">
        <f>IF(priority(Main[[#This Row],[Comments]])&lt;&gt;0, priority(Main[[#This Row],[Comments]]),"")</f>
        <v/>
      </c>
      <c r="B1113" s="63" t="s">
        <v>3648</v>
      </c>
      <c r="C1113" s="148" t="s">
        <v>4</v>
      </c>
      <c r="D1113" s="113" t="s">
        <v>3649</v>
      </c>
      <c r="E1113" s="129">
        <v>40962.575243055559</v>
      </c>
      <c r="F1113" s="129"/>
      <c r="G1113" s="69" t="str">
        <f>IF(stdProdLT(Main[[#This Row],[Comments]])=0.1,"N/A",IF(stdProdLT(Main[[#This Row],[Comments]])=0,"",stdProdLT(Main[[#This Row],[Comments]])))</f>
        <v/>
      </c>
      <c r="H1113" s="138" t="str">
        <f>IF(Main[[#This Row],[In Stock Date]]="N/A", "N/A",IF(AND(Main[[#This Row],[In Stock Date]]&lt;&gt;"",Main[[#This Row],[Revised Due Date]]&lt;&gt;"",Main[[#This Row],[In Stock Date]]&lt;&gt;""),Main[[#This Row],[In Stock Date]]-Main[[#This Row],[Revised Due Date]],""))</f>
        <v/>
      </c>
      <c r="I1113" s="139" t="s">
        <v>2051</v>
      </c>
      <c r="J1113" s="139" t="s">
        <v>28</v>
      </c>
      <c r="K1113" s="139" t="s">
        <v>4</v>
      </c>
      <c r="L1113" s="129"/>
      <c r="M1113" s="114" t="str">
        <f>IF(Main[[#This Row],[Tech Start Date]]&lt;1/1/1990,"",IF(Main[[#This Row],[Class]]="C",WORKDAY(Main[[#This Row],[Tech Start Date]],9),IF(Main[[#This Row],[Class]]="B", WORKDAY(Main[[#This Row],[Tech Start Date]],6),IF(Main[[#This Row],[Class]]="A",WORKDAY(Main[[#This Row],[Tech Start Date]],2),""))))</f>
        <v/>
      </c>
      <c r="N1113" s="114" t="str">
        <f>IF(Main[[#This Row],[Tech Start Date]]&lt;1/1/1990,"",IF(Main[[#This Row],[Class]]="C",WORKDAY(Main[[#This Row],[Tech Start Date]],19),IF(Main[[#This Row],[Class]]="B", WORKDAY(Main[[#This Row],[Tech Start Date]],12),IF(Main[[#This Row],[Class]]="A",WORKDAY(Main[[#This Row],[Tech Start Date]],4),""))))</f>
        <v/>
      </c>
      <c r="O1113" s="114" t="str">
        <f>IF(Main[[#This Row],[Tech Start Date]]&lt;1/1/1990,"",IF(Main[[#This Row],[Class]]="C",WORKDAY(Main[[#This Row],[Tech Start Date]],23),IF(Main[[#This Row],[Class]]="B", WORKDAY(Main[[#This Row],[Tech Start Date]],15),IF(Main[[#This Row],[Class]]="A",WORKDAY(Main[[#This Row],[Tech Start Date]],5),""))))</f>
        <v/>
      </c>
      <c r="P1113" s="114" t="str">
        <f>IF(Main[[#This Row],[Tech Start Date]]&lt;1/1/1990,"",IF(Main[[#This Row],[Class]]="C",WORKDAY(Main[[#This Row],[Tech Start Date]],28),IF(Main[[#This Row],[Class]]="B", WORKDAY(Main[[#This Row],[Tech Start Date]],19),IF(Main[[#This Row],[Class]]="A",WORKDAY(Main[[#This Row],[Tech Start Date]],9),""))))</f>
        <v/>
      </c>
      <c r="Q1113" s="129">
        <v>40998</v>
      </c>
      <c r="R1113" s="129"/>
      <c r="S1113" s="139" t="s">
        <v>6</v>
      </c>
      <c r="T1113" s="115" t="s">
        <v>4</v>
      </c>
      <c r="U1113" s="139" t="s">
        <v>29</v>
      </c>
      <c r="V1113" s="139" t="s">
        <v>1924</v>
      </c>
      <c r="W1113" s="139" t="s">
        <v>1918</v>
      </c>
      <c r="X1113" s="139" t="s">
        <v>2818</v>
      </c>
      <c r="Y1113" s="112" t="s">
        <v>2929</v>
      </c>
      <c r="Z1113" s="112" t="s">
        <v>30</v>
      </c>
      <c r="AA1113" s="139" t="s">
        <v>2818</v>
      </c>
    </row>
    <row r="1114" spans="1:27" ht="17.25" customHeight="1">
      <c r="A1114" s="69" t="str">
        <f>IF(priority(Main[[#This Row],[Comments]])&lt;&gt;0, priority(Main[[#This Row],[Comments]]),"")</f>
        <v/>
      </c>
      <c r="B1114" s="63" t="s">
        <v>2402</v>
      </c>
      <c r="C1114" s="148" t="s">
        <v>4</v>
      </c>
      <c r="D1114" s="113" t="s">
        <v>2403</v>
      </c>
      <c r="E1114" s="129">
        <v>40820.81591435185</v>
      </c>
      <c r="F1114" s="129"/>
      <c r="G1114" s="69" t="str">
        <f>IF(stdProdLT(Main[[#This Row],[Comments]])=0.1,"N/A",IF(stdProdLT(Main[[#This Row],[Comments]])=0,"",stdProdLT(Main[[#This Row],[Comments]])))</f>
        <v/>
      </c>
      <c r="H1114" s="138" t="str">
        <f>IF(Main[[#This Row],[In Stock Date]]="N/A", "N/A",IF(AND(Main[[#This Row],[In Stock Date]]&lt;&gt;"",Main[[#This Row],[Revised Due Date]]&lt;&gt;"",Main[[#This Row],[In Stock Date]]&lt;&gt;""),Main[[#This Row],[In Stock Date]]-Main[[#This Row],[Revised Due Date]],""))</f>
        <v/>
      </c>
      <c r="I1114" s="139" t="s">
        <v>239</v>
      </c>
      <c r="J1114" s="139" t="s">
        <v>28</v>
      </c>
      <c r="K1114" s="139" t="s">
        <v>1923</v>
      </c>
      <c r="L1114" s="129"/>
      <c r="M1114" s="114" t="str">
        <f>IF(Main[[#This Row],[Tech Start Date]]&lt;1/1/1990,"",IF(Main[[#This Row],[Class]]="C",WORKDAY(Main[[#This Row],[Tech Start Date]],9),IF(Main[[#This Row],[Class]]="B", WORKDAY(Main[[#This Row],[Tech Start Date]],6),IF(Main[[#This Row],[Class]]="A",WORKDAY(Main[[#This Row],[Tech Start Date]],2),""))))</f>
        <v/>
      </c>
      <c r="N1114" s="114" t="str">
        <f>IF(Main[[#This Row],[Tech Start Date]]&lt;1/1/1990,"",IF(Main[[#This Row],[Class]]="C",WORKDAY(Main[[#This Row],[Tech Start Date]],19),IF(Main[[#This Row],[Class]]="B", WORKDAY(Main[[#This Row],[Tech Start Date]],12),IF(Main[[#This Row],[Class]]="A",WORKDAY(Main[[#This Row],[Tech Start Date]],4),""))))</f>
        <v/>
      </c>
      <c r="O1114" s="114" t="str">
        <f>IF(Main[[#This Row],[Tech Start Date]]&lt;1/1/1990,"",IF(Main[[#This Row],[Class]]="C",WORKDAY(Main[[#This Row],[Tech Start Date]],23),IF(Main[[#This Row],[Class]]="B", WORKDAY(Main[[#This Row],[Tech Start Date]],15),IF(Main[[#This Row],[Class]]="A",WORKDAY(Main[[#This Row],[Tech Start Date]],5),""))))</f>
        <v/>
      </c>
      <c r="P1114" s="114" t="str">
        <f>IF(Main[[#This Row],[Tech Start Date]]&lt;1/1/1990,"",IF(Main[[#This Row],[Class]]="C",WORKDAY(Main[[#This Row],[Tech Start Date]],28),IF(Main[[#This Row],[Class]]="B", WORKDAY(Main[[#This Row],[Tech Start Date]],19),IF(Main[[#This Row],[Class]]="A",WORKDAY(Main[[#This Row],[Tech Start Date]],9),""))))</f>
        <v/>
      </c>
      <c r="Q1114" s="129">
        <v>40847</v>
      </c>
      <c r="R1114" s="129"/>
      <c r="S1114" s="139" t="s">
        <v>6</v>
      </c>
      <c r="T1114" s="115" t="s">
        <v>4</v>
      </c>
      <c r="U1114" s="139" t="s">
        <v>29</v>
      </c>
      <c r="V1114" s="139" t="s">
        <v>1917</v>
      </c>
      <c r="W1114" s="139" t="s">
        <v>1918</v>
      </c>
      <c r="X1114" s="139" t="s">
        <v>30</v>
      </c>
      <c r="Y1114" s="112" t="s">
        <v>2940</v>
      </c>
      <c r="Z1114" s="112" t="s">
        <v>30</v>
      </c>
      <c r="AA1114" s="139" t="s">
        <v>30</v>
      </c>
    </row>
    <row r="1115" spans="1:27" ht="17.25" customHeight="1">
      <c r="A1115" s="69" t="str">
        <f>IF(priority(Main[[#This Row],[Comments]])&lt;&gt;0, priority(Main[[#This Row],[Comments]]),"")</f>
        <v/>
      </c>
      <c r="B1115" s="63" t="s">
        <v>3650</v>
      </c>
      <c r="C1115" s="148" t="s">
        <v>3597</v>
      </c>
      <c r="D1115" s="113" t="s">
        <v>3598</v>
      </c>
      <c r="E1115" s="129"/>
      <c r="F1115" s="129">
        <v>40982</v>
      </c>
      <c r="G1115" s="69" t="str">
        <f>IF(stdProdLT(Main[[#This Row],[Comments]])=0.1,"N/A",IF(stdProdLT(Main[[#This Row],[Comments]])=0,"",stdProdLT(Main[[#This Row],[Comments]])))</f>
        <v/>
      </c>
      <c r="H1115" s="138" t="str">
        <f>IF(Main[[#This Row],[In Stock Date]]="N/A", "N/A",IF(AND(Main[[#This Row],[In Stock Date]]&lt;&gt;"",Main[[#This Row],[Revised Due Date]]&lt;&gt;"",Main[[#This Row],[In Stock Date]]&lt;&gt;""),Main[[#This Row],[In Stock Date]]-Main[[#This Row],[Revised Due Date]],""))</f>
        <v/>
      </c>
      <c r="I1115" s="139" t="s">
        <v>4</v>
      </c>
      <c r="J1115" s="139" t="s">
        <v>4</v>
      </c>
      <c r="K1115" s="139" t="s">
        <v>4</v>
      </c>
      <c r="L1115" s="129"/>
      <c r="M1115" s="114" t="str">
        <f>IF(Main[[#This Row],[Tech Start Date]]&lt;1/1/1990,"",IF(Main[[#This Row],[Class]]="C",WORKDAY(Main[[#This Row],[Tech Start Date]],9),IF(Main[[#This Row],[Class]]="B", WORKDAY(Main[[#This Row],[Tech Start Date]],6),IF(Main[[#This Row],[Class]]="A",WORKDAY(Main[[#This Row],[Tech Start Date]],2),""))))</f>
        <v/>
      </c>
      <c r="N1115" s="114" t="str">
        <f>IF(Main[[#This Row],[Tech Start Date]]&lt;1/1/1990,"",IF(Main[[#This Row],[Class]]="C",WORKDAY(Main[[#This Row],[Tech Start Date]],19),IF(Main[[#This Row],[Class]]="B", WORKDAY(Main[[#This Row],[Tech Start Date]],12),IF(Main[[#This Row],[Class]]="A",WORKDAY(Main[[#This Row],[Tech Start Date]],4),""))))</f>
        <v/>
      </c>
      <c r="O1115" s="114" t="str">
        <f>IF(Main[[#This Row],[Tech Start Date]]&lt;1/1/1990,"",IF(Main[[#This Row],[Class]]="C",WORKDAY(Main[[#This Row],[Tech Start Date]],23),IF(Main[[#This Row],[Class]]="B", WORKDAY(Main[[#This Row],[Tech Start Date]],15),IF(Main[[#This Row],[Class]]="A",WORKDAY(Main[[#This Row],[Tech Start Date]],5),""))))</f>
        <v/>
      </c>
      <c r="P1115" s="114" t="str">
        <f>IF(Main[[#This Row],[Tech Start Date]]&lt;1/1/1990,"",IF(Main[[#This Row],[Class]]="C",WORKDAY(Main[[#This Row],[Tech Start Date]],28),IF(Main[[#This Row],[Class]]="B", WORKDAY(Main[[#This Row],[Tech Start Date]],19),IF(Main[[#This Row],[Class]]="A",WORKDAY(Main[[#This Row],[Tech Start Date]],9),""))))</f>
        <v/>
      </c>
      <c r="Q1115" s="129"/>
      <c r="R1115" s="129"/>
      <c r="S1115" s="139" t="s">
        <v>11</v>
      </c>
      <c r="T1115" s="115" t="s">
        <v>4</v>
      </c>
      <c r="U1115" s="139" t="s">
        <v>12</v>
      </c>
      <c r="V1115" s="139" t="s">
        <v>1917</v>
      </c>
      <c r="W1115" s="139" t="s">
        <v>1919</v>
      </c>
      <c r="X1115" s="139" t="s">
        <v>2834</v>
      </c>
      <c r="Y1115" s="112" t="s">
        <v>3589</v>
      </c>
      <c r="Z1115" s="112" t="s">
        <v>4</v>
      </c>
      <c r="AA1115" s="139" t="s">
        <v>2834</v>
      </c>
    </row>
    <row r="1116" spans="1:27" ht="17.25" customHeight="1">
      <c r="A1116" s="69" t="str">
        <f>IF(priority(Main[[#This Row],[Comments]])&lt;&gt;0, priority(Main[[#This Row],[Comments]]),"")</f>
        <v/>
      </c>
      <c r="B1116" s="63" t="s">
        <v>1867</v>
      </c>
      <c r="C1116" s="148" t="s">
        <v>4</v>
      </c>
      <c r="D1116" s="113" t="s">
        <v>924</v>
      </c>
      <c r="E1116" s="129">
        <v>39968.4141087963</v>
      </c>
      <c r="F1116" s="129">
        <v>40298</v>
      </c>
      <c r="G1116" s="69" t="str">
        <f>IF(stdProdLT(Main[[#This Row],[Comments]])=0.1,"N/A",IF(stdProdLT(Main[[#This Row],[Comments]])=0,"",stdProdLT(Main[[#This Row],[Comments]])))</f>
        <v/>
      </c>
      <c r="H1116" s="138">
        <f>IF(Main[[#This Row],[In Stock Date]]="N/A", "N/A",IF(AND(Main[[#This Row],[In Stock Date]]&lt;&gt;"",Main[[#This Row],[Revised Due Date]]&lt;&gt;"",Main[[#This Row],[In Stock Date]]&lt;&gt;""),Main[[#This Row],[In Stock Date]]-Main[[#This Row],[Revised Due Date]],""))</f>
        <v>-697</v>
      </c>
      <c r="I1116" s="139" t="s">
        <v>974</v>
      </c>
      <c r="J1116" s="139" t="s">
        <v>4</v>
      </c>
      <c r="K1116" s="139" t="s">
        <v>1926</v>
      </c>
      <c r="L1116" s="129"/>
      <c r="M1116" s="114" t="str">
        <f>IF(Main[[#This Row],[Tech Start Date]]&lt;1/1/1990,"",IF(Main[[#This Row],[Class]]="C",WORKDAY(Main[[#This Row],[Tech Start Date]],9),IF(Main[[#This Row],[Class]]="B", WORKDAY(Main[[#This Row],[Tech Start Date]],6),IF(Main[[#This Row],[Class]]="A",WORKDAY(Main[[#This Row],[Tech Start Date]],2),""))))</f>
        <v/>
      </c>
      <c r="N1116" s="114" t="str">
        <f>IF(Main[[#This Row],[Tech Start Date]]&lt;1/1/1990,"",IF(Main[[#This Row],[Class]]="C",WORKDAY(Main[[#This Row],[Tech Start Date]],19),IF(Main[[#This Row],[Class]]="B", WORKDAY(Main[[#This Row],[Tech Start Date]],12),IF(Main[[#This Row],[Class]]="A",WORKDAY(Main[[#This Row],[Tech Start Date]],4),""))))</f>
        <v/>
      </c>
      <c r="O1116" s="114" t="str">
        <f>IF(Main[[#This Row],[Tech Start Date]]&lt;1/1/1990,"",IF(Main[[#This Row],[Class]]="C",WORKDAY(Main[[#This Row],[Tech Start Date]],23),IF(Main[[#This Row],[Class]]="B", WORKDAY(Main[[#This Row],[Tech Start Date]],15),IF(Main[[#This Row],[Class]]="A",WORKDAY(Main[[#This Row],[Tech Start Date]],5),""))))</f>
        <v/>
      </c>
      <c r="P1116" s="114" t="str">
        <f>IF(Main[[#This Row],[Tech Start Date]]&lt;1/1/1990,"",IF(Main[[#This Row],[Class]]="C",WORKDAY(Main[[#This Row],[Tech Start Date]],28),IF(Main[[#This Row],[Class]]="B", WORKDAY(Main[[#This Row],[Tech Start Date]],19),IF(Main[[#This Row],[Class]]="A",WORKDAY(Main[[#This Row],[Tech Start Date]],9),""))))</f>
        <v/>
      </c>
      <c r="Q1116" s="129">
        <v>40165</v>
      </c>
      <c r="R1116" s="129">
        <v>40995</v>
      </c>
      <c r="S1116" s="139" t="s">
        <v>17</v>
      </c>
      <c r="T1116" s="115" t="s">
        <v>4</v>
      </c>
      <c r="U1116" s="139" t="s">
        <v>29</v>
      </c>
      <c r="V1116" s="139" t="s">
        <v>1917</v>
      </c>
      <c r="W1116" s="139" t="s">
        <v>1922</v>
      </c>
      <c r="X1116" s="139" t="s">
        <v>968</v>
      </c>
      <c r="Y1116" s="112" t="s">
        <v>3115</v>
      </c>
      <c r="Z1116" s="112" t="s">
        <v>415</v>
      </c>
      <c r="AA1116" s="139" t="s">
        <v>968</v>
      </c>
    </row>
    <row r="1117" spans="1:27" ht="17.25" customHeight="1">
      <c r="A1117" s="69" t="str">
        <f>IF(priority(Main[[#This Row],[Comments]])&lt;&gt;0, priority(Main[[#This Row],[Comments]]),"")</f>
        <v/>
      </c>
      <c r="B1117" s="63" t="s">
        <v>2289</v>
      </c>
      <c r="C1117" s="148" t="s">
        <v>67</v>
      </c>
      <c r="D1117" s="113" t="s">
        <v>2285</v>
      </c>
      <c r="E1117" s="129">
        <v>40813.66920138889</v>
      </c>
      <c r="F1117" s="129">
        <v>41075</v>
      </c>
      <c r="G1117" s="69" t="str">
        <f>IF(stdProdLT(Main[[#This Row],[Comments]])=0.1,"N/A",IF(stdProdLT(Main[[#This Row],[Comments]])=0,"",stdProdLT(Main[[#This Row],[Comments]])))</f>
        <v/>
      </c>
      <c r="H1117" s="138" t="str">
        <f>IF(Main[[#This Row],[In Stock Date]]="N/A", "N/A",IF(AND(Main[[#This Row],[In Stock Date]]&lt;&gt;"",Main[[#This Row],[Revised Due Date]]&lt;&gt;"",Main[[#This Row],[In Stock Date]]&lt;&gt;""),Main[[#This Row],[In Stock Date]]-Main[[#This Row],[Revised Due Date]],""))</f>
        <v/>
      </c>
      <c r="I1117" s="139" t="s">
        <v>239</v>
      </c>
      <c r="J1117" s="139" t="s">
        <v>28</v>
      </c>
      <c r="K1117" s="139" t="s">
        <v>1926</v>
      </c>
      <c r="L1117" s="129"/>
      <c r="M1117" s="114" t="str">
        <f>IF(Main[[#This Row],[Tech Start Date]]&lt;1/1/1990,"",IF(Main[[#This Row],[Class]]="C",WORKDAY(Main[[#This Row],[Tech Start Date]],9),IF(Main[[#This Row],[Class]]="B", WORKDAY(Main[[#This Row],[Tech Start Date]],6),IF(Main[[#This Row],[Class]]="A",WORKDAY(Main[[#This Row],[Tech Start Date]],2),""))))</f>
        <v/>
      </c>
      <c r="N1117" s="114" t="str">
        <f>IF(Main[[#This Row],[Tech Start Date]]&lt;1/1/1990,"",IF(Main[[#This Row],[Class]]="C",WORKDAY(Main[[#This Row],[Tech Start Date]],19),IF(Main[[#This Row],[Class]]="B", WORKDAY(Main[[#This Row],[Tech Start Date]],12),IF(Main[[#This Row],[Class]]="A",WORKDAY(Main[[#This Row],[Tech Start Date]],4),""))))</f>
        <v/>
      </c>
      <c r="O1117" s="114" t="str">
        <f>IF(Main[[#This Row],[Tech Start Date]]&lt;1/1/1990,"",IF(Main[[#This Row],[Class]]="C",WORKDAY(Main[[#This Row],[Tech Start Date]],23),IF(Main[[#This Row],[Class]]="B", WORKDAY(Main[[#This Row],[Tech Start Date]],15),IF(Main[[#This Row],[Class]]="A",WORKDAY(Main[[#This Row],[Tech Start Date]],5),""))))</f>
        <v/>
      </c>
      <c r="P1117" s="114" t="str">
        <f>IF(Main[[#This Row],[Tech Start Date]]&lt;1/1/1990,"",IF(Main[[#This Row],[Class]]="C",WORKDAY(Main[[#This Row],[Tech Start Date]],28),IF(Main[[#This Row],[Class]]="B", WORKDAY(Main[[#This Row],[Tech Start Date]],19),IF(Main[[#This Row],[Class]]="A",WORKDAY(Main[[#This Row],[Tech Start Date]],9),""))))</f>
        <v/>
      </c>
      <c r="Q1117" s="129">
        <v>41258</v>
      </c>
      <c r="R1117" s="129"/>
      <c r="S1117" s="139" t="s">
        <v>17</v>
      </c>
      <c r="T1117" s="115" t="s">
        <v>4</v>
      </c>
      <c r="U1117" s="139" t="s">
        <v>29</v>
      </c>
      <c r="V1117" s="139" t="s">
        <v>1924</v>
      </c>
      <c r="W1117" s="139" t="s">
        <v>1925</v>
      </c>
      <c r="X1117" s="139" t="s">
        <v>553</v>
      </c>
      <c r="Y1117" s="112" t="s">
        <v>2952</v>
      </c>
      <c r="Z1117" s="112" t="s">
        <v>239</v>
      </c>
      <c r="AA1117" s="139" t="s">
        <v>553</v>
      </c>
    </row>
    <row r="1118" spans="1:27" ht="17.25" customHeight="1">
      <c r="A1118" s="69" t="str">
        <f>IF(priority(Main[[#This Row],[Comments]])&lt;&gt;0, priority(Main[[#This Row],[Comments]]),"")</f>
        <v/>
      </c>
      <c r="B1118" s="63" t="s">
        <v>2159</v>
      </c>
      <c r="C1118" s="148" t="s">
        <v>2160</v>
      </c>
      <c r="D1118" s="113" t="s">
        <v>2341</v>
      </c>
      <c r="E1118" s="129">
        <v>40781.400787037041</v>
      </c>
      <c r="F1118" s="129"/>
      <c r="G1118" s="69" t="str">
        <f>IF(stdProdLT(Main[[#This Row],[Comments]])=0.1,"N/A",IF(stdProdLT(Main[[#This Row],[Comments]])=0,"",stdProdLT(Main[[#This Row],[Comments]])))</f>
        <v/>
      </c>
      <c r="H1118" s="138" t="str">
        <f>IF(Main[[#This Row],[In Stock Date]]="N/A", "N/A",IF(AND(Main[[#This Row],[In Stock Date]]&lt;&gt;"",Main[[#This Row],[Revised Due Date]]&lt;&gt;"",Main[[#This Row],[In Stock Date]]&lt;&gt;""),Main[[#This Row],[In Stock Date]]-Main[[#This Row],[Revised Due Date]],""))</f>
        <v/>
      </c>
      <c r="I1118" s="139" t="s">
        <v>4</v>
      </c>
      <c r="J1118" s="139" t="s">
        <v>28</v>
      </c>
      <c r="K1118" s="139" t="s">
        <v>1923</v>
      </c>
      <c r="L1118" s="129"/>
      <c r="M1118" s="114" t="str">
        <f>IF(Main[[#This Row],[Tech Start Date]]&lt;1/1/1990,"",IF(Main[[#This Row],[Class]]="C",WORKDAY(Main[[#This Row],[Tech Start Date]],9),IF(Main[[#This Row],[Class]]="B", WORKDAY(Main[[#This Row],[Tech Start Date]],6),IF(Main[[#This Row],[Class]]="A",WORKDAY(Main[[#This Row],[Tech Start Date]],2),""))))</f>
        <v/>
      </c>
      <c r="N1118" s="114" t="str">
        <f>IF(Main[[#This Row],[Tech Start Date]]&lt;1/1/1990,"",IF(Main[[#This Row],[Class]]="C",WORKDAY(Main[[#This Row],[Tech Start Date]],19),IF(Main[[#This Row],[Class]]="B", WORKDAY(Main[[#This Row],[Tech Start Date]],12),IF(Main[[#This Row],[Class]]="A",WORKDAY(Main[[#This Row],[Tech Start Date]],4),""))))</f>
        <v/>
      </c>
      <c r="O1118" s="114" t="str">
        <f>IF(Main[[#This Row],[Tech Start Date]]&lt;1/1/1990,"",IF(Main[[#This Row],[Class]]="C",WORKDAY(Main[[#This Row],[Tech Start Date]],23),IF(Main[[#This Row],[Class]]="B", WORKDAY(Main[[#This Row],[Tech Start Date]],15),IF(Main[[#This Row],[Class]]="A",WORKDAY(Main[[#This Row],[Tech Start Date]],5),""))))</f>
        <v/>
      </c>
      <c r="P1118" s="114" t="str">
        <f>IF(Main[[#This Row],[Tech Start Date]]&lt;1/1/1990,"",IF(Main[[#This Row],[Class]]="C",WORKDAY(Main[[#This Row],[Tech Start Date]],28),IF(Main[[#This Row],[Class]]="B", WORKDAY(Main[[#This Row],[Tech Start Date]],19),IF(Main[[#This Row],[Class]]="A",WORKDAY(Main[[#This Row],[Tech Start Date]],9),""))))</f>
        <v/>
      </c>
      <c r="Q1118" s="129">
        <v>40836</v>
      </c>
      <c r="R1118" s="129"/>
      <c r="S1118" s="139" t="s">
        <v>6</v>
      </c>
      <c r="T1118" s="115" t="s">
        <v>4</v>
      </c>
      <c r="U1118" s="139" t="s">
        <v>29</v>
      </c>
      <c r="V1118" s="139" t="s">
        <v>1917</v>
      </c>
      <c r="W1118" s="139" t="s">
        <v>1918</v>
      </c>
      <c r="X1118" s="139" t="s">
        <v>2836</v>
      </c>
      <c r="Y1118" s="112" t="s">
        <v>2965</v>
      </c>
      <c r="Z1118" s="112" t="s">
        <v>30</v>
      </c>
      <c r="AA1118" s="139" t="s">
        <v>2836</v>
      </c>
    </row>
    <row r="1119" spans="1:27" ht="17.25" customHeight="1">
      <c r="A1119" s="69" t="str">
        <f>IF(priority(Main[[#This Row],[Comments]])&lt;&gt;0, priority(Main[[#This Row],[Comments]]),"")</f>
        <v/>
      </c>
      <c r="B1119" s="63" t="s">
        <v>2750</v>
      </c>
      <c r="C1119" s="148" t="s">
        <v>4</v>
      </c>
      <c r="D1119" s="113" t="s">
        <v>2751</v>
      </c>
      <c r="E1119" s="129">
        <v>40883.642361111109</v>
      </c>
      <c r="F1119" s="129"/>
      <c r="G1119" s="69" t="str">
        <f>IF(stdProdLT(Main[[#This Row],[Comments]])=0.1,"N/A",IF(stdProdLT(Main[[#This Row],[Comments]])=0,"",stdProdLT(Main[[#This Row],[Comments]])))</f>
        <v/>
      </c>
      <c r="H1119" s="138" t="str">
        <f>IF(Main[[#This Row],[In Stock Date]]="N/A", "N/A",IF(AND(Main[[#This Row],[In Stock Date]]&lt;&gt;"",Main[[#This Row],[Revised Due Date]]&lt;&gt;"",Main[[#This Row],[In Stock Date]]&lt;&gt;""),Main[[#This Row],[In Stock Date]]-Main[[#This Row],[Revised Due Date]],""))</f>
        <v/>
      </c>
      <c r="I1119" s="139" t="s">
        <v>74</v>
      </c>
      <c r="J1119" s="139" t="s">
        <v>4</v>
      </c>
      <c r="K1119" s="139" t="s">
        <v>1926</v>
      </c>
      <c r="L1119" s="129"/>
      <c r="M1119" s="114" t="str">
        <f>IF(Main[[#This Row],[Tech Start Date]]&lt;1/1/1990,"",IF(Main[[#This Row],[Class]]="C",WORKDAY(Main[[#This Row],[Tech Start Date]],9),IF(Main[[#This Row],[Class]]="B", WORKDAY(Main[[#This Row],[Tech Start Date]],6),IF(Main[[#This Row],[Class]]="A",WORKDAY(Main[[#This Row],[Tech Start Date]],2),""))))</f>
        <v/>
      </c>
      <c r="N1119" s="114" t="str">
        <f>IF(Main[[#This Row],[Tech Start Date]]&lt;1/1/1990,"",IF(Main[[#This Row],[Class]]="C",WORKDAY(Main[[#This Row],[Tech Start Date]],19),IF(Main[[#This Row],[Class]]="B", WORKDAY(Main[[#This Row],[Tech Start Date]],12),IF(Main[[#This Row],[Class]]="A",WORKDAY(Main[[#This Row],[Tech Start Date]],4),""))))</f>
        <v/>
      </c>
      <c r="O1119" s="114" t="str">
        <f>IF(Main[[#This Row],[Tech Start Date]]&lt;1/1/1990,"",IF(Main[[#This Row],[Class]]="C",WORKDAY(Main[[#This Row],[Tech Start Date]],23),IF(Main[[#This Row],[Class]]="B", WORKDAY(Main[[#This Row],[Tech Start Date]],15),IF(Main[[#This Row],[Class]]="A",WORKDAY(Main[[#This Row],[Tech Start Date]],5),""))))</f>
        <v/>
      </c>
      <c r="P1119" s="114" t="str">
        <f>IF(Main[[#This Row],[Tech Start Date]]&lt;1/1/1990,"",IF(Main[[#This Row],[Class]]="C",WORKDAY(Main[[#This Row],[Tech Start Date]],28),IF(Main[[#This Row],[Class]]="B", WORKDAY(Main[[#This Row],[Tech Start Date]],19),IF(Main[[#This Row],[Class]]="A",WORKDAY(Main[[#This Row],[Tech Start Date]],9),""))))</f>
        <v/>
      </c>
      <c r="Q1119" s="129"/>
      <c r="R1119" s="129"/>
      <c r="S1119" s="139" t="s">
        <v>17</v>
      </c>
      <c r="T1119" s="115" t="s">
        <v>4</v>
      </c>
      <c r="U1119" s="139" t="s">
        <v>29</v>
      </c>
      <c r="V1119" s="139" t="s">
        <v>1917</v>
      </c>
      <c r="W1119" s="139" t="s">
        <v>1919</v>
      </c>
      <c r="X1119" s="139" t="s">
        <v>415</v>
      </c>
      <c r="Y1119" s="112" t="s">
        <v>2975</v>
      </c>
      <c r="Z1119" s="112" t="s">
        <v>415</v>
      </c>
      <c r="AA1119" s="139" t="s">
        <v>415</v>
      </c>
    </row>
    <row r="1120" spans="1:27" ht="17.25" customHeight="1">
      <c r="A1120" s="69" t="str">
        <f>IF(priority(Main[[#This Row],[Comments]])&lt;&gt;0, priority(Main[[#This Row],[Comments]]),"")</f>
        <v/>
      </c>
      <c r="B1120" s="63" t="s">
        <v>2504</v>
      </c>
      <c r="C1120" s="148" t="s">
        <v>4</v>
      </c>
      <c r="D1120" s="113" t="s">
        <v>2505</v>
      </c>
      <c r="E1120" s="129">
        <v>40849.455775462964</v>
      </c>
      <c r="F1120" s="129"/>
      <c r="G1120" s="69" t="str">
        <f>IF(stdProdLT(Main[[#This Row],[Comments]])=0.1,"N/A",IF(stdProdLT(Main[[#This Row],[Comments]])=0,"",stdProdLT(Main[[#This Row],[Comments]])))</f>
        <v/>
      </c>
      <c r="H1120" s="138" t="str">
        <f>IF(Main[[#This Row],[In Stock Date]]="N/A", "N/A",IF(AND(Main[[#This Row],[In Stock Date]]&lt;&gt;"",Main[[#This Row],[Revised Due Date]]&lt;&gt;"",Main[[#This Row],[In Stock Date]]&lt;&gt;""),Main[[#This Row],[In Stock Date]]-Main[[#This Row],[Revised Due Date]],""))</f>
        <v/>
      </c>
      <c r="I1120" s="139" t="s">
        <v>69</v>
      </c>
      <c r="J1120" s="139" t="s">
        <v>70</v>
      </c>
      <c r="K1120" s="139" t="s">
        <v>1923</v>
      </c>
      <c r="L1120" s="129"/>
      <c r="M1120" s="114" t="str">
        <f>IF(Main[[#This Row],[Tech Start Date]]&lt;1/1/1990,"",IF(Main[[#This Row],[Class]]="C",WORKDAY(Main[[#This Row],[Tech Start Date]],9),IF(Main[[#This Row],[Class]]="B", WORKDAY(Main[[#This Row],[Tech Start Date]],6),IF(Main[[#This Row],[Class]]="A",WORKDAY(Main[[#This Row],[Tech Start Date]],2),""))))</f>
        <v/>
      </c>
      <c r="N1120" s="114" t="str">
        <f>IF(Main[[#This Row],[Tech Start Date]]&lt;1/1/1990,"",IF(Main[[#This Row],[Class]]="C",WORKDAY(Main[[#This Row],[Tech Start Date]],19),IF(Main[[#This Row],[Class]]="B", WORKDAY(Main[[#This Row],[Tech Start Date]],12),IF(Main[[#This Row],[Class]]="A",WORKDAY(Main[[#This Row],[Tech Start Date]],4),""))))</f>
        <v/>
      </c>
      <c r="O1120" s="114" t="str">
        <f>IF(Main[[#This Row],[Tech Start Date]]&lt;1/1/1990,"",IF(Main[[#This Row],[Class]]="C",WORKDAY(Main[[#This Row],[Tech Start Date]],23),IF(Main[[#This Row],[Class]]="B", WORKDAY(Main[[#This Row],[Tech Start Date]],15),IF(Main[[#This Row],[Class]]="A",WORKDAY(Main[[#This Row],[Tech Start Date]],5),""))))</f>
        <v/>
      </c>
      <c r="P1120" s="114" t="str">
        <f>IF(Main[[#This Row],[Tech Start Date]]&lt;1/1/1990,"",IF(Main[[#This Row],[Class]]="C",WORKDAY(Main[[#This Row],[Tech Start Date]],28),IF(Main[[#This Row],[Class]]="B", WORKDAY(Main[[#This Row],[Tech Start Date]],19),IF(Main[[#This Row],[Class]]="A",WORKDAY(Main[[#This Row],[Tech Start Date]],9),""))))</f>
        <v/>
      </c>
      <c r="Q1120" s="129">
        <v>40879</v>
      </c>
      <c r="R1120" s="129"/>
      <c r="S1120" s="139" t="s">
        <v>6</v>
      </c>
      <c r="T1120" s="115" t="s">
        <v>4</v>
      </c>
      <c r="U1120" s="139" t="s">
        <v>29</v>
      </c>
      <c r="V1120" s="139" t="s">
        <v>1917</v>
      </c>
      <c r="W1120" s="139" t="s">
        <v>1918</v>
      </c>
      <c r="X1120" s="139" t="s">
        <v>2903</v>
      </c>
      <c r="Y1120" s="112" t="s">
        <v>3083</v>
      </c>
      <c r="Z1120" s="112" t="s">
        <v>30</v>
      </c>
      <c r="AA1120" s="139" t="s">
        <v>2903</v>
      </c>
    </row>
    <row r="1121" spans="1:27" ht="17.25" customHeight="1">
      <c r="A1121" s="69" t="str">
        <f>IF(priority(Main[[#This Row],[Comments]])&lt;&gt;0, priority(Main[[#This Row],[Comments]]),"")</f>
        <v/>
      </c>
      <c r="B1121" s="63" t="s">
        <v>3219</v>
      </c>
      <c r="C1121" s="148" t="s">
        <v>4</v>
      </c>
      <c r="D1121" s="113" t="s">
        <v>3220</v>
      </c>
      <c r="E1121" s="129">
        <v>40924.459930555553</v>
      </c>
      <c r="F1121" s="129"/>
      <c r="G1121" s="69" t="str">
        <f>IF(stdProdLT(Main[[#This Row],[Comments]])=0.1,"N/A",IF(stdProdLT(Main[[#This Row],[Comments]])=0,"",stdProdLT(Main[[#This Row],[Comments]])))</f>
        <v/>
      </c>
      <c r="H1121" s="138" t="str">
        <f>IF(Main[[#This Row],[In Stock Date]]="N/A", "N/A",IF(AND(Main[[#This Row],[In Stock Date]]&lt;&gt;"",Main[[#This Row],[Revised Due Date]]&lt;&gt;"",Main[[#This Row],[In Stock Date]]&lt;&gt;""),Main[[#This Row],[In Stock Date]]-Main[[#This Row],[Revised Due Date]],""))</f>
        <v/>
      </c>
      <c r="I1121" s="139" t="s">
        <v>4</v>
      </c>
      <c r="J1121" s="139" t="s">
        <v>28</v>
      </c>
      <c r="K1121" s="139" t="s">
        <v>4</v>
      </c>
      <c r="L1121" s="129"/>
      <c r="M1121" s="114" t="str">
        <f>IF(Main[[#This Row],[Tech Start Date]]&lt;1/1/1990,"",IF(Main[[#This Row],[Class]]="C",WORKDAY(Main[[#This Row],[Tech Start Date]],9),IF(Main[[#This Row],[Class]]="B", WORKDAY(Main[[#This Row],[Tech Start Date]],6),IF(Main[[#This Row],[Class]]="A",WORKDAY(Main[[#This Row],[Tech Start Date]],2),""))))</f>
        <v/>
      </c>
      <c r="N1121" s="114" t="str">
        <f>IF(Main[[#This Row],[Tech Start Date]]&lt;1/1/1990,"",IF(Main[[#This Row],[Class]]="C",WORKDAY(Main[[#This Row],[Tech Start Date]],19),IF(Main[[#This Row],[Class]]="B", WORKDAY(Main[[#This Row],[Tech Start Date]],12),IF(Main[[#This Row],[Class]]="A",WORKDAY(Main[[#This Row],[Tech Start Date]],4),""))))</f>
        <v/>
      </c>
      <c r="O1121" s="114" t="str">
        <f>IF(Main[[#This Row],[Tech Start Date]]&lt;1/1/1990,"",IF(Main[[#This Row],[Class]]="C",WORKDAY(Main[[#This Row],[Tech Start Date]],23),IF(Main[[#This Row],[Class]]="B", WORKDAY(Main[[#This Row],[Tech Start Date]],15),IF(Main[[#This Row],[Class]]="A",WORKDAY(Main[[#This Row],[Tech Start Date]],5),""))))</f>
        <v/>
      </c>
      <c r="P1121" s="114" t="str">
        <f>IF(Main[[#This Row],[Tech Start Date]]&lt;1/1/1990,"",IF(Main[[#This Row],[Class]]="C",WORKDAY(Main[[#This Row],[Tech Start Date]],28),IF(Main[[#This Row],[Class]]="B", WORKDAY(Main[[#This Row],[Tech Start Date]],19),IF(Main[[#This Row],[Class]]="A",WORKDAY(Main[[#This Row],[Tech Start Date]],9),""))))</f>
        <v/>
      </c>
      <c r="Q1121" s="129"/>
      <c r="R1121" s="129"/>
      <c r="S1121" s="139" t="s">
        <v>6</v>
      </c>
      <c r="T1121" s="115" t="s">
        <v>4</v>
      </c>
      <c r="U1121" s="139" t="s">
        <v>29</v>
      </c>
      <c r="V1121" s="139" t="s">
        <v>1917</v>
      </c>
      <c r="W1121" s="139" t="s">
        <v>1918</v>
      </c>
      <c r="X1121" s="139" t="s">
        <v>102</v>
      </c>
      <c r="Y1121" s="112" t="s">
        <v>3221</v>
      </c>
      <c r="Z1121" s="112" t="s">
        <v>30</v>
      </c>
      <c r="AA1121" s="139" t="s">
        <v>3456</v>
      </c>
    </row>
    <row r="1122" spans="1:27" ht="17.25" customHeight="1">
      <c r="A1122" s="69" t="str">
        <f>IF(priority(Main[[#This Row],[Comments]])&lt;&gt;0, priority(Main[[#This Row],[Comments]]),"")</f>
        <v/>
      </c>
      <c r="B1122" s="63" t="s">
        <v>3539</v>
      </c>
      <c r="C1122" s="148" t="s">
        <v>4</v>
      </c>
      <c r="D1122" s="113" t="s">
        <v>3646</v>
      </c>
      <c r="E1122" s="129">
        <v>40948.438587962963</v>
      </c>
      <c r="F1122" s="129"/>
      <c r="G1122" s="69" t="str">
        <f>IF(stdProdLT(Main[[#This Row],[Comments]])=0.1,"N/A",IF(stdProdLT(Main[[#This Row],[Comments]])=0,"",stdProdLT(Main[[#This Row],[Comments]])))</f>
        <v/>
      </c>
      <c r="H1122" s="138" t="str">
        <f>IF(Main[[#This Row],[In Stock Date]]="N/A", "N/A",IF(AND(Main[[#This Row],[In Stock Date]]&lt;&gt;"",Main[[#This Row],[Revised Due Date]]&lt;&gt;"",Main[[#This Row],[In Stock Date]]&lt;&gt;""),Main[[#This Row],[In Stock Date]]-Main[[#This Row],[Revised Due Date]],""))</f>
        <v/>
      </c>
      <c r="I1122" s="139" t="s">
        <v>4</v>
      </c>
      <c r="J1122" s="139" t="s">
        <v>4</v>
      </c>
      <c r="K1122" s="139" t="s">
        <v>4</v>
      </c>
      <c r="L1122" s="129"/>
      <c r="M1122" s="114" t="str">
        <f>IF(Main[[#This Row],[Tech Start Date]]&lt;1/1/1990,"",IF(Main[[#This Row],[Class]]="C",WORKDAY(Main[[#This Row],[Tech Start Date]],9),IF(Main[[#This Row],[Class]]="B", WORKDAY(Main[[#This Row],[Tech Start Date]],6),IF(Main[[#This Row],[Class]]="A",WORKDAY(Main[[#This Row],[Tech Start Date]],2),""))))</f>
        <v/>
      </c>
      <c r="N1122" s="114" t="str">
        <f>IF(Main[[#This Row],[Tech Start Date]]&lt;1/1/1990,"",IF(Main[[#This Row],[Class]]="C",WORKDAY(Main[[#This Row],[Tech Start Date]],19),IF(Main[[#This Row],[Class]]="B", WORKDAY(Main[[#This Row],[Tech Start Date]],12),IF(Main[[#This Row],[Class]]="A",WORKDAY(Main[[#This Row],[Tech Start Date]],4),""))))</f>
        <v/>
      </c>
      <c r="O1122" s="114" t="str">
        <f>IF(Main[[#This Row],[Tech Start Date]]&lt;1/1/1990,"",IF(Main[[#This Row],[Class]]="C",WORKDAY(Main[[#This Row],[Tech Start Date]],23),IF(Main[[#This Row],[Class]]="B", WORKDAY(Main[[#This Row],[Tech Start Date]],15),IF(Main[[#This Row],[Class]]="A",WORKDAY(Main[[#This Row],[Tech Start Date]],5),""))))</f>
        <v/>
      </c>
      <c r="P1122" s="114" t="str">
        <f>IF(Main[[#This Row],[Tech Start Date]]&lt;1/1/1990,"",IF(Main[[#This Row],[Class]]="C",WORKDAY(Main[[#This Row],[Tech Start Date]],28),IF(Main[[#This Row],[Class]]="B", WORKDAY(Main[[#This Row],[Tech Start Date]],19),IF(Main[[#This Row],[Class]]="A",WORKDAY(Main[[#This Row],[Tech Start Date]],9),""))))</f>
        <v/>
      </c>
      <c r="Q1122" s="129"/>
      <c r="R1122" s="129"/>
      <c r="S1122" s="139" t="s">
        <v>6</v>
      </c>
      <c r="T1122" s="115" t="s">
        <v>4</v>
      </c>
      <c r="U1122" s="139" t="s">
        <v>29</v>
      </c>
      <c r="V1122" s="139" t="s">
        <v>1914</v>
      </c>
      <c r="W1122" s="139" t="s">
        <v>1918</v>
      </c>
      <c r="X1122" s="139" t="s">
        <v>102</v>
      </c>
      <c r="Y1122" s="112" t="s">
        <v>3080</v>
      </c>
      <c r="Z1122" s="112" t="s">
        <v>4</v>
      </c>
      <c r="AA1122" s="139" t="s">
        <v>3423</v>
      </c>
    </row>
    <row r="1123" spans="1:27" ht="17.25" customHeight="1">
      <c r="A1123" s="69" t="str">
        <f>IF(priority(Main[[#This Row],[Comments]])&lt;&gt;0, priority(Main[[#This Row],[Comments]]),"")</f>
        <v/>
      </c>
      <c r="B1123" s="63" t="s">
        <v>3284</v>
      </c>
      <c r="C1123" s="148" t="s">
        <v>4</v>
      </c>
      <c r="D1123" s="113" t="s">
        <v>3285</v>
      </c>
      <c r="E1123" s="129">
        <v>40933.367569444446</v>
      </c>
      <c r="F1123" s="129"/>
      <c r="G1123" s="69" t="str">
        <f>IF(stdProdLT(Main[[#This Row],[Comments]])=0.1,"N/A",IF(stdProdLT(Main[[#This Row],[Comments]])=0,"",stdProdLT(Main[[#This Row],[Comments]])))</f>
        <v/>
      </c>
      <c r="H1123" s="138" t="str">
        <f>IF(Main[[#This Row],[In Stock Date]]="N/A", "N/A",IF(AND(Main[[#This Row],[In Stock Date]]&lt;&gt;"",Main[[#This Row],[Revised Due Date]]&lt;&gt;"",Main[[#This Row],[In Stock Date]]&lt;&gt;""),Main[[#This Row],[In Stock Date]]-Main[[#This Row],[Revised Due Date]],""))</f>
        <v/>
      </c>
      <c r="I1123" s="139" t="s">
        <v>530</v>
      </c>
      <c r="J1123" s="139" t="s">
        <v>52</v>
      </c>
      <c r="K1123" s="139" t="s">
        <v>1923</v>
      </c>
      <c r="L1123" s="129"/>
      <c r="M1123" s="114" t="str">
        <f>IF(Main[[#This Row],[Tech Start Date]]&lt;1/1/1990,"",IF(Main[[#This Row],[Class]]="C",WORKDAY(Main[[#This Row],[Tech Start Date]],9),IF(Main[[#This Row],[Class]]="B", WORKDAY(Main[[#This Row],[Tech Start Date]],6),IF(Main[[#This Row],[Class]]="A",WORKDAY(Main[[#This Row],[Tech Start Date]],2),""))))</f>
        <v/>
      </c>
      <c r="N1123" s="114" t="str">
        <f>IF(Main[[#This Row],[Tech Start Date]]&lt;1/1/1990,"",IF(Main[[#This Row],[Class]]="C",WORKDAY(Main[[#This Row],[Tech Start Date]],19),IF(Main[[#This Row],[Class]]="B", WORKDAY(Main[[#This Row],[Tech Start Date]],12),IF(Main[[#This Row],[Class]]="A",WORKDAY(Main[[#This Row],[Tech Start Date]],4),""))))</f>
        <v/>
      </c>
      <c r="O1123" s="114" t="str">
        <f>IF(Main[[#This Row],[Tech Start Date]]&lt;1/1/1990,"",IF(Main[[#This Row],[Class]]="C",WORKDAY(Main[[#This Row],[Tech Start Date]],23),IF(Main[[#This Row],[Class]]="B", WORKDAY(Main[[#This Row],[Tech Start Date]],15),IF(Main[[#This Row],[Class]]="A",WORKDAY(Main[[#This Row],[Tech Start Date]],5),""))))</f>
        <v/>
      </c>
      <c r="P1123" s="114" t="str">
        <f>IF(Main[[#This Row],[Tech Start Date]]&lt;1/1/1990,"",IF(Main[[#This Row],[Class]]="C",WORKDAY(Main[[#This Row],[Tech Start Date]],28),IF(Main[[#This Row],[Class]]="B", WORKDAY(Main[[#This Row],[Tech Start Date]],19),IF(Main[[#This Row],[Class]]="A",WORKDAY(Main[[#This Row],[Tech Start Date]],9),""))))</f>
        <v/>
      </c>
      <c r="Q1123" s="129"/>
      <c r="R1123" s="129"/>
      <c r="S1123" s="139" t="s">
        <v>6</v>
      </c>
      <c r="T1123" s="115" t="s">
        <v>4</v>
      </c>
      <c r="U1123" s="139" t="s">
        <v>29</v>
      </c>
      <c r="V1123" s="139" t="s">
        <v>1917</v>
      </c>
      <c r="W1123" s="139" t="s">
        <v>1918</v>
      </c>
      <c r="X1123" s="139" t="s">
        <v>2866</v>
      </c>
      <c r="Y1123" s="112" t="s">
        <v>3000</v>
      </c>
      <c r="Z1123" s="112" t="s">
        <v>30</v>
      </c>
      <c r="AA1123" s="139" t="s">
        <v>2866</v>
      </c>
    </row>
    <row r="1124" spans="1:27" ht="17.25" customHeight="1">
      <c r="A1124" s="69" t="str">
        <f>IF(priority(Main[[#This Row],[Comments]])&lt;&gt;0, priority(Main[[#This Row],[Comments]]),"")</f>
        <v/>
      </c>
      <c r="B1124" s="63" t="s">
        <v>2724</v>
      </c>
      <c r="C1124" s="148" t="s">
        <v>4</v>
      </c>
      <c r="D1124" s="113" t="s">
        <v>3210</v>
      </c>
      <c r="E1124" s="129">
        <v>40899.185671296298</v>
      </c>
      <c r="F1124" s="129"/>
      <c r="G1124" s="69" t="str">
        <f>IF(stdProdLT(Main[[#This Row],[Comments]])=0.1,"N/A",IF(stdProdLT(Main[[#This Row],[Comments]])=0,"",stdProdLT(Main[[#This Row],[Comments]])))</f>
        <v/>
      </c>
      <c r="H1124" s="138" t="str">
        <f>IF(Main[[#This Row],[In Stock Date]]="N/A", "N/A",IF(AND(Main[[#This Row],[In Stock Date]]&lt;&gt;"",Main[[#This Row],[Revised Due Date]]&lt;&gt;"",Main[[#This Row],[In Stock Date]]&lt;&gt;""),Main[[#This Row],[In Stock Date]]-Main[[#This Row],[Revised Due Date]],""))</f>
        <v/>
      </c>
      <c r="I1124" s="139" t="s">
        <v>69</v>
      </c>
      <c r="J1124" s="139" t="s">
        <v>28</v>
      </c>
      <c r="K1124" s="139" t="s">
        <v>1923</v>
      </c>
      <c r="L1124" s="129"/>
      <c r="M1124" s="114" t="str">
        <f>IF(Main[[#This Row],[Tech Start Date]]&lt;1/1/1990,"",IF(Main[[#This Row],[Class]]="C",WORKDAY(Main[[#This Row],[Tech Start Date]],9),IF(Main[[#This Row],[Class]]="B", WORKDAY(Main[[#This Row],[Tech Start Date]],6),IF(Main[[#This Row],[Class]]="A",WORKDAY(Main[[#This Row],[Tech Start Date]],2),""))))</f>
        <v/>
      </c>
      <c r="N1124" s="114" t="str">
        <f>IF(Main[[#This Row],[Tech Start Date]]&lt;1/1/1990,"",IF(Main[[#This Row],[Class]]="C",WORKDAY(Main[[#This Row],[Tech Start Date]],19),IF(Main[[#This Row],[Class]]="B", WORKDAY(Main[[#This Row],[Tech Start Date]],12),IF(Main[[#This Row],[Class]]="A",WORKDAY(Main[[#This Row],[Tech Start Date]],4),""))))</f>
        <v/>
      </c>
      <c r="O1124" s="114" t="str">
        <f>IF(Main[[#This Row],[Tech Start Date]]&lt;1/1/1990,"",IF(Main[[#This Row],[Class]]="C",WORKDAY(Main[[#This Row],[Tech Start Date]],23),IF(Main[[#This Row],[Class]]="B", WORKDAY(Main[[#This Row],[Tech Start Date]],15),IF(Main[[#This Row],[Class]]="A",WORKDAY(Main[[#This Row],[Tech Start Date]],5),""))))</f>
        <v/>
      </c>
      <c r="P1124" s="114" t="str">
        <f>IF(Main[[#This Row],[Tech Start Date]]&lt;1/1/1990,"",IF(Main[[#This Row],[Class]]="C",WORKDAY(Main[[#This Row],[Tech Start Date]],28),IF(Main[[#This Row],[Class]]="B", WORKDAY(Main[[#This Row],[Tech Start Date]],19),IF(Main[[#This Row],[Class]]="A",WORKDAY(Main[[#This Row],[Tech Start Date]],9),""))))</f>
        <v/>
      </c>
      <c r="Q1124" s="129">
        <v>40931</v>
      </c>
      <c r="R1124" s="129"/>
      <c r="S1124" s="139" t="s">
        <v>6</v>
      </c>
      <c r="T1124" s="115" t="s">
        <v>4</v>
      </c>
      <c r="U1124" s="139" t="s">
        <v>29</v>
      </c>
      <c r="V1124" s="139" t="s">
        <v>1917</v>
      </c>
      <c r="W1124" s="139" t="s">
        <v>1918</v>
      </c>
      <c r="X1124" s="139" t="s">
        <v>2822</v>
      </c>
      <c r="Y1124" s="112" t="s">
        <v>2938</v>
      </c>
      <c r="Z1124" s="112" t="s">
        <v>30</v>
      </c>
      <c r="AA1124" s="139" t="s">
        <v>2822</v>
      </c>
    </row>
    <row r="1125" spans="1:27" ht="17.25" customHeight="1">
      <c r="A1125" s="69" t="str">
        <f>IF(priority(Main[[#This Row],[Comments]])&lt;&gt;0, priority(Main[[#This Row],[Comments]]),"")</f>
        <v/>
      </c>
      <c r="B1125" s="63" t="s">
        <v>2685</v>
      </c>
      <c r="C1125" s="148" t="s">
        <v>4</v>
      </c>
      <c r="D1125" s="113" t="s">
        <v>2686</v>
      </c>
      <c r="E1125" s="129">
        <v>40890.683576388888</v>
      </c>
      <c r="F1125" s="129"/>
      <c r="G1125" s="69" t="str">
        <f>IF(stdProdLT(Main[[#This Row],[Comments]])=0.1,"N/A",IF(stdProdLT(Main[[#This Row],[Comments]])=0,"",stdProdLT(Main[[#This Row],[Comments]])))</f>
        <v/>
      </c>
      <c r="H1125" s="138" t="str">
        <f>IF(Main[[#This Row],[In Stock Date]]="N/A", "N/A",IF(AND(Main[[#This Row],[In Stock Date]]&lt;&gt;"",Main[[#This Row],[Revised Due Date]]&lt;&gt;"",Main[[#This Row],[In Stock Date]]&lt;&gt;""),Main[[#This Row],[In Stock Date]]-Main[[#This Row],[Revised Due Date]],""))</f>
        <v/>
      </c>
      <c r="I1125" s="139" t="s">
        <v>239</v>
      </c>
      <c r="J1125" s="139" t="s">
        <v>21</v>
      </c>
      <c r="K1125" s="139" t="s">
        <v>1923</v>
      </c>
      <c r="L1125" s="129"/>
      <c r="M1125" s="114" t="str">
        <f>IF(Main[[#This Row],[Tech Start Date]]&lt;1/1/1990,"",IF(Main[[#This Row],[Class]]="C",WORKDAY(Main[[#This Row],[Tech Start Date]],9),IF(Main[[#This Row],[Class]]="B", WORKDAY(Main[[#This Row],[Tech Start Date]],6),IF(Main[[#This Row],[Class]]="A",WORKDAY(Main[[#This Row],[Tech Start Date]],2),""))))</f>
        <v/>
      </c>
      <c r="N1125" s="114" t="str">
        <f>IF(Main[[#This Row],[Tech Start Date]]&lt;1/1/1990,"",IF(Main[[#This Row],[Class]]="C",WORKDAY(Main[[#This Row],[Tech Start Date]],19),IF(Main[[#This Row],[Class]]="B", WORKDAY(Main[[#This Row],[Tech Start Date]],12),IF(Main[[#This Row],[Class]]="A",WORKDAY(Main[[#This Row],[Tech Start Date]],4),""))))</f>
        <v/>
      </c>
      <c r="O1125" s="114" t="str">
        <f>IF(Main[[#This Row],[Tech Start Date]]&lt;1/1/1990,"",IF(Main[[#This Row],[Class]]="C",WORKDAY(Main[[#This Row],[Tech Start Date]],23),IF(Main[[#This Row],[Class]]="B", WORKDAY(Main[[#This Row],[Tech Start Date]],15),IF(Main[[#This Row],[Class]]="A",WORKDAY(Main[[#This Row],[Tech Start Date]],5),""))))</f>
        <v/>
      </c>
      <c r="P1125" s="114" t="str">
        <f>IF(Main[[#This Row],[Tech Start Date]]&lt;1/1/1990,"",IF(Main[[#This Row],[Class]]="C",WORKDAY(Main[[#This Row],[Tech Start Date]],28),IF(Main[[#This Row],[Class]]="B", WORKDAY(Main[[#This Row],[Tech Start Date]],19),IF(Main[[#This Row],[Class]]="A",WORKDAY(Main[[#This Row],[Tech Start Date]],9),""))))</f>
        <v/>
      </c>
      <c r="Q1125" s="129">
        <v>40939</v>
      </c>
      <c r="R1125" s="129"/>
      <c r="S1125" s="139" t="s">
        <v>6</v>
      </c>
      <c r="T1125" s="115" t="s">
        <v>4</v>
      </c>
      <c r="U1125" s="139" t="s">
        <v>29</v>
      </c>
      <c r="V1125" s="139" t="s">
        <v>1917</v>
      </c>
      <c r="W1125" s="139" t="s">
        <v>1918</v>
      </c>
      <c r="X1125" s="139" t="s">
        <v>765</v>
      </c>
      <c r="Y1125" s="112" t="s">
        <v>2935</v>
      </c>
      <c r="Z1125" s="112" t="s">
        <v>30</v>
      </c>
      <c r="AA1125" s="139" t="s">
        <v>765</v>
      </c>
    </row>
    <row r="1126" spans="1:27" ht="17.25" customHeight="1">
      <c r="A1126" s="69" t="str">
        <f>IF(priority(Main[[#This Row],[Comments]])&lt;&gt;0, priority(Main[[#This Row],[Comments]]),"")</f>
        <v/>
      </c>
      <c r="B1126" s="63" t="s">
        <v>2099</v>
      </c>
      <c r="C1126" s="148" t="s">
        <v>4</v>
      </c>
      <c r="D1126" s="113" t="s">
        <v>3269</v>
      </c>
      <c r="E1126" s="129">
        <v>40763.171296296299</v>
      </c>
      <c r="F1126" s="129"/>
      <c r="G1126" s="69" t="str">
        <f>IF(stdProdLT(Main[[#This Row],[Comments]])=0.1,"N/A",IF(stdProdLT(Main[[#This Row],[Comments]])=0,"",stdProdLT(Main[[#This Row],[Comments]])))</f>
        <v/>
      </c>
      <c r="H1126" s="138" t="str">
        <f>IF(Main[[#This Row],[In Stock Date]]="N/A", "N/A",IF(AND(Main[[#This Row],[In Stock Date]]&lt;&gt;"",Main[[#This Row],[Revised Due Date]]&lt;&gt;"",Main[[#This Row],[In Stock Date]]&lt;&gt;""),Main[[#This Row],[In Stock Date]]-Main[[#This Row],[Revised Due Date]],""))</f>
        <v/>
      </c>
      <c r="I1126" s="139" t="s">
        <v>530</v>
      </c>
      <c r="J1126" s="139" t="s">
        <v>3270</v>
      </c>
      <c r="K1126" s="139" t="s">
        <v>1923</v>
      </c>
      <c r="L1126" s="129"/>
      <c r="M1126" s="114" t="str">
        <f>IF(Main[[#This Row],[Tech Start Date]]&lt;1/1/1990,"",IF(Main[[#This Row],[Class]]="C",WORKDAY(Main[[#This Row],[Tech Start Date]],9),IF(Main[[#This Row],[Class]]="B", WORKDAY(Main[[#This Row],[Tech Start Date]],6),IF(Main[[#This Row],[Class]]="A",WORKDAY(Main[[#This Row],[Tech Start Date]],2),""))))</f>
        <v/>
      </c>
      <c r="N1126" s="114" t="str">
        <f>IF(Main[[#This Row],[Tech Start Date]]&lt;1/1/1990,"",IF(Main[[#This Row],[Class]]="C",WORKDAY(Main[[#This Row],[Tech Start Date]],19),IF(Main[[#This Row],[Class]]="B", WORKDAY(Main[[#This Row],[Tech Start Date]],12),IF(Main[[#This Row],[Class]]="A",WORKDAY(Main[[#This Row],[Tech Start Date]],4),""))))</f>
        <v/>
      </c>
      <c r="O1126" s="114" t="str">
        <f>IF(Main[[#This Row],[Tech Start Date]]&lt;1/1/1990,"",IF(Main[[#This Row],[Class]]="C",WORKDAY(Main[[#This Row],[Tech Start Date]],23),IF(Main[[#This Row],[Class]]="B", WORKDAY(Main[[#This Row],[Tech Start Date]],15),IF(Main[[#This Row],[Class]]="A",WORKDAY(Main[[#This Row],[Tech Start Date]],5),""))))</f>
        <v/>
      </c>
      <c r="P1126" s="114" t="str">
        <f>IF(Main[[#This Row],[Tech Start Date]]&lt;1/1/1990,"",IF(Main[[#This Row],[Class]]="C",WORKDAY(Main[[#This Row],[Tech Start Date]],28),IF(Main[[#This Row],[Class]]="B", WORKDAY(Main[[#This Row],[Tech Start Date]],19),IF(Main[[#This Row],[Class]]="A",WORKDAY(Main[[#This Row],[Tech Start Date]],9),""))))</f>
        <v/>
      </c>
      <c r="Q1126" s="129">
        <v>40784</v>
      </c>
      <c r="R1126" s="129"/>
      <c r="S1126" s="139" t="s">
        <v>6</v>
      </c>
      <c r="T1126" s="115" t="s">
        <v>4</v>
      </c>
      <c r="U1126" s="139" t="s">
        <v>29</v>
      </c>
      <c r="V1126" s="139" t="s">
        <v>1917</v>
      </c>
      <c r="W1126" s="139" t="s">
        <v>1918</v>
      </c>
      <c r="X1126" s="139" t="s">
        <v>2851</v>
      </c>
      <c r="Y1126" s="112" t="s">
        <v>2986</v>
      </c>
      <c r="Z1126" s="112" t="s">
        <v>30</v>
      </c>
      <c r="AA1126" s="139" t="s">
        <v>2851</v>
      </c>
    </row>
    <row r="1127" spans="1:27" ht="17.25" customHeight="1">
      <c r="A1127" s="69" t="str">
        <f>IF(priority(Main[[#This Row],[Comments]])&lt;&gt;0, priority(Main[[#This Row],[Comments]]),"")</f>
        <v/>
      </c>
      <c r="B1127" s="63" t="s">
        <v>2453</v>
      </c>
      <c r="C1127" s="148" t="s">
        <v>4</v>
      </c>
      <c r="D1127" s="113" t="s">
        <v>2454</v>
      </c>
      <c r="E1127" s="129"/>
      <c r="F1127" s="129"/>
      <c r="G1127" s="69" t="str">
        <f>IF(stdProdLT(Main[[#This Row],[Comments]])=0.1,"N/A",IF(stdProdLT(Main[[#This Row],[Comments]])=0,"",stdProdLT(Main[[#This Row],[Comments]])))</f>
        <v/>
      </c>
      <c r="H1127" s="138" t="str">
        <f>IF(Main[[#This Row],[In Stock Date]]="N/A", "N/A",IF(AND(Main[[#This Row],[In Stock Date]]&lt;&gt;"",Main[[#This Row],[Revised Due Date]]&lt;&gt;"",Main[[#This Row],[In Stock Date]]&lt;&gt;""),Main[[#This Row],[In Stock Date]]-Main[[#This Row],[Revised Due Date]],""))</f>
        <v/>
      </c>
      <c r="I1127" s="139" t="s">
        <v>530</v>
      </c>
      <c r="J1127" s="139" t="s">
        <v>28</v>
      </c>
      <c r="K1127" s="139" t="s">
        <v>1923</v>
      </c>
      <c r="L1127" s="129"/>
      <c r="M1127" s="114" t="str">
        <f>IF(Main[[#This Row],[Tech Start Date]]&lt;1/1/1990,"",IF(Main[[#This Row],[Class]]="C",WORKDAY(Main[[#This Row],[Tech Start Date]],9),IF(Main[[#This Row],[Class]]="B", WORKDAY(Main[[#This Row],[Tech Start Date]],6),IF(Main[[#This Row],[Class]]="A",WORKDAY(Main[[#This Row],[Tech Start Date]],2),""))))</f>
        <v/>
      </c>
      <c r="N1127" s="114" t="str">
        <f>IF(Main[[#This Row],[Tech Start Date]]&lt;1/1/1990,"",IF(Main[[#This Row],[Class]]="C",WORKDAY(Main[[#This Row],[Tech Start Date]],19),IF(Main[[#This Row],[Class]]="B", WORKDAY(Main[[#This Row],[Tech Start Date]],12),IF(Main[[#This Row],[Class]]="A",WORKDAY(Main[[#This Row],[Tech Start Date]],4),""))))</f>
        <v/>
      </c>
      <c r="O1127" s="114" t="str">
        <f>IF(Main[[#This Row],[Tech Start Date]]&lt;1/1/1990,"",IF(Main[[#This Row],[Class]]="C",WORKDAY(Main[[#This Row],[Tech Start Date]],23),IF(Main[[#This Row],[Class]]="B", WORKDAY(Main[[#This Row],[Tech Start Date]],15),IF(Main[[#This Row],[Class]]="A",WORKDAY(Main[[#This Row],[Tech Start Date]],5),""))))</f>
        <v/>
      </c>
      <c r="P1127" s="114" t="str">
        <f>IF(Main[[#This Row],[Tech Start Date]]&lt;1/1/1990,"",IF(Main[[#This Row],[Class]]="C",WORKDAY(Main[[#This Row],[Tech Start Date]],28),IF(Main[[#This Row],[Class]]="B", WORKDAY(Main[[#This Row],[Tech Start Date]],19),IF(Main[[#This Row],[Class]]="A",WORKDAY(Main[[#This Row],[Tech Start Date]],9),""))))</f>
        <v/>
      </c>
      <c r="Q1127" s="129">
        <v>40954</v>
      </c>
      <c r="R1127" s="129"/>
      <c r="S1127" s="139" t="s">
        <v>6</v>
      </c>
      <c r="T1127" s="115" t="s">
        <v>4</v>
      </c>
      <c r="U1127" s="139" t="s">
        <v>14</v>
      </c>
      <c r="V1127" s="139" t="s">
        <v>1917</v>
      </c>
      <c r="W1127" s="139" t="s">
        <v>1918</v>
      </c>
      <c r="X1127" s="139" t="s">
        <v>553</v>
      </c>
      <c r="Y1127" s="112" t="s">
        <v>2952</v>
      </c>
      <c r="Z1127" s="112" t="s">
        <v>30</v>
      </c>
      <c r="AA1127" s="139" t="s">
        <v>553</v>
      </c>
    </row>
    <row r="1128" spans="1:27" ht="17.25" customHeight="1">
      <c r="A1128" s="69" t="str">
        <f>IF(priority(Main[[#This Row],[Comments]])&lt;&gt;0, priority(Main[[#This Row],[Comments]]),"")</f>
        <v/>
      </c>
      <c r="B1128" s="63" t="s">
        <v>2455</v>
      </c>
      <c r="C1128" s="148" t="s">
        <v>113</v>
      </c>
      <c r="D1128" s="113" t="s">
        <v>2456</v>
      </c>
      <c r="E1128" s="129"/>
      <c r="F1128" s="129">
        <v>40841</v>
      </c>
      <c r="G1128" s="69" t="str">
        <f>IF(stdProdLT(Main[[#This Row],[Comments]])=0.1,"N/A",IF(stdProdLT(Main[[#This Row],[Comments]])=0,"",stdProdLT(Main[[#This Row],[Comments]])))</f>
        <v/>
      </c>
      <c r="H1128" s="138" t="str">
        <f>IF(Main[[#This Row],[In Stock Date]]="N/A", "N/A",IF(AND(Main[[#This Row],[In Stock Date]]&lt;&gt;"",Main[[#This Row],[Revised Due Date]]&lt;&gt;"",Main[[#This Row],[In Stock Date]]&lt;&gt;""),Main[[#This Row],[In Stock Date]]-Main[[#This Row],[Revised Due Date]],""))</f>
        <v/>
      </c>
      <c r="I1128" s="139" t="s">
        <v>4</v>
      </c>
      <c r="J1128" s="139" t="s">
        <v>4</v>
      </c>
      <c r="K1128" s="139" t="s">
        <v>4</v>
      </c>
      <c r="L1128" s="129"/>
      <c r="M1128" s="114" t="str">
        <f>IF(Main[[#This Row],[Tech Start Date]]&lt;1/1/1990,"",IF(Main[[#This Row],[Class]]="C",WORKDAY(Main[[#This Row],[Tech Start Date]],9),IF(Main[[#This Row],[Class]]="B", WORKDAY(Main[[#This Row],[Tech Start Date]],6),IF(Main[[#This Row],[Class]]="A",WORKDAY(Main[[#This Row],[Tech Start Date]],2),""))))</f>
        <v/>
      </c>
      <c r="N1128" s="114" t="str">
        <f>IF(Main[[#This Row],[Tech Start Date]]&lt;1/1/1990,"",IF(Main[[#This Row],[Class]]="C",WORKDAY(Main[[#This Row],[Tech Start Date]],19),IF(Main[[#This Row],[Class]]="B", WORKDAY(Main[[#This Row],[Tech Start Date]],12),IF(Main[[#This Row],[Class]]="A",WORKDAY(Main[[#This Row],[Tech Start Date]],4),""))))</f>
        <v/>
      </c>
      <c r="O1128" s="114" t="str">
        <f>IF(Main[[#This Row],[Tech Start Date]]&lt;1/1/1990,"",IF(Main[[#This Row],[Class]]="C",WORKDAY(Main[[#This Row],[Tech Start Date]],23),IF(Main[[#This Row],[Class]]="B", WORKDAY(Main[[#This Row],[Tech Start Date]],15),IF(Main[[#This Row],[Class]]="A",WORKDAY(Main[[#This Row],[Tech Start Date]],5),""))))</f>
        <v/>
      </c>
      <c r="P1128" s="114" t="str">
        <f>IF(Main[[#This Row],[Tech Start Date]]&lt;1/1/1990,"",IF(Main[[#This Row],[Class]]="C",WORKDAY(Main[[#This Row],[Tech Start Date]],28),IF(Main[[#This Row],[Class]]="B", WORKDAY(Main[[#This Row],[Tech Start Date]],19),IF(Main[[#This Row],[Class]]="A",WORKDAY(Main[[#This Row],[Tech Start Date]],9),""))))</f>
        <v/>
      </c>
      <c r="Q1128" s="129"/>
      <c r="R1128" s="129"/>
      <c r="S1128" s="139" t="s">
        <v>11</v>
      </c>
      <c r="T1128" s="115" t="s">
        <v>4</v>
      </c>
      <c r="U1128" s="139" t="s">
        <v>12</v>
      </c>
      <c r="V1128" s="139" t="s">
        <v>1914</v>
      </c>
      <c r="W1128" s="139" t="s">
        <v>1916</v>
      </c>
      <c r="X1128" s="139" t="s">
        <v>2833</v>
      </c>
      <c r="Y1128" s="112" t="s">
        <v>2939</v>
      </c>
      <c r="Z1128" s="112" t="s">
        <v>4</v>
      </c>
      <c r="AA1128" s="139" t="s">
        <v>2833</v>
      </c>
    </row>
    <row r="1129" spans="1:27" ht="17.25" customHeight="1">
      <c r="A1129" s="69" t="str">
        <f>IF(priority(Main[[#This Row],[Comments]])&lt;&gt;0, priority(Main[[#This Row],[Comments]]),"")</f>
        <v/>
      </c>
      <c r="B1129" s="63" t="s">
        <v>3548</v>
      </c>
      <c r="C1129" s="148" t="s">
        <v>4</v>
      </c>
      <c r="D1129" s="113" t="s">
        <v>3549</v>
      </c>
      <c r="E1129" s="129">
        <v>40946.701331018521</v>
      </c>
      <c r="F1129" s="129"/>
      <c r="G1129" s="69" t="str">
        <f>IF(stdProdLT(Main[[#This Row],[Comments]])=0.1,"N/A",IF(stdProdLT(Main[[#This Row],[Comments]])=0,"",stdProdLT(Main[[#This Row],[Comments]])))</f>
        <v/>
      </c>
      <c r="H1129" s="138" t="str">
        <f>IF(Main[[#This Row],[In Stock Date]]="N/A", "N/A",IF(AND(Main[[#This Row],[In Stock Date]]&lt;&gt;"",Main[[#This Row],[Revised Due Date]]&lt;&gt;"",Main[[#This Row],[In Stock Date]]&lt;&gt;""),Main[[#This Row],[In Stock Date]]-Main[[#This Row],[Revised Due Date]],""))</f>
        <v/>
      </c>
      <c r="I1129" s="139" t="s">
        <v>4</v>
      </c>
      <c r="J1129" s="139" t="s">
        <v>4</v>
      </c>
      <c r="K1129" s="139" t="s">
        <v>4</v>
      </c>
      <c r="L1129" s="129"/>
      <c r="M1129" s="114" t="str">
        <f>IF(Main[[#This Row],[Tech Start Date]]&lt;1/1/1990,"",IF(Main[[#This Row],[Class]]="C",WORKDAY(Main[[#This Row],[Tech Start Date]],9),IF(Main[[#This Row],[Class]]="B", WORKDAY(Main[[#This Row],[Tech Start Date]],6),IF(Main[[#This Row],[Class]]="A",WORKDAY(Main[[#This Row],[Tech Start Date]],2),""))))</f>
        <v/>
      </c>
      <c r="N1129" s="114" t="str">
        <f>IF(Main[[#This Row],[Tech Start Date]]&lt;1/1/1990,"",IF(Main[[#This Row],[Class]]="C",WORKDAY(Main[[#This Row],[Tech Start Date]],19),IF(Main[[#This Row],[Class]]="B", WORKDAY(Main[[#This Row],[Tech Start Date]],12),IF(Main[[#This Row],[Class]]="A",WORKDAY(Main[[#This Row],[Tech Start Date]],4),""))))</f>
        <v/>
      </c>
      <c r="O1129" s="114" t="str">
        <f>IF(Main[[#This Row],[Tech Start Date]]&lt;1/1/1990,"",IF(Main[[#This Row],[Class]]="C",WORKDAY(Main[[#This Row],[Tech Start Date]],23),IF(Main[[#This Row],[Class]]="B", WORKDAY(Main[[#This Row],[Tech Start Date]],15),IF(Main[[#This Row],[Class]]="A",WORKDAY(Main[[#This Row],[Tech Start Date]],5),""))))</f>
        <v/>
      </c>
      <c r="P1129" s="114" t="str">
        <f>IF(Main[[#This Row],[Tech Start Date]]&lt;1/1/1990,"",IF(Main[[#This Row],[Class]]="C",WORKDAY(Main[[#This Row],[Tech Start Date]],28),IF(Main[[#This Row],[Class]]="B", WORKDAY(Main[[#This Row],[Tech Start Date]],19),IF(Main[[#This Row],[Class]]="A",WORKDAY(Main[[#This Row],[Tech Start Date]],9),""))))</f>
        <v/>
      </c>
      <c r="Q1129" s="129">
        <v>40953</v>
      </c>
      <c r="R1129" s="129"/>
      <c r="S1129" s="139" t="s">
        <v>6</v>
      </c>
      <c r="T1129" s="115" t="s">
        <v>4</v>
      </c>
      <c r="U1129" s="139" t="s">
        <v>7</v>
      </c>
      <c r="V1129" s="139" t="s">
        <v>1914</v>
      </c>
      <c r="W1129" s="139" t="s">
        <v>1922</v>
      </c>
      <c r="X1129" s="139" t="s">
        <v>2821</v>
      </c>
      <c r="Y1129" s="112" t="s">
        <v>2936</v>
      </c>
      <c r="Z1129" s="112" t="s">
        <v>4</v>
      </c>
      <c r="AA1129" s="139" t="s">
        <v>2821</v>
      </c>
    </row>
    <row r="1130" spans="1:27" ht="17.25" customHeight="1">
      <c r="A1130" s="69" t="str">
        <f>IF(priority(Main[[#This Row],[Comments]])&lt;&gt;0, priority(Main[[#This Row],[Comments]]),"")</f>
        <v/>
      </c>
      <c r="B1130" s="63" t="s">
        <v>1846</v>
      </c>
      <c r="C1130" s="148" t="s">
        <v>67</v>
      </c>
      <c r="D1130" s="113" t="s">
        <v>902</v>
      </c>
      <c r="E1130" s="129">
        <v>39937.597453703704</v>
      </c>
      <c r="F1130" s="129">
        <v>40533</v>
      </c>
      <c r="G1130" s="69" t="str">
        <f>IF(stdProdLT(Main[[#This Row],[Comments]])=0.1,"N/A",IF(stdProdLT(Main[[#This Row],[Comments]])=0,"",stdProdLT(Main[[#This Row],[Comments]])))</f>
        <v/>
      </c>
      <c r="H1130" s="138">
        <f>IF(Main[[#This Row],[In Stock Date]]="N/A", "N/A",IF(AND(Main[[#This Row],[In Stock Date]]&lt;&gt;"",Main[[#This Row],[Revised Due Date]]&lt;&gt;"",Main[[#This Row],[In Stock Date]]&lt;&gt;""),Main[[#This Row],[In Stock Date]]-Main[[#This Row],[Revised Due Date]],""))</f>
        <v>-342</v>
      </c>
      <c r="I1130" s="139" t="s">
        <v>74</v>
      </c>
      <c r="J1130" s="139" t="s">
        <v>28</v>
      </c>
      <c r="K1130" s="139" t="s">
        <v>1926</v>
      </c>
      <c r="L1130" s="129"/>
      <c r="M1130" s="114" t="str">
        <f>IF(Main[[#This Row],[Tech Start Date]]&lt;1/1/1990,"",IF(Main[[#This Row],[Class]]="C",WORKDAY(Main[[#This Row],[Tech Start Date]],9),IF(Main[[#This Row],[Class]]="B", WORKDAY(Main[[#This Row],[Tech Start Date]],6),IF(Main[[#This Row],[Class]]="A",WORKDAY(Main[[#This Row],[Tech Start Date]],2),""))))</f>
        <v/>
      </c>
      <c r="N1130" s="114" t="str">
        <f>IF(Main[[#This Row],[Tech Start Date]]&lt;1/1/1990,"",IF(Main[[#This Row],[Class]]="C",WORKDAY(Main[[#This Row],[Tech Start Date]],19),IF(Main[[#This Row],[Class]]="B", WORKDAY(Main[[#This Row],[Tech Start Date]],12),IF(Main[[#This Row],[Class]]="A",WORKDAY(Main[[#This Row],[Tech Start Date]],4),""))))</f>
        <v/>
      </c>
      <c r="O1130" s="114" t="str">
        <f>IF(Main[[#This Row],[Tech Start Date]]&lt;1/1/1990,"",IF(Main[[#This Row],[Class]]="C",WORKDAY(Main[[#This Row],[Tech Start Date]],23),IF(Main[[#This Row],[Class]]="B", WORKDAY(Main[[#This Row],[Tech Start Date]],15),IF(Main[[#This Row],[Class]]="A",WORKDAY(Main[[#This Row],[Tech Start Date]],5),""))))</f>
        <v/>
      </c>
      <c r="P1130" s="114" t="str">
        <f>IF(Main[[#This Row],[Tech Start Date]]&lt;1/1/1990,"",IF(Main[[#This Row],[Class]]="C",WORKDAY(Main[[#This Row],[Tech Start Date]],28),IF(Main[[#This Row],[Class]]="B", WORKDAY(Main[[#This Row],[Tech Start Date]],19),IF(Main[[#This Row],[Class]]="A",WORKDAY(Main[[#This Row],[Tech Start Date]],9),""))))</f>
        <v/>
      </c>
      <c r="Q1130" s="129"/>
      <c r="R1130" s="129">
        <v>40875</v>
      </c>
      <c r="S1130" s="139" t="s">
        <v>17</v>
      </c>
      <c r="T1130" s="115" t="s">
        <v>4</v>
      </c>
      <c r="U1130" s="139" t="s">
        <v>29</v>
      </c>
      <c r="V1130" s="139" t="s">
        <v>1917</v>
      </c>
      <c r="W1130" s="139" t="s">
        <v>1922</v>
      </c>
      <c r="X1130" s="139" t="s">
        <v>399</v>
      </c>
      <c r="Y1130" s="112" t="s">
        <v>4</v>
      </c>
      <c r="Z1130" s="112" t="s">
        <v>415</v>
      </c>
      <c r="AA1130" s="139" t="s">
        <v>3458</v>
      </c>
    </row>
    <row r="1131" spans="1:27" ht="17.25" customHeight="1">
      <c r="A1131" s="69" t="str">
        <f>IF(priority(Main[[#This Row],[Comments]])&lt;&gt;0, priority(Main[[#This Row],[Comments]]),"")</f>
        <v/>
      </c>
      <c r="B1131" s="63" t="s">
        <v>2490</v>
      </c>
      <c r="C1131" s="148" t="s">
        <v>4</v>
      </c>
      <c r="D1131" s="113" t="s">
        <v>2491</v>
      </c>
      <c r="E1131" s="129"/>
      <c r="F1131" s="129"/>
      <c r="G1131" s="69" t="str">
        <f>IF(stdProdLT(Main[[#This Row],[Comments]])=0.1,"N/A",IF(stdProdLT(Main[[#This Row],[Comments]])=0,"",stdProdLT(Main[[#This Row],[Comments]])))</f>
        <v/>
      </c>
      <c r="H1131" s="138" t="str">
        <f>IF(Main[[#This Row],[In Stock Date]]="N/A", "N/A",IF(AND(Main[[#This Row],[In Stock Date]]&lt;&gt;"",Main[[#This Row],[Revised Due Date]]&lt;&gt;"",Main[[#This Row],[In Stock Date]]&lt;&gt;""),Main[[#This Row],[In Stock Date]]-Main[[#This Row],[Revised Due Date]],""))</f>
        <v/>
      </c>
      <c r="I1131" s="139" t="s">
        <v>530</v>
      </c>
      <c r="J1131" s="139" t="s">
        <v>21</v>
      </c>
      <c r="K1131" s="139" t="s">
        <v>1923</v>
      </c>
      <c r="L1131" s="129"/>
      <c r="M1131" s="114" t="str">
        <f>IF(Main[[#This Row],[Tech Start Date]]&lt;1/1/1990,"",IF(Main[[#This Row],[Class]]="C",WORKDAY(Main[[#This Row],[Tech Start Date]],9),IF(Main[[#This Row],[Class]]="B", WORKDAY(Main[[#This Row],[Tech Start Date]],6),IF(Main[[#This Row],[Class]]="A",WORKDAY(Main[[#This Row],[Tech Start Date]],2),""))))</f>
        <v/>
      </c>
      <c r="N1131" s="114" t="str">
        <f>IF(Main[[#This Row],[Tech Start Date]]&lt;1/1/1990,"",IF(Main[[#This Row],[Class]]="C",WORKDAY(Main[[#This Row],[Tech Start Date]],19),IF(Main[[#This Row],[Class]]="B", WORKDAY(Main[[#This Row],[Tech Start Date]],12),IF(Main[[#This Row],[Class]]="A",WORKDAY(Main[[#This Row],[Tech Start Date]],4),""))))</f>
        <v/>
      </c>
      <c r="O1131" s="114" t="str">
        <f>IF(Main[[#This Row],[Tech Start Date]]&lt;1/1/1990,"",IF(Main[[#This Row],[Class]]="C",WORKDAY(Main[[#This Row],[Tech Start Date]],23),IF(Main[[#This Row],[Class]]="B", WORKDAY(Main[[#This Row],[Tech Start Date]],15),IF(Main[[#This Row],[Class]]="A",WORKDAY(Main[[#This Row],[Tech Start Date]],5),""))))</f>
        <v/>
      </c>
      <c r="P1131" s="114" t="str">
        <f>IF(Main[[#This Row],[Tech Start Date]]&lt;1/1/1990,"",IF(Main[[#This Row],[Class]]="C",WORKDAY(Main[[#This Row],[Tech Start Date]],28),IF(Main[[#This Row],[Class]]="B", WORKDAY(Main[[#This Row],[Tech Start Date]],19),IF(Main[[#This Row],[Class]]="A",WORKDAY(Main[[#This Row],[Tech Start Date]],9),""))))</f>
        <v/>
      </c>
      <c r="Q1131" s="129">
        <v>40939</v>
      </c>
      <c r="R1131" s="129"/>
      <c r="S1131" s="139" t="s">
        <v>6</v>
      </c>
      <c r="T1131" s="115" t="s">
        <v>4</v>
      </c>
      <c r="U1131" s="139" t="s">
        <v>14</v>
      </c>
      <c r="V1131" s="139" t="s">
        <v>1917</v>
      </c>
      <c r="W1131" s="139" t="s">
        <v>1918</v>
      </c>
      <c r="X1131" s="139" t="s">
        <v>553</v>
      </c>
      <c r="Y1131" s="112" t="s">
        <v>2952</v>
      </c>
      <c r="Z1131" s="112" t="s">
        <v>30</v>
      </c>
      <c r="AA1131" s="139" t="s">
        <v>553</v>
      </c>
    </row>
    <row r="1132" spans="1:27" ht="17.25" customHeight="1">
      <c r="A1132" s="69" t="str">
        <f>IF(priority(Main[[#This Row],[Comments]])&lt;&gt;0, priority(Main[[#This Row],[Comments]]),"")</f>
        <v/>
      </c>
      <c r="B1132" s="63" t="s">
        <v>2459</v>
      </c>
      <c r="C1132" s="148" t="s">
        <v>4</v>
      </c>
      <c r="D1132" s="113" t="s">
        <v>2673</v>
      </c>
      <c r="E1132" s="129">
        <v>40865.334965277776</v>
      </c>
      <c r="F1132" s="129"/>
      <c r="G1132" s="69" t="str">
        <f>IF(stdProdLT(Main[[#This Row],[Comments]])=0.1,"N/A",IF(stdProdLT(Main[[#This Row],[Comments]])=0,"",stdProdLT(Main[[#This Row],[Comments]])))</f>
        <v/>
      </c>
      <c r="H1132" s="138" t="str">
        <f>IF(Main[[#This Row],[In Stock Date]]="N/A", "N/A",IF(AND(Main[[#This Row],[In Stock Date]]&lt;&gt;"",Main[[#This Row],[Revised Due Date]]&lt;&gt;"",Main[[#This Row],[In Stock Date]]&lt;&gt;""),Main[[#This Row],[In Stock Date]]-Main[[#This Row],[Revised Due Date]],""))</f>
        <v/>
      </c>
      <c r="I1132" s="139" t="s">
        <v>4</v>
      </c>
      <c r="J1132" s="139" t="s">
        <v>4</v>
      </c>
      <c r="K1132" s="139" t="s">
        <v>4</v>
      </c>
      <c r="L1132" s="129"/>
      <c r="M1132" s="114" t="str">
        <f>IF(Main[[#This Row],[Tech Start Date]]&lt;1/1/1990,"",IF(Main[[#This Row],[Class]]="C",WORKDAY(Main[[#This Row],[Tech Start Date]],9),IF(Main[[#This Row],[Class]]="B", WORKDAY(Main[[#This Row],[Tech Start Date]],6),IF(Main[[#This Row],[Class]]="A",WORKDAY(Main[[#This Row],[Tech Start Date]],2),""))))</f>
        <v/>
      </c>
      <c r="N1132" s="114" t="str">
        <f>IF(Main[[#This Row],[Tech Start Date]]&lt;1/1/1990,"",IF(Main[[#This Row],[Class]]="C",WORKDAY(Main[[#This Row],[Tech Start Date]],19),IF(Main[[#This Row],[Class]]="B", WORKDAY(Main[[#This Row],[Tech Start Date]],12),IF(Main[[#This Row],[Class]]="A",WORKDAY(Main[[#This Row],[Tech Start Date]],4),""))))</f>
        <v/>
      </c>
      <c r="O1132" s="114" t="str">
        <f>IF(Main[[#This Row],[Tech Start Date]]&lt;1/1/1990,"",IF(Main[[#This Row],[Class]]="C",WORKDAY(Main[[#This Row],[Tech Start Date]],23),IF(Main[[#This Row],[Class]]="B", WORKDAY(Main[[#This Row],[Tech Start Date]],15),IF(Main[[#This Row],[Class]]="A",WORKDAY(Main[[#This Row],[Tech Start Date]],5),""))))</f>
        <v/>
      </c>
      <c r="P1132" s="114" t="str">
        <f>IF(Main[[#This Row],[Tech Start Date]]&lt;1/1/1990,"",IF(Main[[#This Row],[Class]]="C",WORKDAY(Main[[#This Row],[Tech Start Date]],28),IF(Main[[#This Row],[Class]]="B", WORKDAY(Main[[#This Row],[Tech Start Date]],19),IF(Main[[#This Row],[Class]]="A",WORKDAY(Main[[#This Row],[Tech Start Date]],9),""))))</f>
        <v/>
      </c>
      <c r="Q1132" s="129"/>
      <c r="R1132" s="129"/>
      <c r="S1132" s="139" t="s">
        <v>6</v>
      </c>
      <c r="T1132" s="115" t="s">
        <v>4</v>
      </c>
      <c r="U1132" s="139" t="s">
        <v>7</v>
      </c>
      <c r="V1132" s="139" t="s">
        <v>1914</v>
      </c>
      <c r="W1132" s="139" t="s">
        <v>1918</v>
      </c>
      <c r="X1132" s="139" t="s">
        <v>102</v>
      </c>
      <c r="Y1132" s="112" t="s">
        <v>3080</v>
      </c>
      <c r="Z1132" s="112" t="s">
        <v>4</v>
      </c>
      <c r="AA1132" s="139" t="s">
        <v>3385</v>
      </c>
    </row>
    <row r="1133" spans="1:27" ht="17.25" customHeight="1">
      <c r="A1133" s="69" t="str">
        <f>IF(priority(Main[[#This Row],[Comments]])&lt;&gt;0, priority(Main[[#This Row],[Comments]]),"")</f>
        <v/>
      </c>
      <c r="B1133" s="63" t="s">
        <v>3641</v>
      </c>
      <c r="C1133" s="148" t="s">
        <v>4</v>
      </c>
      <c r="D1133" s="113" t="s">
        <v>3642</v>
      </c>
      <c r="E1133" s="129">
        <v>40956.460902777777</v>
      </c>
      <c r="F1133" s="129"/>
      <c r="G1133" s="69" t="str">
        <f>IF(stdProdLT(Main[[#This Row],[Comments]])=0.1,"N/A",IF(stdProdLT(Main[[#This Row],[Comments]])=0,"",stdProdLT(Main[[#This Row],[Comments]])))</f>
        <v/>
      </c>
      <c r="H1133" s="138" t="str">
        <f>IF(Main[[#This Row],[In Stock Date]]="N/A", "N/A",IF(AND(Main[[#This Row],[In Stock Date]]&lt;&gt;"",Main[[#This Row],[Revised Due Date]]&lt;&gt;"",Main[[#This Row],[In Stock Date]]&lt;&gt;""),Main[[#This Row],[In Stock Date]]-Main[[#This Row],[Revised Due Date]],""))</f>
        <v/>
      </c>
      <c r="I1133" s="139" t="s">
        <v>2051</v>
      </c>
      <c r="J1133" s="139" t="s">
        <v>28</v>
      </c>
      <c r="K1133" s="139" t="s">
        <v>4</v>
      </c>
      <c r="L1133" s="129"/>
      <c r="M1133" s="114" t="str">
        <f>IF(Main[[#This Row],[Tech Start Date]]&lt;1/1/1990,"",IF(Main[[#This Row],[Class]]="C",WORKDAY(Main[[#This Row],[Tech Start Date]],9),IF(Main[[#This Row],[Class]]="B", WORKDAY(Main[[#This Row],[Tech Start Date]],6),IF(Main[[#This Row],[Class]]="A",WORKDAY(Main[[#This Row],[Tech Start Date]],2),""))))</f>
        <v/>
      </c>
      <c r="N1133" s="114" t="str">
        <f>IF(Main[[#This Row],[Tech Start Date]]&lt;1/1/1990,"",IF(Main[[#This Row],[Class]]="C",WORKDAY(Main[[#This Row],[Tech Start Date]],19),IF(Main[[#This Row],[Class]]="B", WORKDAY(Main[[#This Row],[Tech Start Date]],12),IF(Main[[#This Row],[Class]]="A",WORKDAY(Main[[#This Row],[Tech Start Date]],4),""))))</f>
        <v/>
      </c>
      <c r="O1133" s="114" t="str">
        <f>IF(Main[[#This Row],[Tech Start Date]]&lt;1/1/1990,"",IF(Main[[#This Row],[Class]]="C",WORKDAY(Main[[#This Row],[Tech Start Date]],23),IF(Main[[#This Row],[Class]]="B", WORKDAY(Main[[#This Row],[Tech Start Date]],15),IF(Main[[#This Row],[Class]]="A",WORKDAY(Main[[#This Row],[Tech Start Date]],5),""))))</f>
        <v/>
      </c>
      <c r="P1133" s="114" t="str">
        <f>IF(Main[[#This Row],[Tech Start Date]]&lt;1/1/1990,"",IF(Main[[#This Row],[Class]]="C",WORKDAY(Main[[#This Row],[Tech Start Date]],28),IF(Main[[#This Row],[Class]]="B", WORKDAY(Main[[#This Row],[Tech Start Date]],19),IF(Main[[#This Row],[Class]]="A",WORKDAY(Main[[#This Row],[Tech Start Date]],9),""))))</f>
        <v/>
      </c>
      <c r="Q1133" s="129">
        <v>40991</v>
      </c>
      <c r="R1133" s="129"/>
      <c r="S1133" s="139" t="s">
        <v>6</v>
      </c>
      <c r="T1133" s="115" t="s">
        <v>4</v>
      </c>
      <c r="U1133" s="139" t="s">
        <v>29</v>
      </c>
      <c r="V1133" s="139" t="s">
        <v>1917</v>
      </c>
      <c r="W1133" s="139" t="s">
        <v>1918</v>
      </c>
      <c r="X1133" s="139" t="s">
        <v>2818</v>
      </c>
      <c r="Y1133" s="112" t="s">
        <v>2929</v>
      </c>
      <c r="Z1133" s="112" t="s">
        <v>30</v>
      </c>
      <c r="AA1133" s="139" t="s">
        <v>2818</v>
      </c>
    </row>
    <row r="1134" spans="1:27" ht="17.25" customHeight="1">
      <c r="A1134" s="69" t="str">
        <f>IF(priority(Main[[#This Row],[Comments]])&lt;&gt;0, priority(Main[[#This Row],[Comments]]),"")</f>
        <v/>
      </c>
      <c r="B1134" s="63" t="s">
        <v>2294</v>
      </c>
      <c r="C1134" s="148" t="s">
        <v>4</v>
      </c>
      <c r="D1134" s="113" t="s">
        <v>3643</v>
      </c>
      <c r="E1134" s="129">
        <v>40814.667314814818</v>
      </c>
      <c r="F1134" s="129"/>
      <c r="G1134" s="69" t="str">
        <f>IF(stdProdLT(Main[[#This Row],[Comments]])=0.1,"N/A",IF(stdProdLT(Main[[#This Row],[Comments]])=0,"",stdProdLT(Main[[#This Row],[Comments]])))</f>
        <v/>
      </c>
      <c r="H1134" s="138" t="str">
        <f>IF(Main[[#This Row],[In Stock Date]]="N/A", "N/A",IF(AND(Main[[#This Row],[In Stock Date]]&lt;&gt;"",Main[[#This Row],[Revised Due Date]]&lt;&gt;"",Main[[#This Row],[In Stock Date]]&lt;&gt;""),Main[[#This Row],[In Stock Date]]-Main[[#This Row],[Revised Due Date]],""))</f>
        <v/>
      </c>
      <c r="I1134" s="139" t="s">
        <v>883</v>
      </c>
      <c r="J1134" s="139" t="s">
        <v>51</v>
      </c>
      <c r="K1134" s="139" t="s">
        <v>1923</v>
      </c>
      <c r="L1134" s="129"/>
      <c r="M1134" s="114" t="str">
        <f>IF(Main[[#This Row],[Tech Start Date]]&lt;1/1/1990,"",IF(Main[[#This Row],[Class]]="C",WORKDAY(Main[[#This Row],[Tech Start Date]],9),IF(Main[[#This Row],[Class]]="B", WORKDAY(Main[[#This Row],[Tech Start Date]],6),IF(Main[[#This Row],[Class]]="A",WORKDAY(Main[[#This Row],[Tech Start Date]],2),""))))</f>
        <v/>
      </c>
      <c r="N1134" s="114" t="str">
        <f>IF(Main[[#This Row],[Tech Start Date]]&lt;1/1/1990,"",IF(Main[[#This Row],[Class]]="C",WORKDAY(Main[[#This Row],[Tech Start Date]],19),IF(Main[[#This Row],[Class]]="B", WORKDAY(Main[[#This Row],[Tech Start Date]],12),IF(Main[[#This Row],[Class]]="A",WORKDAY(Main[[#This Row],[Tech Start Date]],4),""))))</f>
        <v/>
      </c>
      <c r="O1134" s="114" t="str">
        <f>IF(Main[[#This Row],[Tech Start Date]]&lt;1/1/1990,"",IF(Main[[#This Row],[Class]]="C",WORKDAY(Main[[#This Row],[Tech Start Date]],23),IF(Main[[#This Row],[Class]]="B", WORKDAY(Main[[#This Row],[Tech Start Date]],15),IF(Main[[#This Row],[Class]]="A",WORKDAY(Main[[#This Row],[Tech Start Date]],5),""))))</f>
        <v/>
      </c>
      <c r="P1134" s="114" t="str">
        <f>IF(Main[[#This Row],[Tech Start Date]]&lt;1/1/1990,"",IF(Main[[#This Row],[Class]]="C",WORKDAY(Main[[#This Row],[Tech Start Date]],28),IF(Main[[#This Row],[Class]]="B", WORKDAY(Main[[#This Row],[Tech Start Date]],19),IF(Main[[#This Row],[Class]]="A",WORKDAY(Main[[#This Row],[Tech Start Date]],9),""))))</f>
        <v/>
      </c>
      <c r="Q1134" s="129"/>
      <c r="R1134" s="129"/>
      <c r="S1134" s="139" t="s">
        <v>6</v>
      </c>
      <c r="T1134" s="115" t="s">
        <v>4</v>
      </c>
      <c r="U1134" s="139" t="s">
        <v>29</v>
      </c>
      <c r="V1134" s="139" t="s">
        <v>1917</v>
      </c>
      <c r="W1134" s="139" t="s">
        <v>1918</v>
      </c>
      <c r="X1134" s="139" t="s">
        <v>399</v>
      </c>
      <c r="Y1134" s="112" t="s">
        <v>2963</v>
      </c>
      <c r="Z1134" s="112" t="s">
        <v>306</v>
      </c>
      <c r="AA1134" s="139" t="s">
        <v>883</v>
      </c>
    </row>
    <row r="1135" spans="1:27" ht="17.25" customHeight="1">
      <c r="A1135" s="69" t="str">
        <f>IF(priority(Main[[#This Row],[Comments]])&lt;&gt;0, priority(Main[[#This Row],[Comments]]),"")</f>
        <v/>
      </c>
      <c r="B1135" s="63" t="s">
        <v>2375</v>
      </c>
      <c r="C1135" s="148" t="s">
        <v>4</v>
      </c>
      <c r="D1135" s="113" t="s">
        <v>2376</v>
      </c>
      <c r="E1135" s="129">
        <v>40835.331365740742</v>
      </c>
      <c r="F1135" s="129"/>
      <c r="G1135" s="69" t="str">
        <f>IF(stdProdLT(Main[[#This Row],[Comments]])=0.1,"N/A",IF(stdProdLT(Main[[#This Row],[Comments]])=0,"",stdProdLT(Main[[#This Row],[Comments]])))</f>
        <v/>
      </c>
      <c r="H1135" s="138" t="str">
        <f>IF(Main[[#This Row],[In Stock Date]]="N/A", "N/A",IF(AND(Main[[#This Row],[In Stock Date]]&lt;&gt;"",Main[[#This Row],[Revised Due Date]]&lt;&gt;"",Main[[#This Row],[In Stock Date]]&lt;&gt;""),Main[[#This Row],[In Stock Date]]-Main[[#This Row],[Revised Due Date]],""))</f>
        <v/>
      </c>
      <c r="I1135" s="139" t="s">
        <v>530</v>
      </c>
      <c r="J1135" s="139" t="s">
        <v>21</v>
      </c>
      <c r="K1135" s="139" t="s">
        <v>1923</v>
      </c>
      <c r="L1135" s="129"/>
      <c r="M1135" s="114" t="str">
        <f>IF(Main[[#This Row],[Tech Start Date]]&lt;1/1/1990,"",IF(Main[[#This Row],[Class]]="C",WORKDAY(Main[[#This Row],[Tech Start Date]],9),IF(Main[[#This Row],[Class]]="B", WORKDAY(Main[[#This Row],[Tech Start Date]],6),IF(Main[[#This Row],[Class]]="A",WORKDAY(Main[[#This Row],[Tech Start Date]],2),""))))</f>
        <v/>
      </c>
      <c r="N1135" s="114" t="str">
        <f>IF(Main[[#This Row],[Tech Start Date]]&lt;1/1/1990,"",IF(Main[[#This Row],[Class]]="C",WORKDAY(Main[[#This Row],[Tech Start Date]],19),IF(Main[[#This Row],[Class]]="B", WORKDAY(Main[[#This Row],[Tech Start Date]],12),IF(Main[[#This Row],[Class]]="A",WORKDAY(Main[[#This Row],[Tech Start Date]],4),""))))</f>
        <v/>
      </c>
      <c r="O1135" s="114" t="str">
        <f>IF(Main[[#This Row],[Tech Start Date]]&lt;1/1/1990,"",IF(Main[[#This Row],[Class]]="C",WORKDAY(Main[[#This Row],[Tech Start Date]],23),IF(Main[[#This Row],[Class]]="B", WORKDAY(Main[[#This Row],[Tech Start Date]],15),IF(Main[[#This Row],[Class]]="A",WORKDAY(Main[[#This Row],[Tech Start Date]],5),""))))</f>
        <v/>
      </c>
      <c r="P1135" s="114" t="str">
        <f>IF(Main[[#This Row],[Tech Start Date]]&lt;1/1/1990,"",IF(Main[[#This Row],[Class]]="C",WORKDAY(Main[[#This Row],[Tech Start Date]],28),IF(Main[[#This Row],[Class]]="B", WORKDAY(Main[[#This Row],[Tech Start Date]],19),IF(Main[[#This Row],[Class]]="A",WORKDAY(Main[[#This Row],[Tech Start Date]],9),""))))</f>
        <v/>
      </c>
      <c r="Q1135" s="129"/>
      <c r="R1135" s="129"/>
      <c r="S1135" s="139" t="s">
        <v>6</v>
      </c>
      <c r="T1135" s="115" t="s">
        <v>4</v>
      </c>
      <c r="U1135" s="139" t="s">
        <v>29</v>
      </c>
      <c r="V1135" s="139" t="s">
        <v>1917</v>
      </c>
      <c r="W1135" s="139" t="s">
        <v>1918</v>
      </c>
      <c r="X1135" s="139" t="s">
        <v>399</v>
      </c>
      <c r="Y1135" s="112" t="s">
        <v>4</v>
      </c>
      <c r="Z1135" s="112" t="s">
        <v>530</v>
      </c>
      <c r="AA1135" s="139" t="s">
        <v>3396</v>
      </c>
    </row>
    <row r="1136" spans="1:27" ht="17.25" customHeight="1">
      <c r="A1136" s="69" t="str">
        <f>IF(priority(Main[[#This Row],[Comments]])&lt;&gt;0, priority(Main[[#This Row],[Comments]]),"")</f>
        <v/>
      </c>
      <c r="B1136" s="63" t="s">
        <v>3644</v>
      </c>
      <c r="C1136" s="148" t="s">
        <v>122</v>
      </c>
      <c r="D1136" s="113" t="s">
        <v>3645</v>
      </c>
      <c r="E1136" s="129">
        <v>40966.422523148147</v>
      </c>
      <c r="F1136" s="129">
        <v>40998</v>
      </c>
      <c r="G1136" s="69" t="str">
        <f>IF(stdProdLT(Main[[#This Row],[Comments]])=0.1,"N/A",IF(stdProdLT(Main[[#This Row],[Comments]])=0,"",stdProdLT(Main[[#This Row],[Comments]])))</f>
        <v/>
      </c>
      <c r="H1136" s="138" t="str">
        <f>IF(Main[[#This Row],[In Stock Date]]="N/A", "N/A",IF(AND(Main[[#This Row],[In Stock Date]]&lt;&gt;"",Main[[#This Row],[Revised Due Date]]&lt;&gt;"",Main[[#This Row],[In Stock Date]]&lt;&gt;""),Main[[#This Row],[In Stock Date]]-Main[[#This Row],[Revised Due Date]],""))</f>
        <v/>
      </c>
      <c r="I1136" s="139" t="s">
        <v>4</v>
      </c>
      <c r="J1136" s="139" t="s">
        <v>4</v>
      </c>
      <c r="K1136" s="139" t="s">
        <v>4</v>
      </c>
      <c r="L1136" s="129"/>
      <c r="M1136" s="114" t="str">
        <f>IF(Main[[#This Row],[Tech Start Date]]&lt;1/1/1990,"",IF(Main[[#This Row],[Class]]="C",WORKDAY(Main[[#This Row],[Tech Start Date]],9),IF(Main[[#This Row],[Class]]="B", WORKDAY(Main[[#This Row],[Tech Start Date]],6),IF(Main[[#This Row],[Class]]="A",WORKDAY(Main[[#This Row],[Tech Start Date]],2),""))))</f>
        <v/>
      </c>
      <c r="N1136" s="114" t="str">
        <f>IF(Main[[#This Row],[Tech Start Date]]&lt;1/1/1990,"",IF(Main[[#This Row],[Class]]="C",WORKDAY(Main[[#This Row],[Tech Start Date]],19),IF(Main[[#This Row],[Class]]="B", WORKDAY(Main[[#This Row],[Tech Start Date]],12),IF(Main[[#This Row],[Class]]="A",WORKDAY(Main[[#This Row],[Tech Start Date]],4),""))))</f>
        <v/>
      </c>
      <c r="O1136" s="114" t="str">
        <f>IF(Main[[#This Row],[Tech Start Date]]&lt;1/1/1990,"",IF(Main[[#This Row],[Class]]="C",WORKDAY(Main[[#This Row],[Tech Start Date]],23),IF(Main[[#This Row],[Class]]="B", WORKDAY(Main[[#This Row],[Tech Start Date]],15),IF(Main[[#This Row],[Class]]="A",WORKDAY(Main[[#This Row],[Tech Start Date]],5),""))))</f>
        <v/>
      </c>
      <c r="P1136" s="114" t="str">
        <f>IF(Main[[#This Row],[Tech Start Date]]&lt;1/1/1990,"",IF(Main[[#This Row],[Class]]="C",WORKDAY(Main[[#This Row],[Tech Start Date]],28),IF(Main[[#This Row],[Class]]="B", WORKDAY(Main[[#This Row],[Tech Start Date]],19),IF(Main[[#This Row],[Class]]="A",WORKDAY(Main[[#This Row],[Tech Start Date]],9),""))))</f>
        <v/>
      </c>
      <c r="Q1136" s="129"/>
      <c r="R1136" s="129"/>
      <c r="S1136" s="139" t="s">
        <v>17</v>
      </c>
      <c r="T1136" s="115" t="s">
        <v>4</v>
      </c>
      <c r="U1136" s="139" t="s">
        <v>7</v>
      </c>
      <c r="V1136" s="139" t="s">
        <v>1917</v>
      </c>
      <c r="W1136" s="139" t="s">
        <v>1922</v>
      </c>
      <c r="X1136" s="139" t="s">
        <v>50</v>
      </c>
      <c r="Y1136" s="112" t="s">
        <v>3582</v>
      </c>
      <c r="Z1136" s="112" t="s">
        <v>4</v>
      </c>
      <c r="AA1136" s="139" t="s">
        <v>65</v>
      </c>
    </row>
    <row r="1137" spans="1:27" ht="17.25" customHeight="1">
      <c r="A1137" s="69" t="str">
        <f>IF(priority(Main[[#This Row],[Comments]])&lt;&gt;0, priority(Main[[#This Row],[Comments]]),"")</f>
        <v/>
      </c>
      <c r="B1137" s="63" t="s">
        <v>2381</v>
      </c>
      <c r="C1137" s="148" t="s">
        <v>72</v>
      </c>
      <c r="D1137" s="113" t="s">
        <v>2382</v>
      </c>
      <c r="E1137" s="129">
        <v>40856.064849537041</v>
      </c>
      <c r="F1137" s="129"/>
      <c r="G1137" s="69" t="str">
        <f>IF(stdProdLT(Main[[#This Row],[Comments]])=0.1,"N/A",IF(stdProdLT(Main[[#This Row],[Comments]])=0,"",stdProdLT(Main[[#This Row],[Comments]])))</f>
        <v/>
      </c>
      <c r="H1137" s="138" t="str">
        <f>IF(Main[[#This Row],[In Stock Date]]="N/A", "N/A",IF(AND(Main[[#This Row],[In Stock Date]]&lt;&gt;"",Main[[#This Row],[Revised Due Date]]&lt;&gt;"",Main[[#This Row],[In Stock Date]]&lt;&gt;""),Main[[#This Row],[In Stock Date]]-Main[[#This Row],[Revised Due Date]],""))</f>
        <v/>
      </c>
      <c r="I1137" s="139" t="s">
        <v>4</v>
      </c>
      <c r="J1137" s="139" t="s">
        <v>4</v>
      </c>
      <c r="K1137" s="139" t="s">
        <v>4</v>
      </c>
      <c r="L1137" s="129"/>
      <c r="M1137" s="114" t="str">
        <f>IF(Main[[#This Row],[Tech Start Date]]&lt;1/1/1990,"",IF(Main[[#This Row],[Class]]="C",WORKDAY(Main[[#This Row],[Tech Start Date]],9),IF(Main[[#This Row],[Class]]="B", WORKDAY(Main[[#This Row],[Tech Start Date]],6),IF(Main[[#This Row],[Class]]="A",WORKDAY(Main[[#This Row],[Tech Start Date]],2),""))))</f>
        <v/>
      </c>
      <c r="N1137" s="114" t="str">
        <f>IF(Main[[#This Row],[Tech Start Date]]&lt;1/1/1990,"",IF(Main[[#This Row],[Class]]="C",WORKDAY(Main[[#This Row],[Tech Start Date]],19),IF(Main[[#This Row],[Class]]="B", WORKDAY(Main[[#This Row],[Tech Start Date]],12),IF(Main[[#This Row],[Class]]="A",WORKDAY(Main[[#This Row],[Tech Start Date]],4),""))))</f>
        <v/>
      </c>
      <c r="O1137" s="114" t="str">
        <f>IF(Main[[#This Row],[Tech Start Date]]&lt;1/1/1990,"",IF(Main[[#This Row],[Class]]="C",WORKDAY(Main[[#This Row],[Tech Start Date]],23),IF(Main[[#This Row],[Class]]="B", WORKDAY(Main[[#This Row],[Tech Start Date]],15),IF(Main[[#This Row],[Class]]="A",WORKDAY(Main[[#This Row],[Tech Start Date]],5),""))))</f>
        <v/>
      </c>
      <c r="P1137" s="114" t="str">
        <f>IF(Main[[#This Row],[Tech Start Date]]&lt;1/1/1990,"",IF(Main[[#This Row],[Class]]="C",WORKDAY(Main[[#This Row],[Tech Start Date]],28),IF(Main[[#This Row],[Class]]="B", WORKDAY(Main[[#This Row],[Tech Start Date]],19),IF(Main[[#This Row],[Class]]="A",WORKDAY(Main[[#This Row],[Tech Start Date]],9),""))))</f>
        <v/>
      </c>
      <c r="Q1137" s="129"/>
      <c r="R1137" s="129"/>
      <c r="S1137" s="139" t="s">
        <v>17</v>
      </c>
      <c r="T1137" s="115" t="s">
        <v>4</v>
      </c>
      <c r="U1137" s="139" t="s">
        <v>7</v>
      </c>
      <c r="V1137" s="139" t="s">
        <v>1915</v>
      </c>
      <c r="W1137" s="139" t="s">
        <v>1916</v>
      </c>
      <c r="X1137" s="139" t="s">
        <v>2890</v>
      </c>
      <c r="Y1137" s="112" t="s">
        <v>3047</v>
      </c>
      <c r="Z1137" s="112" t="s">
        <v>4</v>
      </c>
      <c r="AA1137" s="139" t="s">
        <v>2890</v>
      </c>
    </row>
    <row r="1138" spans="1:27" ht="17.25" customHeight="1">
      <c r="A1138" s="69" t="str">
        <f>IF(priority(Main[[#This Row],[Comments]])&lt;&gt;0, priority(Main[[#This Row],[Comments]]),"")</f>
        <v/>
      </c>
      <c r="B1138" s="63" t="s">
        <v>2466</v>
      </c>
      <c r="C1138" s="148" t="s">
        <v>47</v>
      </c>
      <c r="D1138" s="113" t="s">
        <v>2467</v>
      </c>
      <c r="E1138" s="129">
        <v>40847.703182870369</v>
      </c>
      <c r="F1138" s="129"/>
      <c r="G1138" s="69" t="str">
        <f>IF(stdProdLT(Main[[#This Row],[Comments]])=0.1,"N/A",IF(stdProdLT(Main[[#This Row],[Comments]])=0,"",stdProdLT(Main[[#This Row],[Comments]])))</f>
        <v/>
      </c>
      <c r="H1138" s="138" t="str">
        <f>IF(Main[[#This Row],[In Stock Date]]="N/A", "N/A",IF(AND(Main[[#This Row],[In Stock Date]]&lt;&gt;"",Main[[#This Row],[Revised Due Date]]&lt;&gt;"",Main[[#This Row],[In Stock Date]]&lt;&gt;""),Main[[#This Row],[In Stock Date]]-Main[[#This Row],[Revised Due Date]],""))</f>
        <v/>
      </c>
      <c r="I1138" s="139" t="s">
        <v>69</v>
      </c>
      <c r="J1138" s="139" t="s">
        <v>28</v>
      </c>
      <c r="K1138" s="139" t="s">
        <v>1923</v>
      </c>
      <c r="L1138" s="129"/>
      <c r="M1138" s="114" t="str">
        <f>IF(Main[[#This Row],[Tech Start Date]]&lt;1/1/1990,"",IF(Main[[#This Row],[Class]]="C",WORKDAY(Main[[#This Row],[Tech Start Date]],9),IF(Main[[#This Row],[Class]]="B", WORKDAY(Main[[#This Row],[Tech Start Date]],6),IF(Main[[#This Row],[Class]]="A",WORKDAY(Main[[#This Row],[Tech Start Date]],2),""))))</f>
        <v/>
      </c>
      <c r="N1138" s="114" t="str">
        <f>IF(Main[[#This Row],[Tech Start Date]]&lt;1/1/1990,"",IF(Main[[#This Row],[Class]]="C",WORKDAY(Main[[#This Row],[Tech Start Date]],19),IF(Main[[#This Row],[Class]]="B", WORKDAY(Main[[#This Row],[Tech Start Date]],12),IF(Main[[#This Row],[Class]]="A",WORKDAY(Main[[#This Row],[Tech Start Date]],4),""))))</f>
        <v/>
      </c>
      <c r="O1138" s="114" t="str">
        <f>IF(Main[[#This Row],[Tech Start Date]]&lt;1/1/1990,"",IF(Main[[#This Row],[Class]]="C",WORKDAY(Main[[#This Row],[Tech Start Date]],23),IF(Main[[#This Row],[Class]]="B", WORKDAY(Main[[#This Row],[Tech Start Date]],15),IF(Main[[#This Row],[Class]]="A",WORKDAY(Main[[#This Row],[Tech Start Date]],5),""))))</f>
        <v/>
      </c>
      <c r="P1138" s="114" t="str">
        <f>IF(Main[[#This Row],[Tech Start Date]]&lt;1/1/1990,"",IF(Main[[#This Row],[Class]]="C",WORKDAY(Main[[#This Row],[Tech Start Date]],28),IF(Main[[#This Row],[Class]]="B", WORKDAY(Main[[#This Row],[Tech Start Date]],19),IF(Main[[#This Row],[Class]]="A",WORKDAY(Main[[#This Row],[Tech Start Date]],9),""))))</f>
        <v/>
      </c>
      <c r="Q1138" s="129">
        <v>40862</v>
      </c>
      <c r="R1138" s="129"/>
      <c r="S1138" s="139" t="s">
        <v>6</v>
      </c>
      <c r="T1138" s="115" t="s">
        <v>4</v>
      </c>
      <c r="U1138" s="139" t="s">
        <v>29</v>
      </c>
      <c r="V1138" s="139" t="s">
        <v>1917</v>
      </c>
      <c r="W1138" s="139" t="s">
        <v>1918</v>
      </c>
      <c r="X1138" s="139" t="s">
        <v>2865</v>
      </c>
      <c r="Y1138" s="112" t="s">
        <v>3010</v>
      </c>
      <c r="Z1138" s="112" t="s">
        <v>30</v>
      </c>
      <c r="AA1138" s="139" t="s">
        <v>2865</v>
      </c>
    </row>
    <row r="1139" spans="1:27" ht="17.25" customHeight="1">
      <c r="A1139" s="69" t="str">
        <f>IF(priority(Main[[#This Row],[Comments]])&lt;&gt;0, priority(Main[[#This Row],[Comments]]),"")</f>
        <v/>
      </c>
      <c r="B1139" s="63" t="s">
        <v>3654</v>
      </c>
      <c r="C1139" s="148" t="s">
        <v>3655</v>
      </c>
      <c r="D1139" s="113" t="s">
        <v>3656</v>
      </c>
      <c r="E1139" s="129">
        <v>40954.604432870372</v>
      </c>
      <c r="F1139" s="129"/>
      <c r="G1139" s="69" t="str">
        <f>IF(stdProdLT(Main[[#This Row],[Comments]])=0.1,"N/A",IF(stdProdLT(Main[[#This Row],[Comments]])=0,"",stdProdLT(Main[[#This Row],[Comments]])))</f>
        <v/>
      </c>
      <c r="H1139" s="138" t="str">
        <f>IF(Main[[#This Row],[In Stock Date]]="N/A", "N/A",IF(AND(Main[[#This Row],[In Stock Date]]&lt;&gt;"",Main[[#This Row],[Revised Due Date]]&lt;&gt;"",Main[[#This Row],[In Stock Date]]&lt;&gt;""),Main[[#This Row],[In Stock Date]]-Main[[#This Row],[Revised Due Date]],""))</f>
        <v/>
      </c>
      <c r="I1139" s="139" t="s">
        <v>940</v>
      </c>
      <c r="J1139" s="139" t="s">
        <v>28</v>
      </c>
      <c r="K1139" s="139" t="s">
        <v>1927</v>
      </c>
      <c r="L1139" s="129"/>
      <c r="M1139" s="114" t="str">
        <f>IF(Main[[#This Row],[Tech Start Date]]&lt;1/1/1990,"",IF(Main[[#This Row],[Class]]="C",WORKDAY(Main[[#This Row],[Tech Start Date]],9),IF(Main[[#This Row],[Class]]="B", WORKDAY(Main[[#This Row],[Tech Start Date]],6),IF(Main[[#This Row],[Class]]="A",WORKDAY(Main[[#This Row],[Tech Start Date]],2),""))))</f>
        <v/>
      </c>
      <c r="N1139" s="114" t="str">
        <f>IF(Main[[#This Row],[Tech Start Date]]&lt;1/1/1990,"",IF(Main[[#This Row],[Class]]="C",WORKDAY(Main[[#This Row],[Tech Start Date]],19),IF(Main[[#This Row],[Class]]="B", WORKDAY(Main[[#This Row],[Tech Start Date]],12),IF(Main[[#This Row],[Class]]="A",WORKDAY(Main[[#This Row],[Tech Start Date]],4),""))))</f>
        <v/>
      </c>
      <c r="O1139" s="114" t="str">
        <f>IF(Main[[#This Row],[Tech Start Date]]&lt;1/1/1990,"",IF(Main[[#This Row],[Class]]="C",WORKDAY(Main[[#This Row],[Tech Start Date]],23),IF(Main[[#This Row],[Class]]="B", WORKDAY(Main[[#This Row],[Tech Start Date]],15),IF(Main[[#This Row],[Class]]="A",WORKDAY(Main[[#This Row],[Tech Start Date]],5),""))))</f>
        <v/>
      </c>
      <c r="P1139" s="114" t="str">
        <f>IF(Main[[#This Row],[Tech Start Date]]&lt;1/1/1990,"",IF(Main[[#This Row],[Class]]="C",WORKDAY(Main[[#This Row],[Tech Start Date]],28),IF(Main[[#This Row],[Class]]="B", WORKDAY(Main[[#This Row],[Tech Start Date]],19),IF(Main[[#This Row],[Class]]="A",WORKDAY(Main[[#This Row],[Tech Start Date]],9),""))))</f>
        <v/>
      </c>
      <c r="Q1139" s="129">
        <v>40968</v>
      </c>
      <c r="R1139" s="129"/>
      <c r="S1139" s="139" t="s">
        <v>11</v>
      </c>
      <c r="T1139" s="115" t="s">
        <v>4</v>
      </c>
      <c r="U1139" s="139" t="s">
        <v>7</v>
      </c>
      <c r="V1139" s="139" t="s">
        <v>1915</v>
      </c>
      <c r="W1139" s="139" t="s">
        <v>1916</v>
      </c>
      <c r="X1139" s="139" t="s">
        <v>2862</v>
      </c>
      <c r="Y1139" s="112" t="s">
        <v>4</v>
      </c>
      <c r="Z1139" s="112" t="s">
        <v>2053</v>
      </c>
      <c r="AA1139" s="139" t="s">
        <v>4</v>
      </c>
    </row>
    <row r="1140" spans="1:27" ht="17.25" customHeight="1">
      <c r="A1140" s="69" t="str">
        <f>IF(priority(Main[[#This Row],[Comments]])&lt;&gt;0, priority(Main[[#This Row],[Comments]]),"")</f>
        <v/>
      </c>
      <c r="B1140" s="63" t="s">
        <v>1438</v>
      </c>
      <c r="C1140" s="148" t="s">
        <v>4</v>
      </c>
      <c r="D1140" s="113" t="s">
        <v>516</v>
      </c>
      <c r="E1140" s="129">
        <v>40584.460439814815</v>
      </c>
      <c r="F1140" s="129">
        <v>40599</v>
      </c>
      <c r="G1140" s="69" t="str">
        <f>IF(stdProdLT(Main[[#This Row],[Comments]])=0.1,"N/A",IF(stdProdLT(Main[[#This Row],[Comments]])=0,"",stdProdLT(Main[[#This Row],[Comments]])))</f>
        <v/>
      </c>
      <c r="H1140" s="138" t="str">
        <f>IF(Main[[#This Row],[In Stock Date]]="N/A", "N/A",IF(AND(Main[[#This Row],[In Stock Date]]&lt;&gt;"",Main[[#This Row],[Revised Due Date]]&lt;&gt;"",Main[[#This Row],[In Stock Date]]&lt;&gt;""),Main[[#This Row],[In Stock Date]]-Main[[#This Row],[Revised Due Date]],""))</f>
        <v/>
      </c>
      <c r="I1140" s="139" t="s">
        <v>415</v>
      </c>
      <c r="J1140" s="139" t="s">
        <v>21</v>
      </c>
      <c r="K1140" s="140" t="s">
        <v>1923</v>
      </c>
      <c r="L1140" s="129"/>
      <c r="M1140" s="114" t="str">
        <f>IF(Main[[#This Row],[Tech Start Date]]&lt;1/1/1990,"",IF(Main[[#This Row],[Class]]="C",WORKDAY(Main[[#This Row],[Tech Start Date]],9),IF(Main[[#This Row],[Class]]="B", WORKDAY(Main[[#This Row],[Tech Start Date]],6),IF(Main[[#This Row],[Class]]="A",WORKDAY(Main[[#This Row],[Tech Start Date]],2),""))))</f>
        <v/>
      </c>
      <c r="N1140" s="114" t="str">
        <f>IF(Main[[#This Row],[Tech Start Date]]&lt;1/1/1990,"",IF(Main[[#This Row],[Class]]="C",WORKDAY(Main[[#This Row],[Tech Start Date]],19),IF(Main[[#This Row],[Class]]="B", WORKDAY(Main[[#This Row],[Tech Start Date]],12),IF(Main[[#This Row],[Class]]="A",WORKDAY(Main[[#This Row],[Tech Start Date]],4),""))))</f>
        <v/>
      </c>
      <c r="O1140" s="114" t="str">
        <f>IF(Main[[#This Row],[Tech Start Date]]&lt;1/1/1990,"",IF(Main[[#This Row],[Class]]="C",WORKDAY(Main[[#This Row],[Tech Start Date]],23),IF(Main[[#This Row],[Class]]="B", WORKDAY(Main[[#This Row],[Tech Start Date]],15),IF(Main[[#This Row],[Class]]="A",WORKDAY(Main[[#This Row],[Tech Start Date]],5),""))))</f>
        <v/>
      </c>
      <c r="P1140" s="114" t="str">
        <f>IF(Main[[#This Row],[Tech Start Date]]&lt;1/1/1990,"",IF(Main[[#This Row],[Class]]="C",WORKDAY(Main[[#This Row],[Tech Start Date]],28),IF(Main[[#This Row],[Class]]="B", WORKDAY(Main[[#This Row],[Tech Start Date]],19),IF(Main[[#This Row],[Class]]="A",WORKDAY(Main[[#This Row],[Tech Start Date]],9),""))))</f>
        <v/>
      </c>
      <c r="Q1140" s="129">
        <v>40599</v>
      </c>
      <c r="R1140" s="129"/>
      <c r="S1140" s="139" t="s">
        <v>6</v>
      </c>
      <c r="T1140" s="115" t="s">
        <v>4</v>
      </c>
      <c r="U1140" s="139" t="s">
        <v>29</v>
      </c>
      <c r="V1140" s="139" t="s">
        <v>1924</v>
      </c>
      <c r="W1140" s="139" t="s">
        <v>1916</v>
      </c>
      <c r="X1140" s="139" t="s">
        <v>415</v>
      </c>
      <c r="Y1140" s="112" t="s">
        <v>2975</v>
      </c>
      <c r="Z1140" s="112" t="s">
        <v>415</v>
      </c>
      <c r="AA1140" s="139" t="s">
        <v>415</v>
      </c>
    </row>
    <row r="1141" spans="1:27" ht="17.25" customHeight="1">
      <c r="A1141" s="69" t="str">
        <f>IF(priority(Main[[#This Row],[Comments]])&lt;&gt;0, priority(Main[[#This Row],[Comments]]),"")</f>
        <v/>
      </c>
      <c r="B1141" s="63" t="s">
        <v>2468</v>
      </c>
      <c r="C1141" s="148" t="s">
        <v>4</v>
      </c>
      <c r="D1141" s="113" t="s">
        <v>2469</v>
      </c>
      <c r="E1141" s="129"/>
      <c r="F1141" s="129"/>
      <c r="G1141" s="69" t="str">
        <f>IF(stdProdLT(Main[[#This Row],[Comments]])=0.1,"N/A",IF(stdProdLT(Main[[#This Row],[Comments]])=0,"",stdProdLT(Main[[#This Row],[Comments]])))</f>
        <v/>
      </c>
      <c r="H1141" s="138" t="str">
        <f>IF(Main[[#This Row],[In Stock Date]]="N/A", "N/A",IF(AND(Main[[#This Row],[In Stock Date]]&lt;&gt;"",Main[[#This Row],[Revised Due Date]]&lt;&gt;"",Main[[#This Row],[In Stock Date]]&lt;&gt;""),Main[[#This Row],[In Stock Date]]-Main[[#This Row],[Revised Due Date]],""))</f>
        <v/>
      </c>
      <c r="I1141" s="139" t="s">
        <v>4</v>
      </c>
      <c r="J1141" s="139" t="s">
        <v>4</v>
      </c>
      <c r="K1141" s="139" t="s">
        <v>4</v>
      </c>
      <c r="L1141" s="129"/>
      <c r="M1141" s="114" t="str">
        <f>IF(Main[[#This Row],[Tech Start Date]]&lt;1/1/1990,"",IF(Main[[#This Row],[Class]]="C",WORKDAY(Main[[#This Row],[Tech Start Date]],9),IF(Main[[#This Row],[Class]]="B", WORKDAY(Main[[#This Row],[Tech Start Date]],6),IF(Main[[#This Row],[Class]]="A",WORKDAY(Main[[#This Row],[Tech Start Date]],2),""))))</f>
        <v/>
      </c>
      <c r="N1141" s="114" t="str">
        <f>IF(Main[[#This Row],[Tech Start Date]]&lt;1/1/1990,"",IF(Main[[#This Row],[Class]]="C",WORKDAY(Main[[#This Row],[Tech Start Date]],19),IF(Main[[#This Row],[Class]]="B", WORKDAY(Main[[#This Row],[Tech Start Date]],12),IF(Main[[#This Row],[Class]]="A",WORKDAY(Main[[#This Row],[Tech Start Date]],4),""))))</f>
        <v/>
      </c>
      <c r="O1141" s="114" t="str">
        <f>IF(Main[[#This Row],[Tech Start Date]]&lt;1/1/1990,"",IF(Main[[#This Row],[Class]]="C",WORKDAY(Main[[#This Row],[Tech Start Date]],23),IF(Main[[#This Row],[Class]]="B", WORKDAY(Main[[#This Row],[Tech Start Date]],15),IF(Main[[#This Row],[Class]]="A",WORKDAY(Main[[#This Row],[Tech Start Date]],5),""))))</f>
        <v/>
      </c>
      <c r="P1141" s="114" t="str">
        <f>IF(Main[[#This Row],[Tech Start Date]]&lt;1/1/1990,"",IF(Main[[#This Row],[Class]]="C",WORKDAY(Main[[#This Row],[Tech Start Date]],28),IF(Main[[#This Row],[Class]]="B", WORKDAY(Main[[#This Row],[Tech Start Date]],19),IF(Main[[#This Row],[Class]]="A",WORKDAY(Main[[#This Row],[Tech Start Date]],9),""))))</f>
        <v/>
      </c>
      <c r="Q1141" s="129"/>
      <c r="R1141" s="129"/>
      <c r="S1141" s="139" t="s">
        <v>11</v>
      </c>
      <c r="T1141" s="115" t="s">
        <v>4</v>
      </c>
      <c r="U1141" s="139" t="s">
        <v>14</v>
      </c>
      <c r="V1141" s="139" t="s">
        <v>1915</v>
      </c>
      <c r="W1141" s="139" t="s">
        <v>4</v>
      </c>
      <c r="X1141" s="139" t="s">
        <v>2249</v>
      </c>
      <c r="Y1141" s="112" t="s">
        <v>4</v>
      </c>
      <c r="Z1141" s="112" t="s">
        <v>4</v>
      </c>
      <c r="AA1141" s="139" t="s">
        <v>4</v>
      </c>
    </row>
    <row r="1142" spans="1:27" ht="17.25" customHeight="1">
      <c r="A1142" s="69" t="str">
        <f>IF(priority(Main[[#This Row],[Comments]])&lt;&gt;0, priority(Main[[#This Row],[Comments]]),"")</f>
        <v/>
      </c>
      <c r="B1142" s="63" t="s">
        <v>2470</v>
      </c>
      <c r="C1142" s="148" t="s">
        <v>2418</v>
      </c>
      <c r="D1142" s="113" t="s">
        <v>2471</v>
      </c>
      <c r="E1142" s="129"/>
      <c r="F1142" s="129">
        <v>40969</v>
      </c>
      <c r="G1142" s="69" t="str">
        <f>IF(stdProdLT(Main[[#This Row],[Comments]])=0.1,"N/A",IF(stdProdLT(Main[[#This Row],[Comments]])=0,"",stdProdLT(Main[[#This Row],[Comments]])))</f>
        <v/>
      </c>
      <c r="H1142" s="138" t="str">
        <f>IF(Main[[#This Row],[In Stock Date]]="N/A", "N/A",IF(AND(Main[[#This Row],[In Stock Date]]&lt;&gt;"",Main[[#This Row],[Revised Due Date]]&lt;&gt;"",Main[[#This Row],[In Stock Date]]&lt;&gt;""),Main[[#This Row],[In Stock Date]]-Main[[#This Row],[Revised Due Date]],""))</f>
        <v/>
      </c>
      <c r="I1142" s="139" t="s">
        <v>4</v>
      </c>
      <c r="J1142" s="139" t="s">
        <v>4</v>
      </c>
      <c r="K1142" s="139" t="s">
        <v>4</v>
      </c>
      <c r="L1142" s="129"/>
      <c r="M1142" s="114" t="str">
        <f>IF(Main[[#This Row],[Tech Start Date]]&lt;1/1/1990,"",IF(Main[[#This Row],[Class]]="C",WORKDAY(Main[[#This Row],[Tech Start Date]],9),IF(Main[[#This Row],[Class]]="B", WORKDAY(Main[[#This Row],[Tech Start Date]],6),IF(Main[[#This Row],[Class]]="A",WORKDAY(Main[[#This Row],[Tech Start Date]],2),""))))</f>
        <v/>
      </c>
      <c r="N1142" s="114" t="str">
        <f>IF(Main[[#This Row],[Tech Start Date]]&lt;1/1/1990,"",IF(Main[[#This Row],[Class]]="C",WORKDAY(Main[[#This Row],[Tech Start Date]],19),IF(Main[[#This Row],[Class]]="B", WORKDAY(Main[[#This Row],[Tech Start Date]],12),IF(Main[[#This Row],[Class]]="A",WORKDAY(Main[[#This Row],[Tech Start Date]],4),""))))</f>
        <v/>
      </c>
      <c r="O1142" s="114" t="str">
        <f>IF(Main[[#This Row],[Tech Start Date]]&lt;1/1/1990,"",IF(Main[[#This Row],[Class]]="C",WORKDAY(Main[[#This Row],[Tech Start Date]],23),IF(Main[[#This Row],[Class]]="B", WORKDAY(Main[[#This Row],[Tech Start Date]],15),IF(Main[[#This Row],[Class]]="A",WORKDAY(Main[[#This Row],[Tech Start Date]],5),""))))</f>
        <v/>
      </c>
      <c r="P1142" s="114" t="str">
        <f>IF(Main[[#This Row],[Tech Start Date]]&lt;1/1/1990,"",IF(Main[[#This Row],[Class]]="C",WORKDAY(Main[[#This Row],[Tech Start Date]],28),IF(Main[[#This Row],[Class]]="B", WORKDAY(Main[[#This Row],[Tech Start Date]],19),IF(Main[[#This Row],[Class]]="A",WORKDAY(Main[[#This Row],[Tech Start Date]],9),""))))</f>
        <v/>
      </c>
      <c r="Q1142" s="129"/>
      <c r="R1142" s="129"/>
      <c r="S1142" s="139" t="s">
        <v>4</v>
      </c>
      <c r="T1142" s="115" t="s">
        <v>2472</v>
      </c>
      <c r="U1142" s="139" t="s">
        <v>14</v>
      </c>
      <c r="V1142" s="139" t="s">
        <v>1917</v>
      </c>
      <c r="W1142" s="139" t="s">
        <v>4</v>
      </c>
      <c r="X1142" s="139" t="s">
        <v>2856</v>
      </c>
      <c r="Y1142" s="112" t="s">
        <v>4</v>
      </c>
      <c r="Z1142" s="112" t="s">
        <v>4</v>
      </c>
      <c r="AA1142" s="139" t="s">
        <v>4</v>
      </c>
    </row>
    <row r="1143" spans="1:27" ht="17.25" customHeight="1">
      <c r="A1143" s="69" t="str">
        <f>IF(priority(Main[[#This Row],[Comments]])&lt;&gt;0, priority(Main[[#This Row],[Comments]]),"")</f>
        <v/>
      </c>
      <c r="B1143" s="63" t="s">
        <v>2475</v>
      </c>
      <c r="C1143" s="148" t="s">
        <v>4</v>
      </c>
      <c r="D1143" s="113" t="s">
        <v>2476</v>
      </c>
      <c r="E1143" s="129">
        <v>40834.323900462965</v>
      </c>
      <c r="F1143" s="129"/>
      <c r="G1143" s="69" t="str">
        <f>IF(stdProdLT(Main[[#This Row],[Comments]])=0.1,"N/A",IF(stdProdLT(Main[[#This Row],[Comments]])=0,"",stdProdLT(Main[[#This Row],[Comments]])))</f>
        <v/>
      </c>
      <c r="H1143" s="138" t="str">
        <f>IF(Main[[#This Row],[In Stock Date]]="N/A", "N/A",IF(AND(Main[[#This Row],[In Stock Date]]&lt;&gt;"",Main[[#This Row],[Revised Due Date]]&lt;&gt;"",Main[[#This Row],[In Stock Date]]&lt;&gt;""),Main[[#This Row],[In Stock Date]]-Main[[#This Row],[Revised Due Date]],""))</f>
        <v/>
      </c>
      <c r="I1143" s="139" t="s">
        <v>4</v>
      </c>
      <c r="J1143" s="139" t="s">
        <v>4</v>
      </c>
      <c r="K1143" s="139" t="s">
        <v>4</v>
      </c>
      <c r="L1143" s="129"/>
      <c r="M1143" s="114" t="str">
        <f>IF(Main[[#This Row],[Tech Start Date]]&lt;1/1/1990,"",IF(Main[[#This Row],[Class]]="C",WORKDAY(Main[[#This Row],[Tech Start Date]],9),IF(Main[[#This Row],[Class]]="B", WORKDAY(Main[[#This Row],[Tech Start Date]],6),IF(Main[[#This Row],[Class]]="A",WORKDAY(Main[[#This Row],[Tech Start Date]],2),""))))</f>
        <v/>
      </c>
      <c r="N1143" s="114" t="str">
        <f>IF(Main[[#This Row],[Tech Start Date]]&lt;1/1/1990,"",IF(Main[[#This Row],[Class]]="C",WORKDAY(Main[[#This Row],[Tech Start Date]],19),IF(Main[[#This Row],[Class]]="B", WORKDAY(Main[[#This Row],[Tech Start Date]],12),IF(Main[[#This Row],[Class]]="A",WORKDAY(Main[[#This Row],[Tech Start Date]],4),""))))</f>
        <v/>
      </c>
      <c r="O1143" s="114" t="str">
        <f>IF(Main[[#This Row],[Tech Start Date]]&lt;1/1/1990,"",IF(Main[[#This Row],[Class]]="C",WORKDAY(Main[[#This Row],[Tech Start Date]],23),IF(Main[[#This Row],[Class]]="B", WORKDAY(Main[[#This Row],[Tech Start Date]],15),IF(Main[[#This Row],[Class]]="A",WORKDAY(Main[[#This Row],[Tech Start Date]],5),""))))</f>
        <v/>
      </c>
      <c r="P1143" s="114" t="str">
        <f>IF(Main[[#This Row],[Tech Start Date]]&lt;1/1/1990,"",IF(Main[[#This Row],[Class]]="C",WORKDAY(Main[[#This Row],[Tech Start Date]],28),IF(Main[[#This Row],[Class]]="B", WORKDAY(Main[[#This Row],[Tech Start Date]],19),IF(Main[[#This Row],[Class]]="A",WORKDAY(Main[[#This Row],[Tech Start Date]],9),""))))</f>
        <v/>
      </c>
      <c r="Q1143" s="129"/>
      <c r="R1143" s="129"/>
      <c r="S1143" s="139" t="s">
        <v>6</v>
      </c>
      <c r="T1143" s="115" t="s">
        <v>4</v>
      </c>
      <c r="U1143" s="139" t="s">
        <v>7</v>
      </c>
      <c r="V1143" s="139" t="s">
        <v>1914</v>
      </c>
      <c r="W1143" s="139" t="s">
        <v>1918</v>
      </c>
      <c r="X1143" s="139" t="s">
        <v>399</v>
      </c>
      <c r="Y1143" s="112" t="s">
        <v>4</v>
      </c>
      <c r="Z1143" s="112" t="s">
        <v>4</v>
      </c>
      <c r="AA1143" s="139" t="s">
        <v>3385</v>
      </c>
    </row>
    <row r="1144" spans="1:27" ht="17.25" customHeight="1">
      <c r="A1144" s="69" t="str">
        <f>IF(priority(Main[[#This Row],[Comments]])&lt;&gt;0, priority(Main[[#This Row],[Comments]]),"")</f>
        <v/>
      </c>
      <c r="B1144" s="63" t="s">
        <v>2477</v>
      </c>
      <c r="C1144" s="148" t="s">
        <v>347</v>
      </c>
      <c r="D1144" s="113" t="s">
        <v>2336</v>
      </c>
      <c r="E1144" s="129">
        <v>40827.600601851853</v>
      </c>
      <c r="F1144" s="129"/>
      <c r="G1144" s="69" t="str">
        <f>IF(stdProdLT(Main[[#This Row],[Comments]])=0.1,"N/A",IF(stdProdLT(Main[[#This Row],[Comments]])=0,"",stdProdLT(Main[[#This Row],[Comments]])))</f>
        <v/>
      </c>
      <c r="H1144" s="138" t="str">
        <f>IF(Main[[#This Row],[In Stock Date]]="N/A", "N/A",IF(AND(Main[[#This Row],[In Stock Date]]&lt;&gt;"",Main[[#This Row],[Revised Due Date]]&lt;&gt;"",Main[[#This Row],[In Stock Date]]&lt;&gt;""),Main[[#This Row],[In Stock Date]]-Main[[#This Row],[Revised Due Date]],""))</f>
        <v/>
      </c>
      <c r="I1144" s="139" t="s">
        <v>4</v>
      </c>
      <c r="J1144" s="139" t="s">
        <v>4</v>
      </c>
      <c r="K1144" s="139" t="s">
        <v>4</v>
      </c>
      <c r="L1144" s="129"/>
      <c r="M1144" s="114" t="str">
        <f>IF(Main[[#This Row],[Tech Start Date]]&lt;1/1/1990,"",IF(Main[[#This Row],[Class]]="C",WORKDAY(Main[[#This Row],[Tech Start Date]],9),IF(Main[[#This Row],[Class]]="B", WORKDAY(Main[[#This Row],[Tech Start Date]],6),IF(Main[[#This Row],[Class]]="A",WORKDAY(Main[[#This Row],[Tech Start Date]],2),""))))</f>
        <v/>
      </c>
      <c r="N1144" s="114" t="str">
        <f>IF(Main[[#This Row],[Tech Start Date]]&lt;1/1/1990,"",IF(Main[[#This Row],[Class]]="C",WORKDAY(Main[[#This Row],[Tech Start Date]],19),IF(Main[[#This Row],[Class]]="B", WORKDAY(Main[[#This Row],[Tech Start Date]],12),IF(Main[[#This Row],[Class]]="A",WORKDAY(Main[[#This Row],[Tech Start Date]],4),""))))</f>
        <v/>
      </c>
      <c r="O1144" s="114" t="str">
        <f>IF(Main[[#This Row],[Tech Start Date]]&lt;1/1/1990,"",IF(Main[[#This Row],[Class]]="C",WORKDAY(Main[[#This Row],[Tech Start Date]],23),IF(Main[[#This Row],[Class]]="B", WORKDAY(Main[[#This Row],[Tech Start Date]],15),IF(Main[[#This Row],[Class]]="A",WORKDAY(Main[[#This Row],[Tech Start Date]],5),""))))</f>
        <v/>
      </c>
      <c r="P1144" s="114" t="str">
        <f>IF(Main[[#This Row],[Tech Start Date]]&lt;1/1/1990,"",IF(Main[[#This Row],[Class]]="C",WORKDAY(Main[[#This Row],[Tech Start Date]],28),IF(Main[[#This Row],[Class]]="B", WORKDAY(Main[[#This Row],[Tech Start Date]],19),IF(Main[[#This Row],[Class]]="A",WORKDAY(Main[[#This Row],[Tech Start Date]],9),""))))</f>
        <v/>
      </c>
      <c r="Q1144" s="129">
        <v>40847</v>
      </c>
      <c r="R1144" s="129"/>
      <c r="S1144" s="139" t="s">
        <v>4</v>
      </c>
      <c r="T1144" s="115" t="s">
        <v>4</v>
      </c>
      <c r="U1144" s="139" t="s">
        <v>7</v>
      </c>
      <c r="V1144" s="139" t="s">
        <v>1914</v>
      </c>
      <c r="W1144" s="139" t="s">
        <v>4</v>
      </c>
      <c r="X1144" s="139" t="s">
        <v>2849</v>
      </c>
      <c r="Y1144" s="112" t="s">
        <v>2983</v>
      </c>
      <c r="Z1144" s="112" t="s">
        <v>4</v>
      </c>
      <c r="AA1144" s="139" t="s">
        <v>2849</v>
      </c>
    </row>
    <row r="1145" spans="1:27" ht="17.25" customHeight="1">
      <c r="A1145" s="69" t="str">
        <f>IF(priority(Main[[#This Row],[Comments]])&lt;&gt;0, priority(Main[[#This Row],[Comments]]),"")</f>
        <v/>
      </c>
      <c r="B1145" s="63" t="s">
        <v>2478</v>
      </c>
      <c r="C1145" s="148" t="s">
        <v>347</v>
      </c>
      <c r="D1145" s="113" t="s">
        <v>2479</v>
      </c>
      <c r="E1145" s="129">
        <v>40827.603530092594</v>
      </c>
      <c r="F1145" s="129"/>
      <c r="G1145" s="69" t="str">
        <f>IF(stdProdLT(Main[[#This Row],[Comments]])=0.1,"N/A",IF(stdProdLT(Main[[#This Row],[Comments]])=0,"",stdProdLT(Main[[#This Row],[Comments]])))</f>
        <v/>
      </c>
      <c r="H1145" s="138" t="str">
        <f>IF(Main[[#This Row],[In Stock Date]]="N/A", "N/A",IF(AND(Main[[#This Row],[In Stock Date]]&lt;&gt;"",Main[[#This Row],[Revised Due Date]]&lt;&gt;"",Main[[#This Row],[In Stock Date]]&lt;&gt;""),Main[[#This Row],[In Stock Date]]-Main[[#This Row],[Revised Due Date]],""))</f>
        <v/>
      </c>
      <c r="I1145" s="139" t="s">
        <v>4</v>
      </c>
      <c r="J1145" s="139" t="s">
        <v>4</v>
      </c>
      <c r="K1145" s="139" t="s">
        <v>4</v>
      </c>
      <c r="L1145" s="129"/>
      <c r="M1145" s="114" t="str">
        <f>IF(Main[[#This Row],[Tech Start Date]]&lt;1/1/1990,"",IF(Main[[#This Row],[Class]]="C",WORKDAY(Main[[#This Row],[Tech Start Date]],9),IF(Main[[#This Row],[Class]]="B", WORKDAY(Main[[#This Row],[Tech Start Date]],6),IF(Main[[#This Row],[Class]]="A",WORKDAY(Main[[#This Row],[Tech Start Date]],2),""))))</f>
        <v/>
      </c>
      <c r="N1145" s="114" t="str">
        <f>IF(Main[[#This Row],[Tech Start Date]]&lt;1/1/1990,"",IF(Main[[#This Row],[Class]]="C",WORKDAY(Main[[#This Row],[Tech Start Date]],19),IF(Main[[#This Row],[Class]]="B", WORKDAY(Main[[#This Row],[Tech Start Date]],12),IF(Main[[#This Row],[Class]]="A",WORKDAY(Main[[#This Row],[Tech Start Date]],4),""))))</f>
        <v/>
      </c>
      <c r="O1145" s="114" t="str">
        <f>IF(Main[[#This Row],[Tech Start Date]]&lt;1/1/1990,"",IF(Main[[#This Row],[Class]]="C",WORKDAY(Main[[#This Row],[Tech Start Date]],23),IF(Main[[#This Row],[Class]]="B", WORKDAY(Main[[#This Row],[Tech Start Date]],15),IF(Main[[#This Row],[Class]]="A",WORKDAY(Main[[#This Row],[Tech Start Date]],5),""))))</f>
        <v/>
      </c>
      <c r="P1145" s="114" t="str">
        <f>IF(Main[[#This Row],[Tech Start Date]]&lt;1/1/1990,"",IF(Main[[#This Row],[Class]]="C",WORKDAY(Main[[#This Row],[Tech Start Date]],28),IF(Main[[#This Row],[Class]]="B", WORKDAY(Main[[#This Row],[Tech Start Date]],19),IF(Main[[#This Row],[Class]]="A",WORKDAY(Main[[#This Row],[Tech Start Date]],9),""))))</f>
        <v/>
      </c>
      <c r="Q1145" s="129">
        <v>40847</v>
      </c>
      <c r="R1145" s="129"/>
      <c r="S1145" s="139" t="s">
        <v>11</v>
      </c>
      <c r="T1145" s="115" t="s">
        <v>4</v>
      </c>
      <c r="U1145" s="139" t="s">
        <v>7</v>
      </c>
      <c r="V1145" s="139" t="s">
        <v>1914</v>
      </c>
      <c r="W1145" s="139" t="s">
        <v>4</v>
      </c>
      <c r="X1145" s="139" t="s">
        <v>2849</v>
      </c>
      <c r="Y1145" s="112" t="s">
        <v>2983</v>
      </c>
      <c r="Z1145" s="112" t="s">
        <v>4</v>
      </c>
      <c r="AA1145" s="139" t="s">
        <v>2849</v>
      </c>
    </row>
    <row r="1146" spans="1:27" ht="17.25" customHeight="1">
      <c r="A1146" s="69" t="str">
        <f>IF(priority(Main[[#This Row],[Comments]])&lt;&gt;0, priority(Main[[#This Row],[Comments]]),"")</f>
        <v/>
      </c>
      <c r="B1146" s="63" t="s">
        <v>2480</v>
      </c>
      <c r="C1146" s="148" t="s">
        <v>4</v>
      </c>
      <c r="D1146" s="113" t="s">
        <v>2481</v>
      </c>
      <c r="E1146" s="129"/>
      <c r="F1146" s="129"/>
      <c r="G1146" s="69" t="str">
        <f>IF(stdProdLT(Main[[#This Row],[Comments]])=0.1,"N/A",IF(stdProdLT(Main[[#This Row],[Comments]])=0,"",stdProdLT(Main[[#This Row],[Comments]])))</f>
        <v/>
      </c>
      <c r="H1146" s="138" t="str">
        <f>IF(Main[[#This Row],[In Stock Date]]="N/A", "N/A",IF(AND(Main[[#This Row],[In Stock Date]]&lt;&gt;"",Main[[#This Row],[Revised Due Date]]&lt;&gt;"",Main[[#This Row],[In Stock Date]]&lt;&gt;""),Main[[#This Row],[In Stock Date]]-Main[[#This Row],[Revised Due Date]],""))</f>
        <v/>
      </c>
      <c r="I1146" s="139" t="s">
        <v>4</v>
      </c>
      <c r="J1146" s="139" t="s">
        <v>4</v>
      </c>
      <c r="K1146" s="139" t="s">
        <v>4</v>
      </c>
      <c r="L1146" s="129"/>
      <c r="M1146" s="114" t="str">
        <f>IF(Main[[#This Row],[Tech Start Date]]&lt;1/1/1990,"",IF(Main[[#This Row],[Class]]="C",WORKDAY(Main[[#This Row],[Tech Start Date]],9),IF(Main[[#This Row],[Class]]="B", WORKDAY(Main[[#This Row],[Tech Start Date]],6),IF(Main[[#This Row],[Class]]="A",WORKDAY(Main[[#This Row],[Tech Start Date]],2),""))))</f>
        <v/>
      </c>
      <c r="N1146" s="114" t="str">
        <f>IF(Main[[#This Row],[Tech Start Date]]&lt;1/1/1990,"",IF(Main[[#This Row],[Class]]="C",WORKDAY(Main[[#This Row],[Tech Start Date]],19),IF(Main[[#This Row],[Class]]="B", WORKDAY(Main[[#This Row],[Tech Start Date]],12),IF(Main[[#This Row],[Class]]="A",WORKDAY(Main[[#This Row],[Tech Start Date]],4),""))))</f>
        <v/>
      </c>
      <c r="O1146" s="114" t="str">
        <f>IF(Main[[#This Row],[Tech Start Date]]&lt;1/1/1990,"",IF(Main[[#This Row],[Class]]="C",WORKDAY(Main[[#This Row],[Tech Start Date]],23),IF(Main[[#This Row],[Class]]="B", WORKDAY(Main[[#This Row],[Tech Start Date]],15),IF(Main[[#This Row],[Class]]="A",WORKDAY(Main[[#This Row],[Tech Start Date]],5),""))))</f>
        <v/>
      </c>
      <c r="P1146" s="114" t="str">
        <f>IF(Main[[#This Row],[Tech Start Date]]&lt;1/1/1990,"",IF(Main[[#This Row],[Class]]="C",WORKDAY(Main[[#This Row],[Tech Start Date]],28),IF(Main[[#This Row],[Class]]="B", WORKDAY(Main[[#This Row],[Tech Start Date]],19),IF(Main[[#This Row],[Class]]="A",WORKDAY(Main[[#This Row],[Tech Start Date]],9),""))))</f>
        <v/>
      </c>
      <c r="Q1146" s="129"/>
      <c r="R1146" s="129"/>
      <c r="S1146" s="139" t="s">
        <v>11</v>
      </c>
      <c r="T1146" s="115" t="s">
        <v>4</v>
      </c>
      <c r="U1146" s="139" t="s">
        <v>14</v>
      </c>
      <c r="V1146" s="139" t="s">
        <v>1915</v>
      </c>
      <c r="W1146" s="139" t="s">
        <v>4</v>
      </c>
      <c r="X1146" s="139" t="s">
        <v>2249</v>
      </c>
      <c r="Y1146" s="112" t="s">
        <v>4</v>
      </c>
      <c r="Z1146" s="112" t="s">
        <v>4</v>
      </c>
      <c r="AA1146" s="139" t="s">
        <v>4</v>
      </c>
    </row>
    <row r="1147" spans="1:27" ht="17.25" customHeight="1">
      <c r="A1147" s="69" t="str">
        <f>IF(priority(Main[[#This Row],[Comments]])&lt;&gt;0, priority(Main[[#This Row],[Comments]]),"")</f>
        <v/>
      </c>
      <c r="B1147" s="63" t="s">
        <v>1283</v>
      </c>
      <c r="C1147" s="148" t="s">
        <v>37</v>
      </c>
      <c r="D1147" s="113" t="s">
        <v>2482</v>
      </c>
      <c r="E1147" s="129">
        <v>40767.457106481481</v>
      </c>
      <c r="F1147" s="129"/>
      <c r="G1147" s="69" t="str">
        <f>IF(stdProdLT(Main[[#This Row],[Comments]])=0.1,"N/A",IF(stdProdLT(Main[[#This Row],[Comments]])=0,"",stdProdLT(Main[[#This Row],[Comments]])))</f>
        <v/>
      </c>
      <c r="H1147" s="138" t="str">
        <f>IF(Main[[#This Row],[In Stock Date]]="N/A", "N/A",IF(AND(Main[[#This Row],[In Stock Date]]&lt;&gt;"",Main[[#This Row],[Revised Due Date]]&lt;&gt;"",Main[[#This Row],[In Stock Date]]&lt;&gt;""),Main[[#This Row],[In Stock Date]]-Main[[#This Row],[Revised Due Date]],""))</f>
        <v/>
      </c>
      <c r="I1147" s="139" t="s">
        <v>4</v>
      </c>
      <c r="J1147" s="139" t="s">
        <v>4</v>
      </c>
      <c r="K1147" s="139" t="s">
        <v>4</v>
      </c>
      <c r="L1147" s="129"/>
      <c r="M1147" s="114" t="str">
        <f>IF(Main[[#This Row],[Tech Start Date]]&lt;1/1/1990,"",IF(Main[[#This Row],[Class]]="C",WORKDAY(Main[[#This Row],[Tech Start Date]],9),IF(Main[[#This Row],[Class]]="B", WORKDAY(Main[[#This Row],[Tech Start Date]],6),IF(Main[[#This Row],[Class]]="A",WORKDAY(Main[[#This Row],[Tech Start Date]],2),""))))</f>
        <v/>
      </c>
      <c r="N1147" s="114" t="str">
        <f>IF(Main[[#This Row],[Tech Start Date]]&lt;1/1/1990,"",IF(Main[[#This Row],[Class]]="C",WORKDAY(Main[[#This Row],[Tech Start Date]],19),IF(Main[[#This Row],[Class]]="B", WORKDAY(Main[[#This Row],[Tech Start Date]],12),IF(Main[[#This Row],[Class]]="A",WORKDAY(Main[[#This Row],[Tech Start Date]],4),""))))</f>
        <v/>
      </c>
      <c r="O1147" s="114" t="str">
        <f>IF(Main[[#This Row],[Tech Start Date]]&lt;1/1/1990,"",IF(Main[[#This Row],[Class]]="C",WORKDAY(Main[[#This Row],[Tech Start Date]],23),IF(Main[[#This Row],[Class]]="B", WORKDAY(Main[[#This Row],[Tech Start Date]],15),IF(Main[[#This Row],[Class]]="A",WORKDAY(Main[[#This Row],[Tech Start Date]],5),""))))</f>
        <v/>
      </c>
      <c r="P1147" s="114" t="str">
        <f>IF(Main[[#This Row],[Tech Start Date]]&lt;1/1/1990,"",IF(Main[[#This Row],[Class]]="C",WORKDAY(Main[[#This Row],[Tech Start Date]],28),IF(Main[[#This Row],[Class]]="B", WORKDAY(Main[[#This Row],[Tech Start Date]],19),IF(Main[[#This Row],[Class]]="A",WORKDAY(Main[[#This Row],[Tech Start Date]],9),""))))</f>
        <v/>
      </c>
      <c r="Q1147" s="129">
        <v>40715</v>
      </c>
      <c r="R1147" s="129"/>
      <c r="S1147" s="139" t="s">
        <v>6</v>
      </c>
      <c r="T1147" s="115" t="s">
        <v>4</v>
      </c>
      <c r="U1147" s="139" t="s">
        <v>7</v>
      </c>
      <c r="V1147" s="139" t="s">
        <v>1914</v>
      </c>
      <c r="W1147" s="139" t="s">
        <v>1925</v>
      </c>
      <c r="X1147" s="139" t="s">
        <v>970</v>
      </c>
      <c r="Y1147" s="112" t="s">
        <v>3097</v>
      </c>
      <c r="Z1147" s="112" t="s">
        <v>4</v>
      </c>
      <c r="AA1147" s="139" t="s">
        <v>970</v>
      </c>
    </row>
    <row r="1148" spans="1:27" ht="17.25" customHeight="1">
      <c r="A1148" s="69" t="str">
        <f>IF(priority(Main[[#This Row],[Comments]])&lt;&gt;0, priority(Main[[#This Row],[Comments]]),"")</f>
        <v/>
      </c>
      <c r="B1148" s="63" t="s">
        <v>1113</v>
      </c>
      <c r="C1148" s="148" t="s">
        <v>37</v>
      </c>
      <c r="D1148" s="113" t="s">
        <v>2483</v>
      </c>
      <c r="E1148" s="129">
        <v>40767.459861111114</v>
      </c>
      <c r="F1148" s="129"/>
      <c r="G1148" s="69" t="str">
        <f>IF(stdProdLT(Main[[#This Row],[Comments]])=0.1,"N/A",IF(stdProdLT(Main[[#This Row],[Comments]])=0,"",stdProdLT(Main[[#This Row],[Comments]])))</f>
        <v/>
      </c>
      <c r="H1148" s="138" t="str">
        <f>IF(Main[[#This Row],[In Stock Date]]="N/A", "N/A",IF(AND(Main[[#This Row],[In Stock Date]]&lt;&gt;"",Main[[#This Row],[Revised Due Date]]&lt;&gt;"",Main[[#This Row],[In Stock Date]]&lt;&gt;""),Main[[#This Row],[In Stock Date]]-Main[[#This Row],[Revised Due Date]],""))</f>
        <v/>
      </c>
      <c r="I1148" s="139" t="s">
        <v>4</v>
      </c>
      <c r="J1148" s="139" t="s">
        <v>4</v>
      </c>
      <c r="K1148" s="139" t="s">
        <v>4</v>
      </c>
      <c r="L1148" s="129"/>
      <c r="M1148" s="114" t="str">
        <f>IF(Main[[#This Row],[Tech Start Date]]&lt;1/1/1990,"",IF(Main[[#This Row],[Class]]="C",WORKDAY(Main[[#This Row],[Tech Start Date]],9),IF(Main[[#This Row],[Class]]="B", WORKDAY(Main[[#This Row],[Tech Start Date]],6),IF(Main[[#This Row],[Class]]="A",WORKDAY(Main[[#This Row],[Tech Start Date]],2),""))))</f>
        <v/>
      </c>
      <c r="N1148" s="114" t="str">
        <f>IF(Main[[#This Row],[Tech Start Date]]&lt;1/1/1990,"",IF(Main[[#This Row],[Class]]="C",WORKDAY(Main[[#This Row],[Tech Start Date]],19),IF(Main[[#This Row],[Class]]="B", WORKDAY(Main[[#This Row],[Tech Start Date]],12),IF(Main[[#This Row],[Class]]="A",WORKDAY(Main[[#This Row],[Tech Start Date]],4),""))))</f>
        <v/>
      </c>
      <c r="O1148" s="114" t="str">
        <f>IF(Main[[#This Row],[Tech Start Date]]&lt;1/1/1990,"",IF(Main[[#This Row],[Class]]="C",WORKDAY(Main[[#This Row],[Tech Start Date]],23),IF(Main[[#This Row],[Class]]="B", WORKDAY(Main[[#This Row],[Tech Start Date]],15),IF(Main[[#This Row],[Class]]="A",WORKDAY(Main[[#This Row],[Tech Start Date]],5),""))))</f>
        <v/>
      </c>
      <c r="P1148" s="114" t="str">
        <f>IF(Main[[#This Row],[Tech Start Date]]&lt;1/1/1990,"",IF(Main[[#This Row],[Class]]="C",WORKDAY(Main[[#This Row],[Tech Start Date]],28),IF(Main[[#This Row],[Class]]="B", WORKDAY(Main[[#This Row],[Tech Start Date]],19),IF(Main[[#This Row],[Class]]="A",WORKDAY(Main[[#This Row],[Tech Start Date]],9),""))))</f>
        <v/>
      </c>
      <c r="Q1148" s="129">
        <v>40716</v>
      </c>
      <c r="R1148" s="129"/>
      <c r="S1148" s="139" t="s">
        <v>6</v>
      </c>
      <c r="T1148" s="115" t="s">
        <v>4</v>
      </c>
      <c r="U1148" s="139" t="s">
        <v>7</v>
      </c>
      <c r="V1148" s="139" t="s">
        <v>1914</v>
      </c>
      <c r="W1148" s="139" t="s">
        <v>1925</v>
      </c>
      <c r="X1148" s="139" t="s">
        <v>970</v>
      </c>
      <c r="Y1148" s="112" t="s">
        <v>3097</v>
      </c>
      <c r="Z1148" s="112" t="s">
        <v>4</v>
      </c>
      <c r="AA1148" s="139" t="s">
        <v>970</v>
      </c>
    </row>
    <row r="1149" spans="1:27" ht="17.25" customHeight="1">
      <c r="A1149" s="69" t="str">
        <f>IF(priority(Main[[#This Row],[Comments]])&lt;&gt;0, priority(Main[[#This Row],[Comments]]),"")</f>
        <v/>
      </c>
      <c r="B1149" s="63" t="s">
        <v>2486</v>
      </c>
      <c r="C1149" s="148" t="s">
        <v>4</v>
      </c>
      <c r="D1149" s="113" t="s">
        <v>2487</v>
      </c>
      <c r="E1149" s="129">
        <v>40857.542858796296</v>
      </c>
      <c r="F1149" s="129"/>
      <c r="G1149" s="69" t="str">
        <f>IF(stdProdLT(Main[[#This Row],[Comments]])=0.1,"N/A",IF(stdProdLT(Main[[#This Row],[Comments]])=0,"",stdProdLT(Main[[#This Row],[Comments]])))</f>
        <v/>
      </c>
      <c r="H1149" s="138" t="str">
        <f>IF(Main[[#This Row],[In Stock Date]]="N/A", "N/A",IF(AND(Main[[#This Row],[In Stock Date]]&lt;&gt;"",Main[[#This Row],[Revised Due Date]]&lt;&gt;"",Main[[#This Row],[In Stock Date]]&lt;&gt;""),Main[[#This Row],[In Stock Date]]-Main[[#This Row],[Revised Due Date]],""))</f>
        <v/>
      </c>
      <c r="I1149" s="139" t="s">
        <v>4</v>
      </c>
      <c r="J1149" s="139" t="s">
        <v>4</v>
      </c>
      <c r="K1149" s="139" t="s">
        <v>4</v>
      </c>
      <c r="L1149" s="129"/>
      <c r="M1149" s="114" t="str">
        <f>IF(Main[[#This Row],[Tech Start Date]]&lt;1/1/1990,"",IF(Main[[#This Row],[Class]]="C",WORKDAY(Main[[#This Row],[Tech Start Date]],9),IF(Main[[#This Row],[Class]]="B", WORKDAY(Main[[#This Row],[Tech Start Date]],6),IF(Main[[#This Row],[Class]]="A",WORKDAY(Main[[#This Row],[Tech Start Date]],2),""))))</f>
        <v/>
      </c>
      <c r="N1149" s="114" t="str">
        <f>IF(Main[[#This Row],[Tech Start Date]]&lt;1/1/1990,"",IF(Main[[#This Row],[Class]]="C",WORKDAY(Main[[#This Row],[Tech Start Date]],19),IF(Main[[#This Row],[Class]]="B", WORKDAY(Main[[#This Row],[Tech Start Date]],12),IF(Main[[#This Row],[Class]]="A",WORKDAY(Main[[#This Row],[Tech Start Date]],4),""))))</f>
        <v/>
      </c>
      <c r="O1149" s="114" t="str">
        <f>IF(Main[[#This Row],[Tech Start Date]]&lt;1/1/1990,"",IF(Main[[#This Row],[Class]]="C",WORKDAY(Main[[#This Row],[Tech Start Date]],23),IF(Main[[#This Row],[Class]]="B", WORKDAY(Main[[#This Row],[Tech Start Date]],15),IF(Main[[#This Row],[Class]]="A",WORKDAY(Main[[#This Row],[Tech Start Date]],5),""))))</f>
        <v/>
      </c>
      <c r="P1149" s="114" t="str">
        <f>IF(Main[[#This Row],[Tech Start Date]]&lt;1/1/1990,"",IF(Main[[#This Row],[Class]]="C",WORKDAY(Main[[#This Row],[Tech Start Date]],28),IF(Main[[#This Row],[Class]]="B", WORKDAY(Main[[#This Row],[Tech Start Date]],19),IF(Main[[#This Row],[Class]]="A",WORKDAY(Main[[#This Row],[Tech Start Date]],9),""))))</f>
        <v/>
      </c>
      <c r="Q1149" s="129"/>
      <c r="R1149" s="129"/>
      <c r="S1149" s="139" t="s">
        <v>11</v>
      </c>
      <c r="T1149" s="115" t="s">
        <v>4</v>
      </c>
      <c r="U1149" s="139" t="s">
        <v>29</v>
      </c>
      <c r="V1149" s="139" t="s">
        <v>1915</v>
      </c>
      <c r="W1149" s="139" t="s">
        <v>4</v>
      </c>
      <c r="X1149" s="139" t="s">
        <v>2249</v>
      </c>
      <c r="Y1149" s="112" t="s">
        <v>4</v>
      </c>
      <c r="Z1149" s="112" t="s">
        <v>4</v>
      </c>
      <c r="AA1149" s="139" t="s">
        <v>4</v>
      </c>
    </row>
    <row r="1150" spans="1:27" ht="17.25" customHeight="1">
      <c r="A1150" s="69" t="str">
        <f>IF(priority(Main[[#This Row],[Comments]])&lt;&gt;0, priority(Main[[#This Row],[Comments]]),"")</f>
        <v/>
      </c>
      <c r="B1150" s="63" t="s">
        <v>2488</v>
      </c>
      <c r="C1150" s="148" t="s">
        <v>4</v>
      </c>
      <c r="D1150" s="113" t="s">
        <v>2489</v>
      </c>
      <c r="E1150" s="129">
        <v>40820.695763888885</v>
      </c>
      <c r="F1150" s="129"/>
      <c r="G1150" s="69" t="str">
        <f>IF(stdProdLT(Main[[#This Row],[Comments]])=0.1,"N/A",IF(stdProdLT(Main[[#This Row],[Comments]])=0,"",stdProdLT(Main[[#This Row],[Comments]])))</f>
        <v/>
      </c>
      <c r="H1150" s="138" t="str">
        <f>IF(Main[[#This Row],[In Stock Date]]="N/A", "N/A",IF(AND(Main[[#This Row],[In Stock Date]]&lt;&gt;"",Main[[#This Row],[Revised Due Date]]&lt;&gt;"",Main[[#This Row],[In Stock Date]]&lt;&gt;""),Main[[#This Row],[In Stock Date]]-Main[[#This Row],[Revised Due Date]],""))</f>
        <v/>
      </c>
      <c r="I1150" s="139" t="s">
        <v>4</v>
      </c>
      <c r="J1150" s="139" t="s">
        <v>4</v>
      </c>
      <c r="K1150" s="139" t="s">
        <v>4</v>
      </c>
      <c r="L1150" s="129"/>
      <c r="M1150" s="114" t="str">
        <f>IF(Main[[#This Row],[Tech Start Date]]&lt;1/1/1990,"",IF(Main[[#This Row],[Class]]="C",WORKDAY(Main[[#This Row],[Tech Start Date]],9),IF(Main[[#This Row],[Class]]="B", WORKDAY(Main[[#This Row],[Tech Start Date]],6),IF(Main[[#This Row],[Class]]="A",WORKDAY(Main[[#This Row],[Tech Start Date]],2),""))))</f>
        <v/>
      </c>
      <c r="N1150" s="114" t="str">
        <f>IF(Main[[#This Row],[Tech Start Date]]&lt;1/1/1990,"",IF(Main[[#This Row],[Class]]="C",WORKDAY(Main[[#This Row],[Tech Start Date]],19),IF(Main[[#This Row],[Class]]="B", WORKDAY(Main[[#This Row],[Tech Start Date]],12),IF(Main[[#This Row],[Class]]="A",WORKDAY(Main[[#This Row],[Tech Start Date]],4),""))))</f>
        <v/>
      </c>
      <c r="O1150" s="114" t="str">
        <f>IF(Main[[#This Row],[Tech Start Date]]&lt;1/1/1990,"",IF(Main[[#This Row],[Class]]="C",WORKDAY(Main[[#This Row],[Tech Start Date]],23),IF(Main[[#This Row],[Class]]="B", WORKDAY(Main[[#This Row],[Tech Start Date]],15),IF(Main[[#This Row],[Class]]="A",WORKDAY(Main[[#This Row],[Tech Start Date]],5),""))))</f>
        <v/>
      </c>
      <c r="P1150" s="114" t="str">
        <f>IF(Main[[#This Row],[Tech Start Date]]&lt;1/1/1990,"",IF(Main[[#This Row],[Class]]="C",WORKDAY(Main[[#This Row],[Tech Start Date]],28),IF(Main[[#This Row],[Class]]="B", WORKDAY(Main[[#This Row],[Tech Start Date]],19),IF(Main[[#This Row],[Class]]="A",WORKDAY(Main[[#This Row],[Tech Start Date]],9),""))))</f>
        <v/>
      </c>
      <c r="Q1150" s="129"/>
      <c r="R1150" s="129"/>
      <c r="S1150" s="139" t="s">
        <v>6</v>
      </c>
      <c r="T1150" s="115" t="s">
        <v>4</v>
      </c>
      <c r="U1150" s="139" t="s">
        <v>29</v>
      </c>
      <c r="V1150" s="139" t="s">
        <v>1917</v>
      </c>
      <c r="W1150" s="139" t="s">
        <v>1918</v>
      </c>
      <c r="X1150" s="139" t="s">
        <v>102</v>
      </c>
      <c r="Y1150" s="112" t="s">
        <v>3114</v>
      </c>
      <c r="Z1150" s="112" t="s">
        <v>4</v>
      </c>
      <c r="AA1150" s="139" t="s">
        <v>883</v>
      </c>
    </row>
    <row r="1151" spans="1:27" ht="17.25" customHeight="1">
      <c r="A1151" s="69" t="str">
        <f>IF(priority(Main[[#This Row],[Comments]])&lt;&gt;0, priority(Main[[#This Row],[Comments]]),"")</f>
        <v/>
      </c>
      <c r="B1151" s="63" t="s">
        <v>3532</v>
      </c>
      <c r="C1151" s="148" t="s">
        <v>4</v>
      </c>
      <c r="D1151" s="113" t="s">
        <v>3533</v>
      </c>
      <c r="E1151" s="129">
        <v>40949.644756944443</v>
      </c>
      <c r="F1151" s="129"/>
      <c r="G1151" s="69" t="str">
        <f>IF(stdProdLT(Main[[#This Row],[Comments]])=0.1,"N/A",IF(stdProdLT(Main[[#This Row],[Comments]])=0,"",stdProdLT(Main[[#This Row],[Comments]])))</f>
        <v/>
      </c>
      <c r="H1151" s="138" t="str">
        <f>IF(Main[[#This Row],[In Stock Date]]="N/A", "N/A",IF(AND(Main[[#This Row],[In Stock Date]]&lt;&gt;"",Main[[#This Row],[Revised Due Date]]&lt;&gt;"",Main[[#This Row],[In Stock Date]]&lt;&gt;""),Main[[#This Row],[In Stock Date]]-Main[[#This Row],[Revised Due Date]],""))</f>
        <v/>
      </c>
      <c r="I1151" s="139" t="s">
        <v>4</v>
      </c>
      <c r="J1151" s="139" t="s">
        <v>4</v>
      </c>
      <c r="K1151" s="140" t="s">
        <v>4</v>
      </c>
      <c r="L1151" s="129"/>
      <c r="M1151" s="114" t="str">
        <f>IF(Main[[#This Row],[Tech Start Date]]&lt;1/1/1990,"",IF(Main[[#This Row],[Class]]="C",WORKDAY(Main[[#This Row],[Tech Start Date]],9),IF(Main[[#This Row],[Class]]="B", WORKDAY(Main[[#This Row],[Tech Start Date]],6),IF(Main[[#This Row],[Class]]="A",WORKDAY(Main[[#This Row],[Tech Start Date]],2),""))))</f>
        <v/>
      </c>
      <c r="N1151" s="114" t="str">
        <f>IF(Main[[#This Row],[Tech Start Date]]&lt;1/1/1990,"",IF(Main[[#This Row],[Class]]="C",WORKDAY(Main[[#This Row],[Tech Start Date]],19),IF(Main[[#This Row],[Class]]="B", WORKDAY(Main[[#This Row],[Tech Start Date]],12),IF(Main[[#This Row],[Class]]="A",WORKDAY(Main[[#This Row],[Tech Start Date]],4),""))))</f>
        <v/>
      </c>
      <c r="O1151" s="114" t="str">
        <f>IF(Main[[#This Row],[Tech Start Date]]&lt;1/1/1990,"",IF(Main[[#This Row],[Class]]="C",WORKDAY(Main[[#This Row],[Tech Start Date]],23),IF(Main[[#This Row],[Class]]="B", WORKDAY(Main[[#This Row],[Tech Start Date]],15),IF(Main[[#This Row],[Class]]="A",WORKDAY(Main[[#This Row],[Tech Start Date]],5),""))))</f>
        <v/>
      </c>
      <c r="P1151" s="114" t="str">
        <f>IF(Main[[#This Row],[Tech Start Date]]&lt;1/1/1990,"",IF(Main[[#This Row],[Class]]="C",WORKDAY(Main[[#This Row],[Tech Start Date]],28),IF(Main[[#This Row],[Class]]="B", WORKDAY(Main[[#This Row],[Tech Start Date]],19),IF(Main[[#This Row],[Class]]="A",WORKDAY(Main[[#This Row],[Tech Start Date]],9),""))))</f>
        <v/>
      </c>
      <c r="Q1151" s="129">
        <v>40959</v>
      </c>
      <c r="R1151" s="129"/>
      <c r="S1151" s="139" t="s">
        <v>4</v>
      </c>
      <c r="T1151" s="115" t="s">
        <v>4</v>
      </c>
      <c r="U1151" s="139" t="s">
        <v>7</v>
      </c>
      <c r="V1151" s="139" t="s">
        <v>1914</v>
      </c>
      <c r="W1151" s="139" t="s">
        <v>4</v>
      </c>
      <c r="X1151" s="139" t="s">
        <v>956</v>
      </c>
      <c r="Y1151" s="112" t="s">
        <v>4</v>
      </c>
      <c r="Z1151" s="112" t="s">
        <v>4</v>
      </c>
      <c r="AA1151" s="139" t="s">
        <v>4</v>
      </c>
    </row>
    <row r="1152" spans="1:27" ht="17.25" customHeight="1">
      <c r="A1152" s="69" t="str">
        <f>IF(priority(Main[[#This Row],[Comments]])&lt;&gt;0, priority(Main[[#This Row],[Comments]]),"")</f>
        <v/>
      </c>
      <c r="B1152" s="63" t="s">
        <v>2492</v>
      </c>
      <c r="C1152" s="148" t="s">
        <v>4</v>
      </c>
      <c r="D1152" s="113" t="s">
        <v>2493</v>
      </c>
      <c r="E1152" s="129">
        <v>40855.647002314814</v>
      </c>
      <c r="F1152" s="129"/>
      <c r="G1152" s="69" t="str">
        <f>IF(stdProdLT(Main[[#This Row],[Comments]])=0.1,"N/A",IF(stdProdLT(Main[[#This Row],[Comments]])=0,"",stdProdLT(Main[[#This Row],[Comments]])))</f>
        <v/>
      </c>
      <c r="H1152" s="138" t="str">
        <f>IF(Main[[#This Row],[In Stock Date]]="N/A", "N/A",IF(AND(Main[[#This Row],[In Stock Date]]&lt;&gt;"",Main[[#This Row],[Revised Due Date]]&lt;&gt;"",Main[[#This Row],[In Stock Date]]&lt;&gt;""),Main[[#This Row],[In Stock Date]]-Main[[#This Row],[Revised Due Date]],""))</f>
        <v/>
      </c>
      <c r="I1152" s="139" t="s">
        <v>4</v>
      </c>
      <c r="J1152" s="139" t="s">
        <v>4</v>
      </c>
      <c r="K1152" s="140" t="s">
        <v>4</v>
      </c>
      <c r="L1152" s="129"/>
      <c r="M1152" s="114" t="str">
        <f>IF(Main[[#This Row],[Tech Start Date]]&lt;1/1/1990,"",IF(Main[[#This Row],[Class]]="C",WORKDAY(Main[[#This Row],[Tech Start Date]],9),IF(Main[[#This Row],[Class]]="B", WORKDAY(Main[[#This Row],[Tech Start Date]],6),IF(Main[[#This Row],[Class]]="A",WORKDAY(Main[[#This Row],[Tech Start Date]],2),""))))</f>
        <v/>
      </c>
      <c r="N1152" s="114" t="str">
        <f>IF(Main[[#This Row],[Tech Start Date]]&lt;1/1/1990,"",IF(Main[[#This Row],[Class]]="C",WORKDAY(Main[[#This Row],[Tech Start Date]],19),IF(Main[[#This Row],[Class]]="B", WORKDAY(Main[[#This Row],[Tech Start Date]],12),IF(Main[[#This Row],[Class]]="A",WORKDAY(Main[[#This Row],[Tech Start Date]],4),""))))</f>
        <v/>
      </c>
      <c r="O1152" s="114" t="str">
        <f>IF(Main[[#This Row],[Tech Start Date]]&lt;1/1/1990,"",IF(Main[[#This Row],[Class]]="C",WORKDAY(Main[[#This Row],[Tech Start Date]],23),IF(Main[[#This Row],[Class]]="B", WORKDAY(Main[[#This Row],[Tech Start Date]],15),IF(Main[[#This Row],[Class]]="A",WORKDAY(Main[[#This Row],[Tech Start Date]],5),""))))</f>
        <v/>
      </c>
      <c r="P1152" s="114" t="str">
        <f>IF(Main[[#This Row],[Tech Start Date]]&lt;1/1/1990,"",IF(Main[[#This Row],[Class]]="C",WORKDAY(Main[[#This Row],[Tech Start Date]],28),IF(Main[[#This Row],[Class]]="B", WORKDAY(Main[[#This Row],[Tech Start Date]],19),IF(Main[[#This Row],[Class]]="A",WORKDAY(Main[[#This Row],[Tech Start Date]],9),""))))</f>
        <v/>
      </c>
      <c r="Q1152" s="129">
        <v>40892</v>
      </c>
      <c r="R1152" s="129"/>
      <c r="S1152" s="139" t="s">
        <v>6</v>
      </c>
      <c r="T1152" s="115" t="s">
        <v>4</v>
      </c>
      <c r="U1152" s="139" t="s">
        <v>7</v>
      </c>
      <c r="V1152" s="139" t="s">
        <v>1914</v>
      </c>
      <c r="W1152" s="139" t="s">
        <v>1922</v>
      </c>
      <c r="X1152" s="139" t="s">
        <v>2821</v>
      </c>
      <c r="Y1152" s="112" t="s">
        <v>2936</v>
      </c>
      <c r="Z1152" s="112" t="s">
        <v>4</v>
      </c>
      <c r="AA1152" s="139" t="s">
        <v>2821</v>
      </c>
    </row>
    <row r="1153" spans="1:27" ht="17.25" customHeight="1">
      <c r="A1153" s="69" t="str">
        <f>IF(priority(Main[[#This Row],[Comments]])&lt;&gt;0, priority(Main[[#This Row],[Comments]]),"")</f>
        <v/>
      </c>
      <c r="B1153" s="63" t="s">
        <v>3302</v>
      </c>
      <c r="C1153" s="148" t="s">
        <v>4</v>
      </c>
      <c r="D1153" s="113" t="s">
        <v>3652</v>
      </c>
      <c r="E1153" s="129">
        <v>40934.445497685185</v>
      </c>
      <c r="F1153" s="129"/>
      <c r="G1153" s="69" t="str">
        <f>IF(stdProdLT(Main[[#This Row],[Comments]])=0.1,"N/A",IF(stdProdLT(Main[[#This Row],[Comments]])=0,"",stdProdLT(Main[[#This Row],[Comments]])))</f>
        <v/>
      </c>
      <c r="H1153" s="138" t="str">
        <f>IF(Main[[#This Row],[In Stock Date]]="N/A", "N/A",IF(AND(Main[[#This Row],[In Stock Date]]&lt;&gt;"",Main[[#This Row],[Revised Due Date]]&lt;&gt;"",Main[[#This Row],[In Stock Date]]&lt;&gt;""),Main[[#This Row],[In Stock Date]]-Main[[#This Row],[Revised Due Date]],""))</f>
        <v/>
      </c>
      <c r="I1153" s="139" t="s">
        <v>69</v>
      </c>
      <c r="J1153" s="139" t="s">
        <v>70</v>
      </c>
      <c r="K1153" s="139" t="s">
        <v>4</v>
      </c>
      <c r="L1153" s="129"/>
      <c r="M1153" s="114" t="str">
        <f>IF(Main[[#This Row],[Tech Start Date]]&lt;1/1/1990,"",IF(Main[[#This Row],[Class]]="C",WORKDAY(Main[[#This Row],[Tech Start Date]],9),IF(Main[[#This Row],[Class]]="B", WORKDAY(Main[[#This Row],[Tech Start Date]],6),IF(Main[[#This Row],[Class]]="A",WORKDAY(Main[[#This Row],[Tech Start Date]],2),""))))</f>
        <v/>
      </c>
      <c r="N1153" s="114" t="str">
        <f>IF(Main[[#This Row],[Tech Start Date]]&lt;1/1/1990,"",IF(Main[[#This Row],[Class]]="C",WORKDAY(Main[[#This Row],[Tech Start Date]],19),IF(Main[[#This Row],[Class]]="B", WORKDAY(Main[[#This Row],[Tech Start Date]],12),IF(Main[[#This Row],[Class]]="A",WORKDAY(Main[[#This Row],[Tech Start Date]],4),""))))</f>
        <v/>
      </c>
      <c r="O1153" s="114" t="str">
        <f>IF(Main[[#This Row],[Tech Start Date]]&lt;1/1/1990,"",IF(Main[[#This Row],[Class]]="C",WORKDAY(Main[[#This Row],[Tech Start Date]],23),IF(Main[[#This Row],[Class]]="B", WORKDAY(Main[[#This Row],[Tech Start Date]],15),IF(Main[[#This Row],[Class]]="A",WORKDAY(Main[[#This Row],[Tech Start Date]],5),""))))</f>
        <v/>
      </c>
      <c r="P1153" s="114" t="str">
        <f>IF(Main[[#This Row],[Tech Start Date]]&lt;1/1/1990,"",IF(Main[[#This Row],[Class]]="C",WORKDAY(Main[[#This Row],[Tech Start Date]],28),IF(Main[[#This Row],[Class]]="B", WORKDAY(Main[[#This Row],[Tech Start Date]],19),IF(Main[[#This Row],[Class]]="A",WORKDAY(Main[[#This Row],[Tech Start Date]],9),""))))</f>
        <v/>
      </c>
      <c r="Q1153" s="129">
        <v>40968</v>
      </c>
      <c r="R1153" s="129"/>
      <c r="S1153" s="139" t="s">
        <v>6</v>
      </c>
      <c r="T1153" s="115" t="s">
        <v>4</v>
      </c>
      <c r="U1153" s="139" t="s">
        <v>29</v>
      </c>
      <c r="V1153" s="139" t="s">
        <v>1917</v>
      </c>
      <c r="W1153" s="139" t="s">
        <v>4</v>
      </c>
      <c r="X1153" s="139" t="s">
        <v>2819</v>
      </c>
      <c r="Y1153" s="112" t="s">
        <v>2932</v>
      </c>
      <c r="Z1153" s="112" t="s">
        <v>4</v>
      </c>
      <c r="AA1153" s="139" t="s">
        <v>2819</v>
      </c>
    </row>
    <row r="1154" spans="1:27" ht="17.25" customHeight="1">
      <c r="A1154" s="69" t="str">
        <f>IF(priority(Main[[#This Row],[Comments]])&lt;&gt;0, priority(Main[[#This Row],[Comments]]),"")</f>
        <v/>
      </c>
      <c r="B1154" s="63" t="s">
        <v>2361</v>
      </c>
      <c r="C1154" s="148" t="s">
        <v>4</v>
      </c>
      <c r="D1154" s="113" t="s">
        <v>3500</v>
      </c>
      <c r="E1154" s="129">
        <v>40854.718263888892</v>
      </c>
      <c r="F1154" s="129"/>
      <c r="G1154" s="69" t="str">
        <f>IF(stdProdLT(Main[[#This Row],[Comments]])=0.1,"N/A",IF(stdProdLT(Main[[#This Row],[Comments]])=0,"",stdProdLT(Main[[#This Row],[Comments]])))</f>
        <v/>
      </c>
      <c r="H1154" s="138" t="str">
        <f>IF(Main[[#This Row],[In Stock Date]]="N/A", "N/A",IF(AND(Main[[#This Row],[In Stock Date]]&lt;&gt;"",Main[[#This Row],[Revised Due Date]]&lt;&gt;"",Main[[#This Row],[In Stock Date]]&lt;&gt;""),Main[[#This Row],[In Stock Date]]-Main[[#This Row],[Revised Due Date]],""))</f>
        <v/>
      </c>
      <c r="I1154" s="139" t="s">
        <v>4</v>
      </c>
      <c r="J1154" s="139" t="s">
        <v>4</v>
      </c>
      <c r="K1154" s="139" t="s">
        <v>4</v>
      </c>
      <c r="L1154" s="129"/>
      <c r="M1154" s="114" t="str">
        <f>IF(Main[[#This Row],[Tech Start Date]]&lt;1/1/1990,"",IF(Main[[#This Row],[Class]]="C",WORKDAY(Main[[#This Row],[Tech Start Date]],9),IF(Main[[#This Row],[Class]]="B", WORKDAY(Main[[#This Row],[Tech Start Date]],6),IF(Main[[#This Row],[Class]]="A",WORKDAY(Main[[#This Row],[Tech Start Date]],2),""))))</f>
        <v/>
      </c>
      <c r="N1154" s="114" t="str">
        <f>IF(Main[[#This Row],[Tech Start Date]]&lt;1/1/1990,"",IF(Main[[#This Row],[Class]]="C",WORKDAY(Main[[#This Row],[Tech Start Date]],19),IF(Main[[#This Row],[Class]]="B", WORKDAY(Main[[#This Row],[Tech Start Date]],12),IF(Main[[#This Row],[Class]]="A",WORKDAY(Main[[#This Row],[Tech Start Date]],4),""))))</f>
        <v/>
      </c>
      <c r="O1154" s="114" t="str">
        <f>IF(Main[[#This Row],[Tech Start Date]]&lt;1/1/1990,"",IF(Main[[#This Row],[Class]]="C",WORKDAY(Main[[#This Row],[Tech Start Date]],23),IF(Main[[#This Row],[Class]]="B", WORKDAY(Main[[#This Row],[Tech Start Date]],15),IF(Main[[#This Row],[Class]]="A",WORKDAY(Main[[#This Row],[Tech Start Date]],5),""))))</f>
        <v/>
      </c>
      <c r="P1154" s="114" t="str">
        <f>IF(Main[[#This Row],[Tech Start Date]]&lt;1/1/1990,"",IF(Main[[#This Row],[Class]]="C",WORKDAY(Main[[#This Row],[Tech Start Date]],28),IF(Main[[#This Row],[Class]]="B", WORKDAY(Main[[#This Row],[Tech Start Date]],19),IF(Main[[#This Row],[Class]]="A",WORKDAY(Main[[#This Row],[Tech Start Date]],9),""))))</f>
        <v/>
      </c>
      <c r="Q1154" s="129">
        <v>40884</v>
      </c>
      <c r="R1154" s="129"/>
      <c r="S1154" s="139" t="s">
        <v>6</v>
      </c>
      <c r="T1154" s="115" t="s">
        <v>4</v>
      </c>
      <c r="U1154" s="139" t="s">
        <v>7</v>
      </c>
      <c r="V1154" s="139" t="s">
        <v>2283</v>
      </c>
      <c r="W1154" s="139" t="s">
        <v>4</v>
      </c>
      <c r="X1154" s="139" t="s">
        <v>2865</v>
      </c>
      <c r="Y1154" s="112" t="s">
        <v>3010</v>
      </c>
      <c r="Z1154" s="112" t="s">
        <v>4</v>
      </c>
      <c r="AA1154" s="139" t="s">
        <v>2865</v>
      </c>
    </row>
    <row r="1155" spans="1:27" ht="17.25" customHeight="1">
      <c r="A1155" s="69" t="str">
        <f>IF(priority(Main[[#This Row],[Comments]])&lt;&gt;0, priority(Main[[#This Row],[Comments]]),"")</f>
        <v/>
      </c>
      <c r="B1155" s="63" t="s">
        <v>2499</v>
      </c>
      <c r="C1155" s="148" t="s">
        <v>4</v>
      </c>
      <c r="D1155" s="113" t="s">
        <v>2500</v>
      </c>
      <c r="E1155" s="129"/>
      <c r="F1155" s="129"/>
      <c r="G1155" s="69" t="str">
        <f>IF(stdProdLT(Main[[#This Row],[Comments]])=0.1,"N/A",IF(stdProdLT(Main[[#This Row],[Comments]])=0,"",stdProdLT(Main[[#This Row],[Comments]])))</f>
        <v/>
      </c>
      <c r="H1155" s="138" t="str">
        <f>IF(Main[[#This Row],[In Stock Date]]="N/A", "N/A",IF(AND(Main[[#This Row],[In Stock Date]]&lt;&gt;"",Main[[#This Row],[Revised Due Date]]&lt;&gt;"",Main[[#This Row],[In Stock Date]]&lt;&gt;""),Main[[#This Row],[In Stock Date]]-Main[[#This Row],[Revised Due Date]],""))</f>
        <v/>
      </c>
      <c r="I1155" s="139" t="s">
        <v>4</v>
      </c>
      <c r="J1155" s="139" t="s">
        <v>4</v>
      </c>
      <c r="K1155" s="139" t="s">
        <v>4</v>
      </c>
      <c r="L1155" s="129"/>
      <c r="M1155" s="114" t="str">
        <f>IF(Main[[#This Row],[Tech Start Date]]&lt;1/1/1990,"",IF(Main[[#This Row],[Class]]="C",WORKDAY(Main[[#This Row],[Tech Start Date]],9),IF(Main[[#This Row],[Class]]="B", WORKDAY(Main[[#This Row],[Tech Start Date]],6),IF(Main[[#This Row],[Class]]="A",WORKDAY(Main[[#This Row],[Tech Start Date]],2),""))))</f>
        <v/>
      </c>
      <c r="N1155" s="114" t="str">
        <f>IF(Main[[#This Row],[Tech Start Date]]&lt;1/1/1990,"",IF(Main[[#This Row],[Class]]="C",WORKDAY(Main[[#This Row],[Tech Start Date]],19),IF(Main[[#This Row],[Class]]="B", WORKDAY(Main[[#This Row],[Tech Start Date]],12),IF(Main[[#This Row],[Class]]="A",WORKDAY(Main[[#This Row],[Tech Start Date]],4),""))))</f>
        <v/>
      </c>
      <c r="O1155" s="114" t="str">
        <f>IF(Main[[#This Row],[Tech Start Date]]&lt;1/1/1990,"",IF(Main[[#This Row],[Class]]="C",WORKDAY(Main[[#This Row],[Tech Start Date]],23),IF(Main[[#This Row],[Class]]="B", WORKDAY(Main[[#This Row],[Tech Start Date]],15),IF(Main[[#This Row],[Class]]="A",WORKDAY(Main[[#This Row],[Tech Start Date]],5),""))))</f>
        <v/>
      </c>
      <c r="P1155" s="114" t="str">
        <f>IF(Main[[#This Row],[Tech Start Date]]&lt;1/1/1990,"",IF(Main[[#This Row],[Class]]="C",WORKDAY(Main[[#This Row],[Tech Start Date]],28),IF(Main[[#This Row],[Class]]="B", WORKDAY(Main[[#This Row],[Tech Start Date]],19),IF(Main[[#This Row],[Class]]="A",WORKDAY(Main[[#This Row],[Tech Start Date]],9),""))))</f>
        <v/>
      </c>
      <c r="Q1155" s="129"/>
      <c r="R1155" s="129"/>
      <c r="S1155" s="139" t="s">
        <v>11</v>
      </c>
      <c r="T1155" s="115" t="s">
        <v>4</v>
      </c>
      <c r="U1155" s="139" t="s">
        <v>14</v>
      </c>
      <c r="V1155" s="139" t="s">
        <v>1914</v>
      </c>
      <c r="W1155" s="139" t="s">
        <v>1922</v>
      </c>
      <c r="X1155" s="139" t="s">
        <v>2906</v>
      </c>
      <c r="Y1155" s="112" t="s">
        <v>3096</v>
      </c>
      <c r="Z1155" s="112" t="s">
        <v>877</v>
      </c>
      <c r="AA1155" s="139" t="s">
        <v>2906</v>
      </c>
    </row>
    <row r="1156" spans="1:27" ht="17.25" customHeight="1">
      <c r="A1156" s="69" t="str">
        <f>IF(priority(Main[[#This Row],[Comments]])&lt;&gt;0, priority(Main[[#This Row],[Comments]]),"")</f>
        <v/>
      </c>
      <c r="B1156" s="63" t="s">
        <v>3320</v>
      </c>
      <c r="C1156" s="148" t="s">
        <v>4</v>
      </c>
      <c r="D1156" s="113" t="s">
        <v>3653</v>
      </c>
      <c r="E1156" s="129">
        <v>40939.635509259257</v>
      </c>
      <c r="F1156" s="129"/>
      <c r="G1156" s="69" t="str">
        <f>IF(stdProdLT(Main[[#This Row],[Comments]])=0.1,"N/A",IF(stdProdLT(Main[[#This Row],[Comments]])=0,"",stdProdLT(Main[[#This Row],[Comments]])))</f>
        <v/>
      </c>
      <c r="H1156" s="138" t="str">
        <f>IF(Main[[#This Row],[In Stock Date]]="N/A", "N/A",IF(AND(Main[[#This Row],[In Stock Date]]&lt;&gt;"",Main[[#This Row],[Revised Due Date]]&lt;&gt;"",Main[[#This Row],[In Stock Date]]&lt;&gt;""),Main[[#This Row],[In Stock Date]]-Main[[#This Row],[Revised Due Date]],""))</f>
        <v/>
      </c>
      <c r="I1156" s="139" t="s">
        <v>2211</v>
      </c>
      <c r="J1156" s="139" t="s">
        <v>28</v>
      </c>
      <c r="K1156" s="139" t="s">
        <v>1926</v>
      </c>
      <c r="L1156" s="129"/>
      <c r="M1156" s="114" t="str">
        <f>IF(Main[[#This Row],[Tech Start Date]]&lt;1/1/1990,"",IF(Main[[#This Row],[Class]]="C",WORKDAY(Main[[#This Row],[Tech Start Date]],9),IF(Main[[#This Row],[Class]]="B", WORKDAY(Main[[#This Row],[Tech Start Date]],6),IF(Main[[#This Row],[Class]]="A",WORKDAY(Main[[#This Row],[Tech Start Date]],2),""))))</f>
        <v/>
      </c>
      <c r="N1156" s="114" t="str">
        <f>IF(Main[[#This Row],[Tech Start Date]]&lt;1/1/1990,"",IF(Main[[#This Row],[Class]]="C",WORKDAY(Main[[#This Row],[Tech Start Date]],19),IF(Main[[#This Row],[Class]]="B", WORKDAY(Main[[#This Row],[Tech Start Date]],12),IF(Main[[#This Row],[Class]]="A",WORKDAY(Main[[#This Row],[Tech Start Date]],4),""))))</f>
        <v/>
      </c>
      <c r="O1156" s="114" t="str">
        <f>IF(Main[[#This Row],[Tech Start Date]]&lt;1/1/1990,"",IF(Main[[#This Row],[Class]]="C",WORKDAY(Main[[#This Row],[Tech Start Date]],23),IF(Main[[#This Row],[Class]]="B", WORKDAY(Main[[#This Row],[Tech Start Date]],15),IF(Main[[#This Row],[Class]]="A",WORKDAY(Main[[#This Row],[Tech Start Date]],5),""))))</f>
        <v/>
      </c>
      <c r="P1156" s="114" t="str">
        <f>IF(Main[[#This Row],[Tech Start Date]]&lt;1/1/1990,"",IF(Main[[#This Row],[Class]]="C",WORKDAY(Main[[#This Row],[Tech Start Date]],28),IF(Main[[#This Row],[Class]]="B", WORKDAY(Main[[#This Row],[Tech Start Date]],19),IF(Main[[#This Row],[Class]]="A",WORKDAY(Main[[#This Row],[Tech Start Date]],9),""))))</f>
        <v/>
      </c>
      <c r="Q1156" s="129"/>
      <c r="R1156" s="129"/>
      <c r="S1156" s="139" t="s">
        <v>6</v>
      </c>
      <c r="T1156" s="115" t="s">
        <v>4</v>
      </c>
      <c r="U1156" s="139" t="s">
        <v>7</v>
      </c>
      <c r="V1156" s="139" t="s">
        <v>1929</v>
      </c>
      <c r="W1156" s="139" t="s">
        <v>1918</v>
      </c>
      <c r="X1156" s="139" t="s">
        <v>306</v>
      </c>
      <c r="Y1156" s="112" t="s">
        <v>4</v>
      </c>
      <c r="Z1156" s="112" t="s">
        <v>2211</v>
      </c>
      <c r="AA1156" s="139" t="s">
        <v>4</v>
      </c>
    </row>
    <row r="1157" spans="1:27" ht="17.25" customHeight="1">
      <c r="A1157" s="69" t="str">
        <f>IF(priority(Main[[#This Row],[Comments]])&lt;&gt;0, priority(Main[[#This Row],[Comments]]),"")</f>
        <v/>
      </c>
      <c r="B1157" s="63" t="s">
        <v>3947</v>
      </c>
      <c r="C1157" s="148" t="s">
        <v>4</v>
      </c>
      <c r="D1157" s="113" t="s">
        <v>3948</v>
      </c>
      <c r="E1157" s="129">
        <v>40968.434988425928</v>
      </c>
      <c r="F1157" s="129"/>
      <c r="G1157" s="69" t="str">
        <f>IF(stdProdLT(Main[[#This Row],[Comments]])=0.1,"N/A",IF(stdProdLT(Main[[#This Row],[Comments]])=0,"",stdProdLT(Main[[#This Row],[Comments]])))</f>
        <v/>
      </c>
      <c r="H1157" s="138" t="str">
        <f>IF(Main[[#This Row],[In Stock Date]]="N/A", "N/A",IF(AND(Main[[#This Row],[In Stock Date]]&lt;&gt;"",Main[[#This Row],[Revised Due Date]]&lt;&gt;"",Main[[#This Row],[In Stock Date]]&lt;&gt;""),Main[[#This Row],[In Stock Date]]-Main[[#This Row],[Revised Due Date]],""))</f>
        <v/>
      </c>
      <c r="I1157" s="139" t="s">
        <v>4</v>
      </c>
      <c r="J1157" s="139" t="s">
        <v>4</v>
      </c>
      <c r="K1157" s="139" t="s">
        <v>4</v>
      </c>
      <c r="L1157" s="129"/>
      <c r="M1157" s="114" t="str">
        <f>IF(Main[[#This Row],[Tech Start Date]]&lt;1/1/1990,"",IF(Main[[#This Row],[Class]]="C",WORKDAY(Main[[#This Row],[Tech Start Date]],9),IF(Main[[#This Row],[Class]]="B", WORKDAY(Main[[#This Row],[Tech Start Date]],6),IF(Main[[#This Row],[Class]]="A",WORKDAY(Main[[#This Row],[Tech Start Date]],2),""))))</f>
        <v/>
      </c>
      <c r="N1157" s="114" t="str">
        <f>IF(Main[[#This Row],[Tech Start Date]]&lt;1/1/1990,"",IF(Main[[#This Row],[Class]]="C",WORKDAY(Main[[#This Row],[Tech Start Date]],19),IF(Main[[#This Row],[Class]]="B", WORKDAY(Main[[#This Row],[Tech Start Date]],12),IF(Main[[#This Row],[Class]]="A",WORKDAY(Main[[#This Row],[Tech Start Date]],4),""))))</f>
        <v/>
      </c>
      <c r="O1157" s="114" t="str">
        <f>IF(Main[[#This Row],[Tech Start Date]]&lt;1/1/1990,"",IF(Main[[#This Row],[Class]]="C",WORKDAY(Main[[#This Row],[Tech Start Date]],23),IF(Main[[#This Row],[Class]]="B", WORKDAY(Main[[#This Row],[Tech Start Date]],15),IF(Main[[#This Row],[Class]]="A",WORKDAY(Main[[#This Row],[Tech Start Date]],5),""))))</f>
        <v/>
      </c>
      <c r="P1157" s="114" t="str">
        <f>IF(Main[[#This Row],[Tech Start Date]]&lt;1/1/1990,"",IF(Main[[#This Row],[Class]]="C",WORKDAY(Main[[#This Row],[Tech Start Date]],28),IF(Main[[#This Row],[Class]]="B", WORKDAY(Main[[#This Row],[Tech Start Date]],19),IF(Main[[#This Row],[Class]]="A",WORKDAY(Main[[#This Row],[Tech Start Date]],9),""))))</f>
        <v/>
      </c>
      <c r="Q1157" s="129"/>
      <c r="R1157" s="129"/>
      <c r="S1157" s="139" t="s">
        <v>6</v>
      </c>
      <c r="T1157" s="115" t="s">
        <v>4</v>
      </c>
      <c r="U1157" s="139" t="s">
        <v>7</v>
      </c>
      <c r="V1157" s="139" t="s">
        <v>1917</v>
      </c>
      <c r="W1157" s="139" t="s">
        <v>1918</v>
      </c>
      <c r="X1157" s="139" t="s">
        <v>2841</v>
      </c>
      <c r="Y1157" s="112" t="s">
        <v>2971</v>
      </c>
      <c r="Z1157" s="112" t="s">
        <v>4</v>
      </c>
      <c r="AA1157" s="139" t="s">
        <v>2841</v>
      </c>
    </row>
    <row r="1158" spans="1:27" ht="17.25" customHeight="1">
      <c r="A1158" s="69" t="str">
        <f>IF(priority(Main[[#This Row],[Comments]])&lt;&gt;0, priority(Main[[#This Row],[Comments]]),"")</f>
        <v/>
      </c>
      <c r="B1158" s="63" t="s">
        <v>2431</v>
      </c>
      <c r="C1158" s="148" t="s">
        <v>4</v>
      </c>
      <c r="D1158" s="113" t="s">
        <v>2432</v>
      </c>
      <c r="E1158" s="129">
        <v>40861.647233796299</v>
      </c>
      <c r="F1158" s="129"/>
      <c r="G1158" s="69" t="str">
        <f>IF(stdProdLT(Main[[#This Row],[Comments]])=0.1,"N/A",IF(stdProdLT(Main[[#This Row],[Comments]])=0,"",stdProdLT(Main[[#This Row],[Comments]])))</f>
        <v/>
      </c>
      <c r="H1158" s="138" t="str">
        <f>IF(Main[[#This Row],[In Stock Date]]="N/A", "N/A",IF(AND(Main[[#This Row],[In Stock Date]]&lt;&gt;"",Main[[#This Row],[Revised Due Date]]&lt;&gt;"",Main[[#This Row],[In Stock Date]]&lt;&gt;""),Main[[#This Row],[In Stock Date]]-Main[[#This Row],[Revised Due Date]],""))</f>
        <v/>
      </c>
      <c r="I1158" s="139" t="s">
        <v>30</v>
      </c>
      <c r="J1158" s="139" t="s">
        <v>52</v>
      </c>
      <c r="K1158" s="139" t="s">
        <v>1923</v>
      </c>
      <c r="L1158" s="129"/>
      <c r="M1158" s="114" t="str">
        <f>IF(Main[[#This Row],[Tech Start Date]]&lt;1/1/1990,"",IF(Main[[#This Row],[Class]]="C",WORKDAY(Main[[#This Row],[Tech Start Date]],9),IF(Main[[#This Row],[Class]]="B", WORKDAY(Main[[#This Row],[Tech Start Date]],6),IF(Main[[#This Row],[Class]]="A",WORKDAY(Main[[#This Row],[Tech Start Date]],2),""))))</f>
        <v/>
      </c>
      <c r="N1158" s="114" t="str">
        <f>IF(Main[[#This Row],[Tech Start Date]]&lt;1/1/1990,"",IF(Main[[#This Row],[Class]]="C",WORKDAY(Main[[#This Row],[Tech Start Date]],19),IF(Main[[#This Row],[Class]]="B", WORKDAY(Main[[#This Row],[Tech Start Date]],12),IF(Main[[#This Row],[Class]]="A",WORKDAY(Main[[#This Row],[Tech Start Date]],4),""))))</f>
        <v/>
      </c>
      <c r="O1158" s="114" t="str">
        <f>IF(Main[[#This Row],[Tech Start Date]]&lt;1/1/1990,"",IF(Main[[#This Row],[Class]]="C",WORKDAY(Main[[#This Row],[Tech Start Date]],23),IF(Main[[#This Row],[Class]]="B", WORKDAY(Main[[#This Row],[Tech Start Date]],15),IF(Main[[#This Row],[Class]]="A",WORKDAY(Main[[#This Row],[Tech Start Date]],5),""))))</f>
        <v/>
      </c>
      <c r="P1158" s="114" t="str">
        <f>IF(Main[[#This Row],[Tech Start Date]]&lt;1/1/1990,"",IF(Main[[#This Row],[Class]]="C",WORKDAY(Main[[#This Row],[Tech Start Date]],28),IF(Main[[#This Row],[Class]]="B", WORKDAY(Main[[#This Row],[Tech Start Date]],19),IF(Main[[#This Row],[Class]]="A",WORKDAY(Main[[#This Row],[Tech Start Date]],9),""))))</f>
        <v/>
      </c>
      <c r="Q1158" s="129">
        <v>40897</v>
      </c>
      <c r="R1158" s="129"/>
      <c r="S1158" s="139" t="s">
        <v>6</v>
      </c>
      <c r="T1158" s="115" t="s">
        <v>4</v>
      </c>
      <c r="U1158" s="139" t="s">
        <v>29</v>
      </c>
      <c r="V1158" s="139" t="s">
        <v>1917</v>
      </c>
      <c r="W1158" s="139" t="s">
        <v>1918</v>
      </c>
      <c r="X1158" s="139" t="s">
        <v>30</v>
      </c>
      <c r="Y1158" s="112" t="s">
        <v>2940</v>
      </c>
      <c r="Z1158" s="112" t="s">
        <v>30</v>
      </c>
      <c r="AA1158" s="139" t="s">
        <v>30</v>
      </c>
    </row>
    <row r="1159" spans="1:27" ht="17.25" customHeight="1">
      <c r="A1159" s="69" t="str">
        <f>IF(priority(Main[[#This Row],[Comments]])&lt;&gt;0, priority(Main[[#This Row],[Comments]]),"")</f>
        <v/>
      </c>
      <c r="B1159" s="63" t="s">
        <v>1875</v>
      </c>
      <c r="C1159" s="148" t="s">
        <v>99</v>
      </c>
      <c r="D1159" s="113" t="s">
        <v>928</v>
      </c>
      <c r="E1159" s="129"/>
      <c r="F1159" s="129">
        <v>40644</v>
      </c>
      <c r="G1159" s="69" t="str">
        <f>IF(stdProdLT(Main[[#This Row],[Comments]])=0.1,"N/A",IF(stdProdLT(Main[[#This Row],[Comments]])=0,"",stdProdLT(Main[[#This Row],[Comments]])))</f>
        <v/>
      </c>
      <c r="H1159" s="138">
        <f>IF(Main[[#This Row],[In Stock Date]]="N/A", "N/A",IF(AND(Main[[#This Row],[In Stock Date]]&lt;&gt;"",Main[[#This Row],[Revised Due Date]]&lt;&gt;"",Main[[#This Row],[In Stock Date]]&lt;&gt;""),Main[[#This Row],[In Stock Date]]-Main[[#This Row],[Revised Due Date]],""))</f>
        <v>-19</v>
      </c>
      <c r="I1159" s="139" t="s">
        <v>4</v>
      </c>
      <c r="J1159" s="139" t="s">
        <v>21</v>
      </c>
      <c r="K1159" s="139" t="s">
        <v>1926</v>
      </c>
      <c r="L1159" s="129"/>
      <c r="M1159" s="114" t="str">
        <f>IF(Main[[#This Row],[Tech Start Date]]&lt;1/1/1990,"",IF(Main[[#This Row],[Class]]="C",WORKDAY(Main[[#This Row],[Tech Start Date]],9),IF(Main[[#This Row],[Class]]="B", WORKDAY(Main[[#This Row],[Tech Start Date]],6),IF(Main[[#This Row],[Class]]="A",WORKDAY(Main[[#This Row],[Tech Start Date]],2),""))))</f>
        <v/>
      </c>
      <c r="N1159" s="114" t="str">
        <f>IF(Main[[#This Row],[Tech Start Date]]&lt;1/1/1990,"",IF(Main[[#This Row],[Class]]="C",WORKDAY(Main[[#This Row],[Tech Start Date]],19),IF(Main[[#This Row],[Class]]="B", WORKDAY(Main[[#This Row],[Tech Start Date]],12),IF(Main[[#This Row],[Class]]="A",WORKDAY(Main[[#This Row],[Tech Start Date]],4),""))))</f>
        <v/>
      </c>
      <c r="O1159" s="114" t="str">
        <f>IF(Main[[#This Row],[Tech Start Date]]&lt;1/1/1990,"",IF(Main[[#This Row],[Class]]="C",WORKDAY(Main[[#This Row],[Tech Start Date]],23),IF(Main[[#This Row],[Class]]="B", WORKDAY(Main[[#This Row],[Tech Start Date]],15),IF(Main[[#This Row],[Class]]="A",WORKDAY(Main[[#This Row],[Tech Start Date]],5),""))))</f>
        <v/>
      </c>
      <c r="P1159" s="114" t="str">
        <f>IF(Main[[#This Row],[Tech Start Date]]&lt;1/1/1990,"",IF(Main[[#This Row],[Class]]="C",WORKDAY(Main[[#This Row],[Tech Start Date]],28),IF(Main[[#This Row],[Class]]="B", WORKDAY(Main[[#This Row],[Tech Start Date]],19),IF(Main[[#This Row],[Class]]="A",WORKDAY(Main[[#This Row],[Tech Start Date]],9),""))))</f>
        <v/>
      </c>
      <c r="Q1159" s="129">
        <v>40663</v>
      </c>
      <c r="R1159" s="129">
        <v>40663</v>
      </c>
      <c r="S1159" s="139" t="s">
        <v>11</v>
      </c>
      <c r="T1159" s="115" t="s">
        <v>4</v>
      </c>
      <c r="U1159" s="139" t="s">
        <v>14</v>
      </c>
      <c r="V1159" s="139" t="s">
        <v>1914</v>
      </c>
      <c r="W1159" s="139" t="s">
        <v>1919</v>
      </c>
      <c r="X1159" s="139" t="s">
        <v>2837</v>
      </c>
      <c r="Y1159" s="112" t="s">
        <v>2966</v>
      </c>
      <c r="Z1159" s="112" t="s">
        <v>129</v>
      </c>
      <c r="AA1159" s="139" t="s">
        <v>2834</v>
      </c>
    </row>
    <row r="1160" spans="1:27" ht="17.25" customHeight="1">
      <c r="A1160" s="69" t="str">
        <f>IF(priority(Main[[#This Row],[Comments]])&lt;&gt;0, priority(Main[[#This Row],[Comments]]),"")</f>
        <v/>
      </c>
      <c r="B1160" s="63" t="s">
        <v>2506</v>
      </c>
      <c r="C1160" s="148" t="s">
        <v>4</v>
      </c>
      <c r="D1160" s="113" t="s">
        <v>2507</v>
      </c>
      <c r="E1160" s="129"/>
      <c r="F1160" s="129"/>
      <c r="G1160" s="69" t="str">
        <f>IF(stdProdLT(Main[[#This Row],[Comments]])=0.1,"N/A",IF(stdProdLT(Main[[#This Row],[Comments]])=0,"",stdProdLT(Main[[#This Row],[Comments]])))</f>
        <v/>
      </c>
      <c r="H1160" s="138" t="str">
        <f>IF(Main[[#This Row],[In Stock Date]]="N/A", "N/A",IF(AND(Main[[#This Row],[In Stock Date]]&lt;&gt;"",Main[[#This Row],[Revised Due Date]]&lt;&gt;"",Main[[#This Row],[In Stock Date]]&lt;&gt;""),Main[[#This Row],[In Stock Date]]-Main[[#This Row],[Revised Due Date]],""))</f>
        <v/>
      </c>
      <c r="I1160" s="139" t="s">
        <v>4</v>
      </c>
      <c r="J1160" s="139" t="s">
        <v>4</v>
      </c>
      <c r="K1160" s="139" t="s">
        <v>4</v>
      </c>
      <c r="L1160" s="129"/>
      <c r="M1160" s="114" t="str">
        <f>IF(Main[[#This Row],[Tech Start Date]]&lt;1/1/1990,"",IF(Main[[#This Row],[Class]]="C",WORKDAY(Main[[#This Row],[Tech Start Date]],9),IF(Main[[#This Row],[Class]]="B", WORKDAY(Main[[#This Row],[Tech Start Date]],6),IF(Main[[#This Row],[Class]]="A",WORKDAY(Main[[#This Row],[Tech Start Date]],2),""))))</f>
        <v/>
      </c>
      <c r="N1160" s="114" t="str">
        <f>IF(Main[[#This Row],[Tech Start Date]]&lt;1/1/1990,"",IF(Main[[#This Row],[Class]]="C",WORKDAY(Main[[#This Row],[Tech Start Date]],19),IF(Main[[#This Row],[Class]]="B", WORKDAY(Main[[#This Row],[Tech Start Date]],12),IF(Main[[#This Row],[Class]]="A",WORKDAY(Main[[#This Row],[Tech Start Date]],4),""))))</f>
        <v/>
      </c>
      <c r="O1160" s="114" t="str">
        <f>IF(Main[[#This Row],[Tech Start Date]]&lt;1/1/1990,"",IF(Main[[#This Row],[Class]]="C",WORKDAY(Main[[#This Row],[Tech Start Date]],23),IF(Main[[#This Row],[Class]]="B", WORKDAY(Main[[#This Row],[Tech Start Date]],15),IF(Main[[#This Row],[Class]]="A",WORKDAY(Main[[#This Row],[Tech Start Date]],5),""))))</f>
        <v/>
      </c>
      <c r="P1160" s="114" t="str">
        <f>IF(Main[[#This Row],[Tech Start Date]]&lt;1/1/1990,"",IF(Main[[#This Row],[Class]]="C",WORKDAY(Main[[#This Row],[Tech Start Date]],28),IF(Main[[#This Row],[Class]]="B", WORKDAY(Main[[#This Row],[Tech Start Date]],19),IF(Main[[#This Row],[Class]]="A",WORKDAY(Main[[#This Row],[Tech Start Date]],9),""))))</f>
        <v/>
      </c>
      <c r="Q1160" s="129">
        <v>40837</v>
      </c>
      <c r="R1160" s="129"/>
      <c r="S1160" s="139" t="s">
        <v>11</v>
      </c>
      <c r="T1160" s="115" t="s">
        <v>4</v>
      </c>
      <c r="U1160" s="139" t="s">
        <v>14</v>
      </c>
      <c r="V1160" s="139" t="s">
        <v>1915</v>
      </c>
      <c r="W1160" s="139" t="s">
        <v>1922</v>
      </c>
      <c r="X1160" s="139" t="s">
        <v>2906</v>
      </c>
      <c r="Y1160" s="112" t="s">
        <v>3096</v>
      </c>
      <c r="Z1160" s="112" t="s">
        <v>4</v>
      </c>
      <c r="AA1160" s="139" t="s">
        <v>2906</v>
      </c>
    </row>
    <row r="1161" spans="1:27" ht="17.25" customHeight="1">
      <c r="A1161" s="69" t="str">
        <f>IF(priority(Main[[#This Row],[Comments]])&lt;&gt;0, priority(Main[[#This Row],[Comments]]),"")</f>
        <v/>
      </c>
      <c r="B1161" s="63" t="s">
        <v>1381</v>
      </c>
      <c r="C1161" s="148" t="s">
        <v>4</v>
      </c>
      <c r="D1161" s="113" t="s">
        <v>2015</v>
      </c>
      <c r="E1161" s="129"/>
      <c r="F1161" s="129"/>
      <c r="G1161" s="69" t="str">
        <f>IF(stdProdLT(Main[[#This Row],[Comments]])=0.1,"N/A",IF(stdProdLT(Main[[#This Row],[Comments]])=0,"",stdProdLT(Main[[#This Row],[Comments]])))</f>
        <v/>
      </c>
      <c r="H1161" s="138" t="str">
        <f>IF(Main[[#This Row],[In Stock Date]]="N/A", "N/A",IF(AND(Main[[#This Row],[In Stock Date]]&lt;&gt;"",Main[[#This Row],[Revised Due Date]]&lt;&gt;"",Main[[#This Row],[In Stock Date]]&lt;&gt;""),Main[[#This Row],[In Stock Date]]-Main[[#This Row],[Revised Due Date]],""))</f>
        <v/>
      </c>
      <c r="I1161" s="139" t="s">
        <v>4</v>
      </c>
      <c r="J1161" s="139" t="s">
        <v>4</v>
      </c>
      <c r="K1161" s="139" t="s">
        <v>4</v>
      </c>
      <c r="L1161" s="129"/>
      <c r="M1161" s="114" t="str">
        <f>IF(Main[[#This Row],[Tech Start Date]]&lt;1/1/1990,"",IF(Main[[#This Row],[Class]]="C",WORKDAY(Main[[#This Row],[Tech Start Date]],9),IF(Main[[#This Row],[Class]]="B", WORKDAY(Main[[#This Row],[Tech Start Date]],6),IF(Main[[#This Row],[Class]]="A",WORKDAY(Main[[#This Row],[Tech Start Date]],2),""))))</f>
        <v/>
      </c>
      <c r="N1161" s="114" t="str">
        <f>IF(Main[[#This Row],[Tech Start Date]]&lt;1/1/1990,"",IF(Main[[#This Row],[Class]]="C",WORKDAY(Main[[#This Row],[Tech Start Date]],19),IF(Main[[#This Row],[Class]]="B", WORKDAY(Main[[#This Row],[Tech Start Date]],12),IF(Main[[#This Row],[Class]]="A",WORKDAY(Main[[#This Row],[Tech Start Date]],4),""))))</f>
        <v/>
      </c>
      <c r="O1161" s="114" t="str">
        <f>IF(Main[[#This Row],[Tech Start Date]]&lt;1/1/1990,"",IF(Main[[#This Row],[Class]]="C",WORKDAY(Main[[#This Row],[Tech Start Date]],23),IF(Main[[#This Row],[Class]]="B", WORKDAY(Main[[#This Row],[Tech Start Date]],15),IF(Main[[#This Row],[Class]]="A",WORKDAY(Main[[#This Row],[Tech Start Date]],5),""))))</f>
        <v/>
      </c>
      <c r="P1161" s="114" t="str">
        <f>IF(Main[[#This Row],[Tech Start Date]]&lt;1/1/1990,"",IF(Main[[#This Row],[Class]]="C",WORKDAY(Main[[#This Row],[Tech Start Date]],28),IF(Main[[#This Row],[Class]]="B", WORKDAY(Main[[#This Row],[Tech Start Date]],19),IF(Main[[#This Row],[Class]]="A",WORKDAY(Main[[#This Row],[Tech Start Date]],9),""))))</f>
        <v/>
      </c>
      <c r="Q1161" s="129">
        <v>40310</v>
      </c>
      <c r="R1161" s="129"/>
      <c r="S1161" s="139" t="s">
        <v>6</v>
      </c>
      <c r="T1161" s="115" t="s">
        <v>4</v>
      </c>
      <c r="U1161" s="139" t="s">
        <v>14</v>
      </c>
      <c r="V1161" s="139" t="s">
        <v>1914</v>
      </c>
      <c r="W1161" s="139" t="s">
        <v>1919</v>
      </c>
      <c r="X1161" s="139" t="s">
        <v>883</v>
      </c>
      <c r="Y1161" s="112" t="s">
        <v>2963</v>
      </c>
      <c r="Z1161" s="112" t="s">
        <v>4</v>
      </c>
      <c r="AA1161" s="139" t="s">
        <v>883</v>
      </c>
    </row>
    <row r="1162" spans="1:27" ht="17.25" customHeight="1">
      <c r="A1162" s="69" t="str">
        <f>IF(priority(Main[[#This Row],[Comments]])&lt;&gt;0, priority(Main[[#This Row],[Comments]]),"")</f>
        <v/>
      </c>
      <c r="B1162" s="63" t="s">
        <v>2583</v>
      </c>
      <c r="C1162" s="148" t="s">
        <v>4</v>
      </c>
      <c r="D1162" s="113" t="s">
        <v>2764</v>
      </c>
      <c r="E1162" s="129"/>
      <c r="F1162" s="129"/>
      <c r="G1162" s="69" t="str">
        <f>IF(stdProdLT(Main[[#This Row],[Comments]])=0.1,"N/A",IF(stdProdLT(Main[[#This Row],[Comments]])=0,"",stdProdLT(Main[[#This Row],[Comments]])))</f>
        <v/>
      </c>
      <c r="H1162" s="138" t="str">
        <f>IF(Main[[#This Row],[In Stock Date]]="N/A", "N/A",IF(AND(Main[[#This Row],[In Stock Date]]&lt;&gt;"",Main[[#This Row],[Revised Due Date]]&lt;&gt;"",Main[[#This Row],[In Stock Date]]&lt;&gt;""),Main[[#This Row],[In Stock Date]]-Main[[#This Row],[Revised Due Date]],""))</f>
        <v/>
      </c>
      <c r="I1162" s="139" t="s">
        <v>239</v>
      </c>
      <c r="J1162" s="139" t="s">
        <v>28</v>
      </c>
      <c r="K1162" s="139" t="s">
        <v>1923</v>
      </c>
      <c r="L1162" s="129"/>
      <c r="M1162" s="114" t="str">
        <f>IF(Main[[#This Row],[Tech Start Date]]&lt;1/1/1990,"",IF(Main[[#This Row],[Class]]="C",WORKDAY(Main[[#This Row],[Tech Start Date]],9),IF(Main[[#This Row],[Class]]="B", WORKDAY(Main[[#This Row],[Tech Start Date]],6),IF(Main[[#This Row],[Class]]="A",WORKDAY(Main[[#This Row],[Tech Start Date]],2),""))))</f>
        <v/>
      </c>
      <c r="N1162" s="114" t="str">
        <f>IF(Main[[#This Row],[Tech Start Date]]&lt;1/1/1990,"",IF(Main[[#This Row],[Class]]="C",WORKDAY(Main[[#This Row],[Tech Start Date]],19),IF(Main[[#This Row],[Class]]="B", WORKDAY(Main[[#This Row],[Tech Start Date]],12),IF(Main[[#This Row],[Class]]="A",WORKDAY(Main[[#This Row],[Tech Start Date]],4),""))))</f>
        <v/>
      </c>
      <c r="O1162" s="114" t="str">
        <f>IF(Main[[#This Row],[Tech Start Date]]&lt;1/1/1990,"",IF(Main[[#This Row],[Class]]="C",WORKDAY(Main[[#This Row],[Tech Start Date]],23),IF(Main[[#This Row],[Class]]="B", WORKDAY(Main[[#This Row],[Tech Start Date]],15),IF(Main[[#This Row],[Class]]="A",WORKDAY(Main[[#This Row],[Tech Start Date]],5),""))))</f>
        <v/>
      </c>
      <c r="P1162" s="114" t="str">
        <f>IF(Main[[#This Row],[Tech Start Date]]&lt;1/1/1990,"",IF(Main[[#This Row],[Class]]="C",WORKDAY(Main[[#This Row],[Tech Start Date]],28),IF(Main[[#This Row],[Class]]="B", WORKDAY(Main[[#This Row],[Tech Start Date]],19),IF(Main[[#This Row],[Class]]="A",WORKDAY(Main[[#This Row],[Tech Start Date]],9),""))))</f>
        <v/>
      </c>
      <c r="Q1162" s="129">
        <v>40907</v>
      </c>
      <c r="R1162" s="129"/>
      <c r="S1162" s="139" t="s">
        <v>6</v>
      </c>
      <c r="T1162" s="115" t="s">
        <v>4</v>
      </c>
      <c r="U1162" s="139" t="s">
        <v>14</v>
      </c>
      <c r="V1162" s="139" t="s">
        <v>1917</v>
      </c>
      <c r="W1162" s="139" t="s">
        <v>1918</v>
      </c>
      <c r="X1162" s="139" t="s">
        <v>2819</v>
      </c>
      <c r="Y1162" s="112" t="s">
        <v>2932</v>
      </c>
      <c r="Z1162" s="112" t="s">
        <v>30</v>
      </c>
      <c r="AA1162" s="139" t="s">
        <v>2819</v>
      </c>
    </row>
    <row r="1163" spans="1:27" ht="17.25" customHeight="1">
      <c r="A1163" s="69" t="str">
        <f>IF(priority(Main[[#This Row],[Comments]])&lt;&gt;0, priority(Main[[#This Row],[Comments]]),"")</f>
        <v/>
      </c>
      <c r="B1163" s="63" t="s">
        <v>2508</v>
      </c>
      <c r="C1163" s="148" t="s">
        <v>2509</v>
      </c>
      <c r="D1163" s="113" t="s">
        <v>2510</v>
      </c>
      <c r="E1163" s="129"/>
      <c r="F1163" s="129"/>
      <c r="G1163" s="69" t="str">
        <f>IF(stdProdLT(Main[[#This Row],[Comments]])=0.1,"N/A",IF(stdProdLT(Main[[#This Row],[Comments]])=0,"",stdProdLT(Main[[#This Row],[Comments]])))</f>
        <v/>
      </c>
      <c r="H1163" s="138" t="str">
        <f>IF(Main[[#This Row],[In Stock Date]]="N/A", "N/A",IF(AND(Main[[#This Row],[In Stock Date]]&lt;&gt;"",Main[[#This Row],[Revised Due Date]]&lt;&gt;"",Main[[#This Row],[In Stock Date]]&lt;&gt;""),Main[[#This Row],[In Stock Date]]-Main[[#This Row],[Revised Due Date]],""))</f>
        <v/>
      </c>
      <c r="I1163" s="139" t="s">
        <v>4</v>
      </c>
      <c r="J1163" s="139" t="s">
        <v>4</v>
      </c>
      <c r="K1163" s="139" t="s">
        <v>4</v>
      </c>
      <c r="L1163" s="129"/>
      <c r="M1163" s="114" t="str">
        <f>IF(Main[[#This Row],[Tech Start Date]]&lt;1/1/1990,"",IF(Main[[#This Row],[Class]]="C",WORKDAY(Main[[#This Row],[Tech Start Date]],9),IF(Main[[#This Row],[Class]]="B", WORKDAY(Main[[#This Row],[Tech Start Date]],6),IF(Main[[#This Row],[Class]]="A",WORKDAY(Main[[#This Row],[Tech Start Date]],2),""))))</f>
        <v/>
      </c>
      <c r="N1163" s="114" t="str">
        <f>IF(Main[[#This Row],[Tech Start Date]]&lt;1/1/1990,"",IF(Main[[#This Row],[Class]]="C",WORKDAY(Main[[#This Row],[Tech Start Date]],19),IF(Main[[#This Row],[Class]]="B", WORKDAY(Main[[#This Row],[Tech Start Date]],12),IF(Main[[#This Row],[Class]]="A",WORKDAY(Main[[#This Row],[Tech Start Date]],4),""))))</f>
        <v/>
      </c>
      <c r="O1163" s="114" t="str">
        <f>IF(Main[[#This Row],[Tech Start Date]]&lt;1/1/1990,"",IF(Main[[#This Row],[Class]]="C",WORKDAY(Main[[#This Row],[Tech Start Date]],23),IF(Main[[#This Row],[Class]]="B", WORKDAY(Main[[#This Row],[Tech Start Date]],15),IF(Main[[#This Row],[Class]]="A",WORKDAY(Main[[#This Row],[Tech Start Date]],5),""))))</f>
        <v/>
      </c>
      <c r="P1163" s="114" t="str">
        <f>IF(Main[[#This Row],[Tech Start Date]]&lt;1/1/1990,"",IF(Main[[#This Row],[Class]]="C",WORKDAY(Main[[#This Row],[Tech Start Date]],28),IF(Main[[#This Row],[Class]]="B", WORKDAY(Main[[#This Row],[Tech Start Date]],19),IF(Main[[#This Row],[Class]]="A",WORKDAY(Main[[#This Row],[Tech Start Date]],9),""))))</f>
        <v/>
      </c>
      <c r="Q1163" s="129"/>
      <c r="R1163" s="129"/>
      <c r="S1163" s="139" t="s">
        <v>11</v>
      </c>
      <c r="T1163" s="115" t="s">
        <v>4</v>
      </c>
      <c r="U1163" s="139" t="s">
        <v>14</v>
      </c>
      <c r="V1163" s="139" t="s">
        <v>1915</v>
      </c>
      <c r="W1163" s="139" t="s">
        <v>1922</v>
      </c>
      <c r="X1163" s="139" t="s">
        <v>2249</v>
      </c>
      <c r="Y1163" s="112" t="s">
        <v>4</v>
      </c>
      <c r="Z1163" s="112" t="s">
        <v>4</v>
      </c>
      <c r="AA1163" s="139" t="s">
        <v>3459</v>
      </c>
    </row>
    <row r="1164" spans="1:27" ht="17.25" customHeight="1">
      <c r="A1164" s="69" t="str">
        <f>IF(priority(Main[[#This Row],[Comments]])&lt;&gt;0, priority(Main[[#This Row],[Comments]]),"")</f>
        <v/>
      </c>
      <c r="B1164" s="63" t="s">
        <v>2512</v>
      </c>
      <c r="C1164" s="148" t="s">
        <v>4</v>
      </c>
      <c r="D1164" s="113" t="s">
        <v>2513</v>
      </c>
      <c r="E1164" s="129"/>
      <c r="F1164" s="129"/>
      <c r="G1164" s="69" t="str">
        <f>IF(stdProdLT(Main[[#This Row],[Comments]])=0.1,"N/A",IF(stdProdLT(Main[[#This Row],[Comments]])=0,"",stdProdLT(Main[[#This Row],[Comments]])))</f>
        <v/>
      </c>
      <c r="H1164" s="138" t="str">
        <f>IF(Main[[#This Row],[In Stock Date]]="N/A", "N/A",IF(AND(Main[[#This Row],[In Stock Date]]&lt;&gt;"",Main[[#This Row],[Revised Due Date]]&lt;&gt;"",Main[[#This Row],[In Stock Date]]&lt;&gt;""),Main[[#This Row],[In Stock Date]]-Main[[#This Row],[Revised Due Date]],""))</f>
        <v/>
      </c>
      <c r="I1164" s="139" t="s">
        <v>4</v>
      </c>
      <c r="J1164" s="139" t="s">
        <v>4</v>
      </c>
      <c r="K1164" s="140" t="s">
        <v>4</v>
      </c>
      <c r="L1164" s="129"/>
      <c r="M1164" s="114" t="str">
        <f>IF(Main[[#This Row],[Tech Start Date]]&lt;1/1/1990,"",IF(Main[[#This Row],[Class]]="C",WORKDAY(Main[[#This Row],[Tech Start Date]],9),IF(Main[[#This Row],[Class]]="B", WORKDAY(Main[[#This Row],[Tech Start Date]],6),IF(Main[[#This Row],[Class]]="A",WORKDAY(Main[[#This Row],[Tech Start Date]],2),""))))</f>
        <v/>
      </c>
      <c r="N1164" s="114" t="str">
        <f>IF(Main[[#This Row],[Tech Start Date]]&lt;1/1/1990,"",IF(Main[[#This Row],[Class]]="C",WORKDAY(Main[[#This Row],[Tech Start Date]],19),IF(Main[[#This Row],[Class]]="B", WORKDAY(Main[[#This Row],[Tech Start Date]],12),IF(Main[[#This Row],[Class]]="A",WORKDAY(Main[[#This Row],[Tech Start Date]],4),""))))</f>
        <v/>
      </c>
      <c r="O1164" s="114" t="str">
        <f>IF(Main[[#This Row],[Tech Start Date]]&lt;1/1/1990,"",IF(Main[[#This Row],[Class]]="C",WORKDAY(Main[[#This Row],[Tech Start Date]],23),IF(Main[[#This Row],[Class]]="B", WORKDAY(Main[[#This Row],[Tech Start Date]],15),IF(Main[[#This Row],[Class]]="A",WORKDAY(Main[[#This Row],[Tech Start Date]],5),""))))</f>
        <v/>
      </c>
      <c r="P1164" s="114" t="str">
        <f>IF(Main[[#This Row],[Tech Start Date]]&lt;1/1/1990,"",IF(Main[[#This Row],[Class]]="C",WORKDAY(Main[[#This Row],[Tech Start Date]],28),IF(Main[[#This Row],[Class]]="B", WORKDAY(Main[[#This Row],[Tech Start Date]],19),IF(Main[[#This Row],[Class]]="A",WORKDAY(Main[[#This Row],[Tech Start Date]],9),""))))</f>
        <v/>
      </c>
      <c r="Q1164" s="129">
        <v>40878</v>
      </c>
      <c r="R1164" s="129"/>
      <c r="S1164" s="139" t="s">
        <v>6</v>
      </c>
      <c r="T1164" s="115" t="s">
        <v>4</v>
      </c>
      <c r="U1164" s="139" t="s">
        <v>12</v>
      </c>
      <c r="V1164" s="139" t="s">
        <v>2283</v>
      </c>
      <c r="W1164" s="139" t="s">
        <v>4</v>
      </c>
      <c r="X1164" s="139" t="s">
        <v>2836</v>
      </c>
      <c r="Y1164" s="112" t="s">
        <v>2965</v>
      </c>
      <c r="Z1164" s="112" t="s">
        <v>4</v>
      </c>
      <c r="AA1164" s="139" t="s">
        <v>2836</v>
      </c>
    </row>
    <row r="1165" spans="1:27" ht="17.25" customHeight="1">
      <c r="A1165" s="69" t="str">
        <f>IF(priority(Main[[#This Row],[Comments]])&lt;&gt;0, priority(Main[[#This Row],[Comments]]),"")</f>
        <v/>
      </c>
      <c r="B1165" s="63" t="s">
        <v>3336</v>
      </c>
      <c r="C1165" s="148" t="s">
        <v>3337</v>
      </c>
      <c r="D1165" s="113" t="s">
        <v>3338</v>
      </c>
      <c r="E1165" s="129"/>
      <c r="F1165" s="129"/>
      <c r="G1165" s="69" t="str">
        <f>IF(stdProdLT(Main[[#This Row],[Comments]])=0.1,"N/A",IF(stdProdLT(Main[[#This Row],[Comments]])=0,"",stdProdLT(Main[[#This Row],[Comments]])))</f>
        <v/>
      </c>
      <c r="H1165" s="138" t="str">
        <f>IF(Main[[#This Row],[In Stock Date]]="N/A", "N/A",IF(AND(Main[[#This Row],[In Stock Date]]&lt;&gt;"",Main[[#This Row],[Revised Due Date]]&lt;&gt;"",Main[[#This Row],[In Stock Date]]&lt;&gt;""),Main[[#This Row],[In Stock Date]]-Main[[#This Row],[Revised Due Date]],""))</f>
        <v/>
      </c>
      <c r="I1165" s="139" t="s">
        <v>2208</v>
      </c>
      <c r="J1165" s="139" t="s">
        <v>75</v>
      </c>
      <c r="K1165" s="140" t="s">
        <v>1923</v>
      </c>
      <c r="L1165" s="129"/>
      <c r="M1165" s="114" t="str">
        <f>IF(Main[[#This Row],[Tech Start Date]]&lt;1/1/1990,"",IF(Main[[#This Row],[Class]]="C",WORKDAY(Main[[#This Row],[Tech Start Date]],9),IF(Main[[#This Row],[Class]]="B", WORKDAY(Main[[#This Row],[Tech Start Date]],6),IF(Main[[#This Row],[Class]]="A",WORKDAY(Main[[#This Row],[Tech Start Date]],2),""))))</f>
        <v/>
      </c>
      <c r="N1165" s="114" t="str">
        <f>IF(Main[[#This Row],[Tech Start Date]]&lt;1/1/1990,"",IF(Main[[#This Row],[Class]]="C",WORKDAY(Main[[#This Row],[Tech Start Date]],19),IF(Main[[#This Row],[Class]]="B", WORKDAY(Main[[#This Row],[Tech Start Date]],12),IF(Main[[#This Row],[Class]]="A",WORKDAY(Main[[#This Row],[Tech Start Date]],4),""))))</f>
        <v/>
      </c>
      <c r="O1165" s="114" t="str">
        <f>IF(Main[[#This Row],[Tech Start Date]]&lt;1/1/1990,"",IF(Main[[#This Row],[Class]]="C",WORKDAY(Main[[#This Row],[Tech Start Date]],23),IF(Main[[#This Row],[Class]]="B", WORKDAY(Main[[#This Row],[Tech Start Date]],15),IF(Main[[#This Row],[Class]]="A",WORKDAY(Main[[#This Row],[Tech Start Date]],5),""))))</f>
        <v/>
      </c>
      <c r="P1165" s="114" t="str">
        <f>IF(Main[[#This Row],[Tech Start Date]]&lt;1/1/1990,"",IF(Main[[#This Row],[Class]]="C",WORKDAY(Main[[#This Row],[Tech Start Date]],28),IF(Main[[#This Row],[Class]]="B", WORKDAY(Main[[#This Row],[Tech Start Date]],19),IF(Main[[#This Row],[Class]]="A",WORKDAY(Main[[#This Row],[Tech Start Date]],9),""))))</f>
        <v/>
      </c>
      <c r="Q1165" s="129"/>
      <c r="R1165" s="129"/>
      <c r="S1165" s="139" t="s">
        <v>6</v>
      </c>
      <c r="T1165" s="115" t="s">
        <v>4</v>
      </c>
      <c r="U1165" s="139" t="s">
        <v>14</v>
      </c>
      <c r="V1165" s="139" t="s">
        <v>1914</v>
      </c>
      <c r="W1165" s="139" t="s">
        <v>1918</v>
      </c>
      <c r="X1165" s="139" t="s">
        <v>2208</v>
      </c>
      <c r="Y1165" s="112" t="s">
        <v>3339</v>
      </c>
      <c r="Z1165" s="112" t="s">
        <v>306</v>
      </c>
      <c r="AA1165" s="139" t="s">
        <v>3460</v>
      </c>
    </row>
    <row r="1166" spans="1:27" ht="17.25" customHeight="1">
      <c r="A1166" s="69" t="str">
        <f>IF(priority(Main[[#This Row],[Comments]])&lt;&gt;0, priority(Main[[#This Row],[Comments]]),"")</f>
        <v/>
      </c>
      <c r="B1166" s="63" t="s">
        <v>2760</v>
      </c>
      <c r="C1166" s="148" t="s">
        <v>4</v>
      </c>
      <c r="D1166" s="113" t="s">
        <v>2761</v>
      </c>
      <c r="E1166" s="129">
        <v>40911.566932870373</v>
      </c>
      <c r="F1166" s="129"/>
      <c r="G1166" s="69" t="str">
        <f>IF(stdProdLT(Main[[#This Row],[Comments]])=0.1,"N/A",IF(stdProdLT(Main[[#This Row],[Comments]])=0,"",stdProdLT(Main[[#This Row],[Comments]])))</f>
        <v/>
      </c>
      <c r="H1166" s="138" t="str">
        <f>IF(Main[[#This Row],[In Stock Date]]="N/A", "N/A",IF(AND(Main[[#This Row],[In Stock Date]]&lt;&gt;"",Main[[#This Row],[Revised Due Date]]&lt;&gt;"",Main[[#This Row],[In Stock Date]]&lt;&gt;""),Main[[#This Row],[In Stock Date]]-Main[[#This Row],[Revised Due Date]],""))</f>
        <v/>
      </c>
      <c r="I1166" s="139" t="s">
        <v>530</v>
      </c>
      <c r="J1166" s="139" t="s">
        <v>28</v>
      </c>
      <c r="K1166" s="139" t="s">
        <v>1923</v>
      </c>
      <c r="L1166" s="129"/>
      <c r="M1166" s="114" t="str">
        <f>IF(Main[[#This Row],[Tech Start Date]]&lt;1/1/1990,"",IF(Main[[#This Row],[Class]]="C",WORKDAY(Main[[#This Row],[Tech Start Date]],9),IF(Main[[#This Row],[Class]]="B", WORKDAY(Main[[#This Row],[Tech Start Date]],6),IF(Main[[#This Row],[Class]]="A",WORKDAY(Main[[#This Row],[Tech Start Date]],2),""))))</f>
        <v/>
      </c>
      <c r="N1166" s="114" t="str">
        <f>IF(Main[[#This Row],[Tech Start Date]]&lt;1/1/1990,"",IF(Main[[#This Row],[Class]]="C",WORKDAY(Main[[#This Row],[Tech Start Date]],19),IF(Main[[#This Row],[Class]]="B", WORKDAY(Main[[#This Row],[Tech Start Date]],12),IF(Main[[#This Row],[Class]]="A",WORKDAY(Main[[#This Row],[Tech Start Date]],4),""))))</f>
        <v/>
      </c>
      <c r="O1166" s="114" t="str">
        <f>IF(Main[[#This Row],[Tech Start Date]]&lt;1/1/1990,"",IF(Main[[#This Row],[Class]]="C",WORKDAY(Main[[#This Row],[Tech Start Date]],23),IF(Main[[#This Row],[Class]]="B", WORKDAY(Main[[#This Row],[Tech Start Date]],15),IF(Main[[#This Row],[Class]]="A",WORKDAY(Main[[#This Row],[Tech Start Date]],5),""))))</f>
        <v/>
      </c>
      <c r="P1166" s="114" t="str">
        <f>IF(Main[[#This Row],[Tech Start Date]]&lt;1/1/1990,"",IF(Main[[#This Row],[Class]]="C",WORKDAY(Main[[#This Row],[Tech Start Date]],28),IF(Main[[#This Row],[Class]]="B", WORKDAY(Main[[#This Row],[Tech Start Date]],19),IF(Main[[#This Row],[Class]]="A",WORKDAY(Main[[#This Row],[Tech Start Date]],9),""))))</f>
        <v/>
      </c>
      <c r="Q1166" s="129">
        <v>40963</v>
      </c>
      <c r="R1166" s="129"/>
      <c r="S1166" s="139" t="s">
        <v>6</v>
      </c>
      <c r="T1166" s="115" t="s">
        <v>4</v>
      </c>
      <c r="U1166" s="139" t="s">
        <v>29</v>
      </c>
      <c r="V1166" s="139" t="s">
        <v>1917</v>
      </c>
      <c r="W1166" s="139" t="s">
        <v>1918</v>
      </c>
      <c r="X1166" s="139" t="s">
        <v>765</v>
      </c>
      <c r="Y1166" s="112" t="s">
        <v>2935</v>
      </c>
      <c r="Z1166" s="112" t="s">
        <v>30</v>
      </c>
      <c r="AA1166" s="139" t="s">
        <v>765</v>
      </c>
    </row>
    <row r="1167" spans="1:27" ht="17.25" customHeight="1">
      <c r="A1167" s="69" t="str">
        <f>IF(priority(Main[[#This Row],[Comments]])&lt;&gt;0, priority(Main[[#This Row],[Comments]]),"")</f>
        <v/>
      </c>
      <c r="B1167" s="63" t="s">
        <v>3497</v>
      </c>
      <c r="C1167" s="148" t="s">
        <v>47</v>
      </c>
      <c r="D1167" s="113" t="s">
        <v>3499</v>
      </c>
      <c r="E1167" s="129">
        <v>40941.662106481483</v>
      </c>
      <c r="F1167" s="129"/>
      <c r="G1167" s="69" t="str">
        <f>IF(stdProdLT(Main[[#This Row],[Comments]])=0.1,"N/A",IF(stdProdLT(Main[[#This Row],[Comments]])=0,"",stdProdLT(Main[[#This Row],[Comments]])))</f>
        <v/>
      </c>
      <c r="H1167" s="138" t="str">
        <f>IF(Main[[#This Row],[In Stock Date]]="N/A", "N/A",IF(AND(Main[[#This Row],[In Stock Date]]&lt;&gt;"",Main[[#This Row],[Revised Due Date]]&lt;&gt;"",Main[[#This Row],[In Stock Date]]&lt;&gt;""),Main[[#This Row],[In Stock Date]]-Main[[#This Row],[Revised Due Date]],""))</f>
        <v/>
      </c>
      <c r="I1167" s="139" t="s">
        <v>4</v>
      </c>
      <c r="J1167" s="139" t="s">
        <v>4</v>
      </c>
      <c r="K1167" s="139" t="s">
        <v>4</v>
      </c>
      <c r="L1167" s="129"/>
      <c r="M1167" s="114" t="str">
        <f>IF(Main[[#This Row],[Tech Start Date]]&lt;1/1/1990,"",IF(Main[[#This Row],[Class]]="C",WORKDAY(Main[[#This Row],[Tech Start Date]],9),IF(Main[[#This Row],[Class]]="B", WORKDAY(Main[[#This Row],[Tech Start Date]],6),IF(Main[[#This Row],[Class]]="A",WORKDAY(Main[[#This Row],[Tech Start Date]],2),""))))</f>
        <v/>
      </c>
      <c r="N1167" s="114" t="str">
        <f>IF(Main[[#This Row],[Tech Start Date]]&lt;1/1/1990,"",IF(Main[[#This Row],[Class]]="C",WORKDAY(Main[[#This Row],[Tech Start Date]],19),IF(Main[[#This Row],[Class]]="B", WORKDAY(Main[[#This Row],[Tech Start Date]],12),IF(Main[[#This Row],[Class]]="A",WORKDAY(Main[[#This Row],[Tech Start Date]],4),""))))</f>
        <v/>
      </c>
      <c r="O1167" s="114" t="str">
        <f>IF(Main[[#This Row],[Tech Start Date]]&lt;1/1/1990,"",IF(Main[[#This Row],[Class]]="C",WORKDAY(Main[[#This Row],[Tech Start Date]],23),IF(Main[[#This Row],[Class]]="B", WORKDAY(Main[[#This Row],[Tech Start Date]],15),IF(Main[[#This Row],[Class]]="A",WORKDAY(Main[[#This Row],[Tech Start Date]],5),""))))</f>
        <v/>
      </c>
      <c r="P1167" s="114" t="str">
        <f>IF(Main[[#This Row],[Tech Start Date]]&lt;1/1/1990,"",IF(Main[[#This Row],[Class]]="C",WORKDAY(Main[[#This Row],[Tech Start Date]],28),IF(Main[[#This Row],[Class]]="B", WORKDAY(Main[[#This Row],[Tech Start Date]],19),IF(Main[[#This Row],[Class]]="A",WORKDAY(Main[[#This Row],[Tech Start Date]],9),""))))</f>
        <v/>
      </c>
      <c r="Q1167" s="129">
        <v>40968</v>
      </c>
      <c r="R1167" s="129"/>
      <c r="S1167" s="139" t="s">
        <v>6</v>
      </c>
      <c r="T1167" s="115" t="s">
        <v>4</v>
      </c>
      <c r="U1167" s="139" t="s">
        <v>29</v>
      </c>
      <c r="V1167" s="139" t="s">
        <v>2283</v>
      </c>
      <c r="W1167" s="139" t="s">
        <v>4</v>
      </c>
      <c r="X1167" s="139" t="s">
        <v>2865</v>
      </c>
      <c r="Y1167" s="112" t="s">
        <v>3010</v>
      </c>
      <c r="Z1167" s="112" t="s">
        <v>4</v>
      </c>
      <c r="AA1167" s="139" t="s">
        <v>2865</v>
      </c>
    </row>
    <row r="1168" spans="1:27" ht="17.25" customHeight="1">
      <c r="A1168" s="69" t="str">
        <f>IF(priority(Main[[#This Row],[Comments]])&lt;&gt;0, priority(Main[[#This Row],[Comments]]),"")</f>
        <v/>
      </c>
      <c r="B1168" s="63" t="s">
        <v>3293</v>
      </c>
      <c r="C1168" s="148" t="s">
        <v>4</v>
      </c>
      <c r="D1168" s="113" t="s">
        <v>3661</v>
      </c>
      <c r="E1168" s="129">
        <v>40932.426516203705</v>
      </c>
      <c r="F1168" s="129"/>
      <c r="G1168" s="69" t="str">
        <f>IF(stdProdLT(Main[[#This Row],[Comments]])=0.1,"N/A",IF(stdProdLT(Main[[#This Row],[Comments]])=0,"",stdProdLT(Main[[#This Row],[Comments]])))</f>
        <v/>
      </c>
      <c r="H1168" s="138" t="str">
        <f>IF(Main[[#This Row],[In Stock Date]]="N/A", "N/A",IF(AND(Main[[#This Row],[In Stock Date]]&lt;&gt;"",Main[[#This Row],[Revised Due Date]]&lt;&gt;"",Main[[#This Row],[In Stock Date]]&lt;&gt;""),Main[[#This Row],[In Stock Date]]-Main[[#This Row],[Revised Due Date]],""))</f>
        <v/>
      </c>
      <c r="I1168" s="139" t="s">
        <v>530</v>
      </c>
      <c r="J1168" s="139" t="s">
        <v>28</v>
      </c>
      <c r="K1168" s="139" t="s">
        <v>1923</v>
      </c>
      <c r="L1168" s="129"/>
      <c r="M1168" s="114" t="str">
        <f>IF(Main[[#This Row],[Tech Start Date]]&lt;1/1/1990,"",IF(Main[[#This Row],[Class]]="C",WORKDAY(Main[[#This Row],[Tech Start Date]],9),IF(Main[[#This Row],[Class]]="B", WORKDAY(Main[[#This Row],[Tech Start Date]],6),IF(Main[[#This Row],[Class]]="A",WORKDAY(Main[[#This Row],[Tech Start Date]],2),""))))</f>
        <v/>
      </c>
      <c r="N1168" s="114" t="str">
        <f>IF(Main[[#This Row],[Tech Start Date]]&lt;1/1/1990,"",IF(Main[[#This Row],[Class]]="C",WORKDAY(Main[[#This Row],[Tech Start Date]],19),IF(Main[[#This Row],[Class]]="B", WORKDAY(Main[[#This Row],[Tech Start Date]],12),IF(Main[[#This Row],[Class]]="A",WORKDAY(Main[[#This Row],[Tech Start Date]],4),""))))</f>
        <v/>
      </c>
      <c r="O1168" s="114" t="str">
        <f>IF(Main[[#This Row],[Tech Start Date]]&lt;1/1/1990,"",IF(Main[[#This Row],[Class]]="C",WORKDAY(Main[[#This Row],[Tech Start Date]],23),IF(Main[[#This Row],[Class]]="B", WORKDAY(Main[[#This Row],[Tech Start Date]],15),IF(Main[[#This Row],[Class]]="A",WORKDAY(Main[[#This Row],[Tech Start Date]],5),""))))</f>
        <v/>
      </c>
      <c r="P1168" s="114" t="str">
        <f>IF(Main[[#This Row],[Tech Start Date]]&lt;1/1/1990,"",IF(Main[[#This Row],[Class]]="C",WORKDAY(Main[[#This Row],[Tech Start Date]],28),IF(Main[[#This Row],[Class]]="B", WORKDAY(Main[[#This Row],[Tech Start Date]],19),IF(Main[[#This Row],[Class]]="A",WORKDAY(Main[[#This Row],[Tech Start Date]],9),""))))</f>
        <v/>
      </c>
      <c r="Q1168" s="129">
        <v>41019</v>
      </c>
      <c r="R1168" s="129"/>
      <c r="S1168" s="139" t="s">
        <v>6</v>
      </c>
      <c r="T1168" s="115" t="s">
        <v>4</v>
      </c>
      <c r="U1168" s="139" t="s">
        <v>29</v>
      </c>
      <c r="V1168" s="139" t="s">
        <v>1917</v>
      </c>
      <c r="W1168" s="139" t="s">
        <v>1918</v>
      </c>
      <c r="X1168" s="139" t="s">
        <v>2866</v>
      </c>
      <c r="Y1168" s="112" t="s">
        <v>3000</v>
      </c>
      <c r="Z1168" s="112" t="s">
        <v>30</v>
      </c>
      <c r="AA1168" s="139" t="s">
        <v>2866</v>
      </c>
    </row>
    <row r="1169" spans="1:27" ht="17.25" customHeight="1">
      <c r="A1169" s="69" t="str">
        <f>IF(priority(Main[[#This Row],[Comments]])&lt;&gt;0, priority(Main[[#This Row],[Comments]]),"")</f>
        <v/>
      </c>
      <c r="B1169" s="63" t="s">
        <v>2515</v>
      </c>
      <c r="C1169" s="148" t="s">
        <v>4</v>
      </c>
      <c r="D1169" s="113" t="s">
        <v>2516</v>
      </c>
      <c r="E1169" s="129">
        <v>40840.652592592596</v>
      </c>
      <c r="F1169" s="129"/>
      <c r="G1169" s="69" t="str">
        <f>IF(stdProdLT(Main[[#This Row],[Comments]])=0.1,"N/A",IF(stdProdLT(Main[[#This Row],[Comments]])=0,"",stdProdLT(Main[[#This Row],[Comments]])))</f>
        <v/>
      </c>
      <c r="H1169" s="138" t="str">
        <f>IF(Main[[#This Row],[In Stock Date]]="N/A", "N/A",IF(AND(Main[[#This Row],[In Stock Date]]&lt;&gt;"",Main[[#This Row],[Revised Due Date]]&lt;&gt;"",Main[[#This Row],[In Stock Date]]&lt;&gt;""),Main[[#This Row],[In Stock Date]]-Main[[#This Row],[Revised Due Date]],""))</f>
        <v/>
      </c>
      <c r="I1169" s="139" t="s">
        <v>4</v>
      </c>
      <c r="J1169" s="139" t="s">
        <v>4</v>
      </c>
      <c r="K1169" s="139" t="s">
        <v>4</v>
      </c>
      <c r="L1169" s="129"/>
      <c r="M1169" s="114" t="str">
        <f>IF(Main[[#This Row],[Tech Start Date]]&lt;1/1/1990,"",IF(Main[[#This Row],[Class]]="C",WORKDAY(Main[[#This Row],[Tech Start Date]],9),IF(Main[[#This Row],[Class]]="B", WORKDAY(Main[[#This Row],[Tech Start Date]],6),IF(Main[[#This Row],[Class]]="A",WORKDAY(Main[[#This Row],[Tech Start Date]],2),""))))</f>
        <v/>
      </c>
      <c r="N1169" s="114" t="str">
        <f>IF(Main[[#This Row],[Tech Start Date]]&lt;1/1/1990,"",IF(Main[[#This Row],[Class]]="C",WORKDAY(Main[[#This Row],[Tech Start Date]],19),IF(Main[[#This Row],[Class]]="B", WORKDAY(Main[[#This Row],[Tech Start Date]],12),IF(Main[[#This Row],[Class]]="A",WORKDAY(Main[[#This Row],[Tech Start Date]],4),""))))</f>
        <v/>
      </c>
      <c r="O1169" s="114" t="str">
        <f>IF(Main[[#This Row],[Tech Start Date]]&lt;1/1/1990,"",IF(Main[[#This Row],[Class]]="C",WORKDAY(Main[[#This Row],[Tech Start Date]],23),IF(Main[[#This Row],[Class]]="B", WORKDAY(Main[[#This Row],[Tech Start Date]],15),IF(Main[[#This Row],[Class]]="A",WORKDAY(Main[[#This Row],[Tech Start Date]],5),""))))</f>
        <v/>
      </c>
      <c r="P1169" s="114" t="str">
        <f>IF(Main[[#This Row],[Tech Start Date]]&lt;1/1/1990,"",IF(Main[[#This Row],[Class]]="C",WORKDAY(Main[[#This Row],[Tech Start Date]],28),IF(Main[[#This Row],[Class]]="B", WORKDAY(Main[[#This Row],[Tech Start Date]],19),IF(Main[[#This Row],[Class]]="A",WORKDAY(Main[[#This Row],[Tech Start Date]],9),""))))</f>
        <v/>
      </c>
      <c r="Q1169" s="129"/>
      <c r="R1169" s="129"/>
      <c r="S1169" s="139" t="s">
        <v>6</v>
      </c>
      <c r="T1169" s="115" t="s">
        <v>4</v>
      </c>
      <c r="U1169" s="139" t="s">
        <v>29</v>
      </c>
      <c r="V1169" s="139" t="s">
        <v>1914</v>
      </c>
      <c r="W1169" s="139" t="s">
        <v>4</v>
      </c>
      <c r="X1169" s="139" t="s">
        <v>937</v>
      </c>
      <c r="Y1169" s="112" t="s">
        <v>2984</v>
      </c>
      <c r="Z1169" s="112" t="s">
        <v>4</v>
      </c>
      <c r="AA1169" s="139" t="s">
        <v>937</v>
      </c>
    </row>
    <row r="1170" spans="1:27" ht="17.25" customHeight="1">
      <c r="A1170" s="69" t="str">
        <f>IF(priority(Main[[#This Row],[Comments]])&lt;&gt;0, priority(Main[[#This Row],[Comments]]),"")</f>
        <v/>
      </c>
      <c r="B1170" s="63" t="s">
        <v>3949</v>
      </c>
      <c r="C1170" s="148" t="s">
        <v>31</v>
      </c>
      <c r="D1170" s="113" t="s">
        <v>3950</v>
      </c>
      <c r="E1170" s="129">
        <v>40968.135138888887</v>
      </c>
      <c r="F1170" s="129">
        <v>41000</v>
      </c>
      <c r="G1170" s="69" t="str">
        <f>IF(stdProdLT(Main[[#This Row],[Comments]])=0.1,"N/A",IF(stdProdLT(Main[[#This Row],[Comments]])=0,"",stdProdLT(Main[[#This Row],[Comments]])))</f>
        <v/>
      </c>
      <c r="H1170" s="138" t="str">
        <f>IF(Main[[#This Row],[In Stock Date]]="N/A", "N/A",IF(AND(Main[[#This Row],[In Stock Date]]&lt;&gt;"",Main[[#This Row],[Revised Due Date]]&lt;&gt;"",Main[[#This Row],[In Stock Date]]&lt;&gt;""),Main[[#This Row],[In Stock Date]]-Main[[#This Row],[Revised Due Date]],""))</f>
        <v/>
      </c>
      <c r="I1170" s="139" t="s">
        <v>4</v>
      </c>
      <c r="J1170" s="139" t="s">
        <v>4</v>
      </c>
      <c r="K1170" s="139" t="s">
        <v>4</v>
      </c>
      <c r="L1170" s="129"/>
      <c r="M1170" s="114" t="str">
        <f>IF(Main[[#This Row],[Tech Start Date]]&lt;1/1/1990,"",IF(Main[[#This Row],[Class]]="C",WORKDAY(Main[[#This Row],[Tech Start Date]],9),IF(Main[[#This Row],[Class]]="B", WORKDAY(Main[[#This Row],[Tech Start Date]],6),IF(Main[[#This Row],[Class]]="A",WORKDAY(Main[[#This Row],[Tech Start Date]],2),""))))</f>
        <v/>
      </c>
      <c r="N1170" s="114" t="str">
        <f>IF(Main[[#This Row],[Tech Start Date]]&lt;1/1/1990,"",IF(Main[[#This Row],[Class]]="C",WORKDAY(Main[[#This Row],[Tech Start Date]],19),IF(Main[[#This Row],[Class]]="B", WORKDAY(Main[[#This Row],[Tech Start Date]],12),IF(Main[[#This Row],[Class]]="A",WORKDAY(Main[[#This Row],[Tech Start Date]],4),""))))</f>
        <v/>
      </c>
      <c r="O1170" s="114" t="str">
        <f>IF(Main[[#This Row],[Tech Start Date]]&lt;1/1/1990,"",IF(Main[[#This Row],[Class]]="C",WORKDAY(Main[[#This Row],[Tech Start Date]],23),IF(Main[[#This Row],[Class]]="B", WORKDAY(Main[[#This Row],[Tech Start Date]],15),IF(Main[[#This Row],[Class]]="A",WORKDAY(Main[[#This Row],[Tech Start Date]],5),""))))</f>
        <v/>
      </c>
      <c r="P1170" s="114" t="str">
        <f>IF(Main[[#This Row],[Tech Start Date]]&lt;1/1/1990,"",IF(Main[[#This Row],[Class]]="C",WORKDAY(Main[[#This Row],[Tech Start Date]],28),IF(Main[[#This Row],[Class]]="B", WORKDAY(Main[[#This Row],[Tech Start Date]],19),IF(Main[[#This Row],[Class]]="A",WORKDAY(Main[[#This Row],[Tech Start Date]],9),""))))</f>
        <v/>
      </c>
      <c r="Q1170" s="129">
        <v>41000</v>
      </c>
      <c r="R1170" s="129"/>
      <c r="S1170" s="139" t="s">
        <v>11</v>
      </c>
      <c r="T1170" s="115" t="s">
        <v>4</v>
      </c>
      <c r="U1170" s="139" t="s">
        <v>7</v>
      </c>
      <c r="V1170" s="139" t="s">
        <v>1924</v>
      </c>
      <c r="W1170" s="139" t="s">
        <v>1925</v>
      </c>
      <c r="X1170" s="139" t="s">
        <v>3951</v>
      </c>
      <c r="Y1170" s="112" t="s">
        <v>3952</v>
      </c>
      <c r="Z1170" s="112" t="s">
        <v>4</v>
      </c>
      <c r="AA1170" s="139" t="s">
        <v>3951</v>
      </c>
    </row>
    <row r="1171" spans="1:27" ht="17.25" customHeight="1">
      <c r="A1171" s="69" t="str">
        <f>IF(priority(Main[[#This Row],[Comments]])&lt;&gt;0, priority(Main[[#This Row],[Comments]]),"")</f>
        <v/>
      </c>
      <c r="B1171" s="63" t="s">
        <v>2315</v>
      </c>
      <c r="C1171" s="148" t="s">
        <v>4</v>
      </c>
      <c r="D1171" s="113" t="s">
        <v>2316</v>
      </c>
      <c r="E1171" s="129">
        <v>40819.669872685183</v>
      </c>
      <c r="F1171" s="129"/>
      <c r="G1171" s="69" t="str">
        <f>IF(stdProdLT(Main[[#This Row],[Comments]])=0.1,"N/A",IF(stdProdLT(Main[[#This Row],[Comments]])=0,"",stdProdLT(Main[[#This Row],[Comments]])))</f>
        <v/>
      </c>
      <c r="H1171" s="138" t="str">
        <f>IF(Main[[#This Row],[In Stock Date]]="N/A", "N/A",IF(AND(Main[[#This Row],[In Stock Date]]&lt;&gt;"",Main[[#This Row],[Revised Due Date]]&lt;&gt;"",Main[[#This Row],[In Stock Date]]&lt;&gt;""),Main[[#This Row],[In Stock Date]]-Main[[#This Row],[Revised Due Date]],""))</f>
        <v/>
      </c>
      <c r="I1171" s="139" t="s">
        <v>239</v>
      </c>
      <c r="J1171" s="139" t="s">
        <v>28</v>
      </c>
      <c r="K1171" s="139" t="s">
        <v>1923</v>
      </c>
      <c r="L1171" s="129"/>
      <c r="M1171" s="114" t="str">
        <f>IF(Main[[#This Row],[Tech Start Date]]&lt;1/1/1990,"",IF(Main[[#This Row],[Class]]="C",WORKDAY(Main[[#This Row],[Tech Start Date]],9),IF(Main[[#This Row],[Class]]="B", WORKDAY(Main[[#This Row],[Tech Start Date]],6),IF(Main[[#This Row],[Class]]="A",WORKDAY(Main[[#This Row],[Tech Start Date]],2),""))))</f>
        <v/>
      </c>
      <c r="N1171" s="114" t="str">
        <f>IF(Main[[#This Row],[Tech Start Date]]&lt;1/1/1990,"",IF(Main[[#This Row],[Class]]="C",WORKDAY(Main[[#This Row],[Tech Start Date]],19),IF(Main[[#This Row],[Class]]="B", WORKDAY(Main[[#This Row],[Tech Start Date]],12),IF(Main[[#This Row],[Class]]="A",WORKDAY(Main[[#This Row],[Tech Start Date]],4),""))))</f>
        <v/>
      </c>
      <c r="O1171" s="114" t="str">
        <f>IF(Main[[#This Row],[Tech Start Date]]&lt;1/1/1990,"",IF(Main[[#This Row],[Class]]="C",WORKDAY(Main[[#This Row],[Tech Start Date]],23),IF(Main[[#This Row],[Class]]="B", WORKDAY(Main[[#This Row],[Tech Start Date]],15),IF(Main[[#This Row],[Class]]="A",WORKDAY(Main[[#This Row],[Tech Start Date]],5),""))))</f>
        <v/>
      </c>
      <c r="P1171" s="114" t="str">
        <f>IF(Main[[#This Row],[Tech Start Date]]&lt;1/1/1990,"",IF(Main[[#This Row],[Class]]="C",WORKDAY(Main[[#This Row],[Tech Start Date]],28),IF(Main[[#This Row],[Class]]="B", WORKDAY(Main[[#This Row],[Tech Start Date]],19),IF(Main[[#This Row],[Class]]="A",WORKDAY(Main[[#This Row],[Tech Start Date]],9),""))))</f>
        <v/>
      </c>
      <c r="Q1171" s="129">
        <v>40847</v>
      </c>
      <c r="R1171" s="129"/>
      <c r="S1171" s="139" t="s">
        <v>6</v>
      </c>
      <c r="T1171" s="115" t="s">
        <v>4</v>
      </c>
      <c r="U1171" s="139" t="s">
        <v>29</v>
      </c>
      <c r="V1171" s="139" t="s">
        <v>1917</v>
      </c>
      <c r="W1171" s="139" t="s">
        <v>1918</v>
      </c>
      <c r="X1171" s="139" t="s">
        <v>30</v>
      </c>
      <c r="Y1171" s="112" t="s">
        <v>2940</v>
      </c>
      <c r="Z1171" s="112" t="s">
        <v>30</v>
      </c>
      <c r="AA1171" s="139" t="s">
        <v>30</v>
      </c>
    </row>
    <row r="1172" spans="1:27" ht="17.25" customHeight="1">
      <c r="A1172" s="69" t="str">
        <f>IF(priority(Main[[#This Row],[Comments]])&lt;&gt;0, priority(Main[[#This Row],[Comments]]),"")</f>
        <v/>
      </c>
      <c r="B1172" s="63" t="s">
        <v>2518</v>
      </c>
      <c r="C1172" s="148" t="s">
        <v>2509</v>
      </c>
      <c r="D1172" s="113" t="s">
        <v>2519</v>
      </c>
      <c r="E1172" s="129"/>
      <c r="F1172" s="129"/>
      <c r="G1172" s="69" t="str">
        <f>IF(stdProdLT(Main[[#This Row],[Comments]])=0.1,"N/A",IF(stdProdLT(Main[[#This Row],[Comments]])=0,"",stdProdLT(Main[[#This Row],[Comments]])))</f>
        <v/>
      </c>
      <c r="H1172" s="138" t="str">
        <f>IF(Main[[#This Row],[In Stock Date]]="N/A", "N/A",IF(AND(Main[[#This Row],[In Stock Date]]&lt;&gt;"",Main[[#This Row],[Revised Due Date]]&lt;&gt;"",Main[[#This Row],[In Stock Date]]&lt;&gt;""),Main[[#This Row],[In Stock Date]]-Main[[#This Row],[Revised Due Date]],""))</f>
        <v/>
      </c>
      <c r="I1172" s="139" t="s">
        <v>4</v>
      </c>
      <c r="J1172" s="139" t="s">
        <v>4</v>
      </c>
      <c r="K1172" s="139" t="s">
        <v>4</v>
      </c>
      <c r="L1172" s="129"/>
      <c r="M1172" s="114" t="str">
        <f>IF(Main[[#This Row],[Tech Start Date]]&lt;1/1/1990,"",IF(Main[[#This Row],[Class]]="C",WORKDAY(Main[[#This Row],[Tech Start Date]],9),IF(Main[[#This Row],[Class]]="B", WORKDAY(Main[[#This Row],[Tech Start Date]],6),IF(Main[[#This Row],[Class]]="A",WORKDAY(Main[[#This Row],[Tech Start Date]],2),""))))</f>
        <v/>
      </c>
      <c r="N1172" s="114" t="str">
        <f>IF(Main[[#This Row],[Tech Start Date]]&lt;1/1/1990,"",IF(Main[[#This Row],[Class]]="C",WORKDAY(Main[[#This Row],[Tech Start Date]],19),IF(Main[[#This Row],[Class]]="B", WORKDAY(Main[[#This Row],[Tech Start Date]],12),IF(Main[[#This Row],[Class]]="A",WORKDAY(Main[[#This Row],[Tech Start Date]],4),""))))</f>
        <v/>
      </c>
      <c r="O1172" s="114" t="str">
        <f>IF(Main[[#This Row],[Tech Start Date]]&lt;1/1/1990,"",IF(Main[[#This Row],[Class]]="C",WORKDAY(Main[[#This Row],[Tech Start Date]],23),IF(Main[[#This Row],[Class]]="B", WORKDAY(Main[[#This Row],[Tech Start Date]],15),IF(Main[[#This Row],[Class]]="A",WORKDAY(Main[[#This Row],[Tech Start Date]],5),""))))</f>
        <v/>
      </c>
      <c r="P1172" s="114" t="str">
        <f>IF(Main[[#This Row],[Tech Start Date]]&lt;1/1/1990,"",IF(Main[[#This Row],[Class]]="C",WORKDAY(Main[[#This Row],[Tech Start Date]],28),IF(Main[[#This Row],[Class]]="B", WORKDAY(Main[[#This Row],[Tech Start Date]],19),IF(Main[[#This Row],[Class]]="A",WORKDAY(Main[[#This Row],[Tech Start Date]],9),""))))</f>
        <v/>
      </c>
      <c r="Q1172" s="129"/>
      <c r="R1172" s="129"/>
      <c r="S1172" s="139" t="s">
        <v>11</v>
      </c>
      <c r="T1172" s="115" t="s">
        <v>4</v>
      </c>
      <c r="U1172" s="139" t="s">
        <v>14</v>
      </c>
      <c r="V1172" s="139" t="s">
        <v>1915</v>
      </c>
      <c r="W1172" s="139" t="s">
        <v>1922</v>
      </c>
      <c r="X1172" s="139" t="s">
        <v>306</v>
      </c>
      <c r="Y1172" s="112" t="s">
        <v>4</v>
      </c>
      <c r="Z1172" s="112" t="s">
        <v>4</v>
      </c>
      <c r="AA1172" s="139" t="s">
        <v>3459</v>
      </c>
    </row>
    <row r="1173" spans="1:27" ht="17.25" customHeight="1">
      <c r="A1173" s="69" t="str">
        <f>IF(priority(Main[[#This Row],[Comments]])&lt;&gt;0, priority(Main[[#This Row],[Comments]]),"")</f>
        <v/>
      </c>
      <c r="B1173" s="63" t="s">
        <v>2520</v>
      </c>
      <c r="C1173" s="148" t="s">
        <v>2327</v>
      </c>
      <c r="D1173" s="113" t="s">
        <v>2521</v>
      </c>
      <c r="E1173" s="129">
        <v>40843.623680555553</v>
      </c>
      <c r="F1173" s="129"/>
      <c r="G1173" s="69" t="str">
        <f>IF(stdProdLT(Main[[#This Row],[Comments]])=0.1,"N/A",IF(stdProdLT(Main[[#This Row],[Comments]])=0,"",stdProdLT(Main[[#This Row],[Comments]])))</f>
        <v/>
      </c>
      <c r="H1173" s="138" t="str">
        <f>IF(Main[[#This Row],[In Stock Date]]="N/A", "N/A",IF(AND(Main[[#This Row],[In Stock Date]]&lt;&gt;"",Main[[#This Row],[Revised Due Date]]&lt;&gt;"",Main[[#This Row],[In Stock Date]]&lt;&gt;""),Main[[#This Row],[In Stock Date]]-Main[[#This Row],[Revised Due Date]],""))</f>
        <v/>
      </c>
      <c r="I1173" s="139" t="s">
        <v>4</v>
      </c>
      <c r="J1173" s="139" t="s">
        <v>4</v>
      </c>
      <c r="K1173" s="139" t="s">
        <v>4</v>
      </c>
      <c r="L1173" s="129"/>
      <c r="M1173" s="114" t="str">
        <f>IF(Main[[#This Row],[Tech Start Date]]&lt;1/1/1990,"",IF(Main[[#This Row],[Class]]="C",WORKDAY(Main[[#This Row],[Tech Start Date]],9),IF(Main[[#This Row],[Class]]="B", WORKDAY(Main[[#This Row],[Tech Start Date]],6),IF(Main[[#This Row],[Class]]="A",WORKDAY(Main[[#This Row],[Tech Start Date]],2),""))))</f>
        <v/>
      </c>
      <c r="N1173" s="114" t="str">
        <f>IF(Main[[#This Row],[Tech Start Date]]&lt;1/1/1990,"",IF(Main[[#This Row],[Class]]="C",WORKDAY(Main[[#This Row],[Tech Start Date]],19),IF(Main[[#This Row],[Class]]="B", WORKDAY(Main[[#This Row],[Tech Start Date]],12),IF(Main[[#This Row],[Class]]="A",WORKDAY(Main[[#This Row],[Tech Start Date]],4),""))))</f>
        <v/>
      </c>
      <c r="O1173" s="114" t="str">
        <f>IF(Main[[#This Row],[Tech Start Date]]&lt;1/1/1990,"",IF(Main[[#This Row],[Class]]="C",WORKDAY(Main[[#This Row],[Tech Start Date]],23),IF(Main[[#This Row],[Class]]="B", WORKDAY(Main[[#This Row],[Tech Start Date]],15),IF(Main[[#This Row],[Class]]="A",WORKDAY(Main[[#This Row],[Tech Start Date]],5),""))))</f>
        <v/>
      </c>
      <c r="P1173" s="114" t="str">
        <f>IF(Main[[#This Row],[Tech Start Date]]&lt;1/1/1990,"",IF(Main[[#This Row],[Class]]="C",WORKDAY(Main[[#This Row],[Tech Start Date]],28),IF(Main[[#This Row],[Class]]="B", WORKDAY(Main[[#This Row],[Tech Start Date]],19),IF(Main[[#This Row],[Class]]="A",WORKDAY(Main[[#This Row],[Tech Start Date]],9),""))))</f>
        <v/>
      </c>
      <c r="Q1173" s="129"/>
      <c r="R1173" s="129"/>
      <c r="S1173" s="139" t="s">
        <v>6</v>
      </c>
      <c r="T1173" s="115" t="s">
        <v>4</v>
      </c>
      <c r="U1173" s="139" t="s">
        <v>7</v>
      </c>
      <c r="V1173" s="139" t="s">
        <v>1914</v>
      </c>
      <c r="W1173" s="139" t="s">
        <v>1918</v>
      </c>
      <c r="X1173" s="139" t="s">
        <v>2879</v>
      </c>
      <c r="Y1173" s="112" t="s">
        <v>3027</v>
      </c>
      <c r="Z1173" s="112" t="s">
        <v>4</v>
      </c>
      <c r="AA1173" s="139" t="s">
        <v>2879</v>
      </c>
    </row>
    <row r="1174" spans="1:27" ht="17.25" customHeight="1">
      <c r="A1174" s="69" t="str">
        <f>IF(priority(Main[[#This Row],[Comments]])&lt;&gt;0, priority(Main[[#This Row],[Comments]]),"")</f>
        <v/>
      </c>
      <c r="B1174" s="63" t="s">
        <v>2739</v>
      </c>
      <c r="C1174" s="148" t="s">
        <v>4</v>
      </c>
      <c r="D1174" s="113" t="s">
        <v>3235</v>
      </c>
      <c r="E1174" s="129"/>
      <c r="F1174" s="129"/>
      <c r="G1174" s="69" t="str">
        <f>IF(stdProdLT(Main[[#This Row],[Comments]])=0.1,"N/A",IF(stdProdLT(Main[[#This Row],[Comments]])=0,"",stdProdLT(Main[[#This Row],[Comments]])))</f>
        <v/>
      </c>
      <c r="H1174" s="138" t="str">
        <f>IF(Main[[#This Row],[In Stock Date]]="N/A", "N/A",IF(AND(Main[[#This Row],[In Stock Date]]&lt;&gt;"",Main[[#This Row],[Revised Due Date]]&lt;&gt;"",Main[[#This Row],[In Stock Date]]&lt;&gt;""),Main[[#This Row],[In Stock Date]]-Main[[#This Row],[Revised Due Date]],""))</f>
        <v/>
      </c>
      <c r="I1174" s="139" t="s">
        <v>2208</v>
      </c>
      <c r="J1174" s="139" t="s">
        <v>75</v>
      </c>
      <c r="K1174" s="139" t="s">
        <v>1923</v>
      </c>
      <c r="L1174" s="129"/>
      <c r="M1174" s="114" t="str">
        <f>IF(Main[[#This Row],[Tech Start Date]]&lt;1/1/1990,"",IF(Main[[#This Row],[Class]]="C",WORKDAY(Main[[#This Row],[Tech Start Date]],9),IF(Main[[#This Row],[Class]]="B", WORKDAY(Main[[#This Row],[Tech Start Date]],6),IF(Main[[#This Row],[Class]]="A",WORKDAY(Main[[#This Row],[Tech Start Date]],2),""))))</f>
        <v/>
      </c>
      <c r="N1174" s="114" t="str">
        <f>IF(Main[[#This Row],[Tech Start Date]]&lt;1/1/1990,"",IF(Main[[#This Row],[Class]]="C",WORKDAY(Main[[#This Row],[Tech Start Date]],19),IF(Main[[#This Row],[Class]]="B", WORKDAY(Main[[#This Row],[Tech Start Date]],12),IF(Main[[#This Row],[Class]]="A",WORKDAY(Main[[#This Row],[Tech Start Date]],4),""))))</f>
        <v/>
      </c>
      <c r="O1174" s="114" t="str">
        <f>IF(Main[[#This Row],[Tech Start Date]]&lt;1/1/1990,"",IF(Main[[#This Row],[Class]]="C",WORKDAY(Main[[#This Row],[Tech Start Date]],23),IF(Main[[#This Row],[Class]]="B", WORKDAY(Main[[#This Row],[Tech Start Date]],15),IF(Main[[#This Row],[Class]]="A",WORKDAY(Main[[#This Row],[Tech Start Date]],5),""))))</f>
        <v/>
      </c>
      <c r="P1174" s="114" t="str">
        <f>IF(Main[[#This Row],[Tech Start Date]]&lt;1/1/1990,"",IF(Main[[#This Row],[Class]]="C",WORKDAY(Main[[#This Row],[Tech Start Date]],28),IF(Main[[#This Row],[Class]]="B", WORKDAY(Main[[#This Row],[Tech Start Date]],19),IF(Main[[#This Row],[Class]]="A",WORKDAY(Main[[#This Row],[Tech Start Date]],9),""))))</f>
        <v/>
      </c>
      <c r="Q1174" s="129">
        <v>40935</v>
      </c>
      <c r="R1174" s="129"/>
      <c r="S1174" s="139" t="s">
        <v>6</v>
      </c>
      <c r="T1174" s="115" t="s">
        <v>4</v>
      </c>
      <c r="U1174" s="139" t="s">
        <v>14</v>
      </c>
      <c r="V1174" s="139" t="s">
        <v>1917</v>
      </c>
      <c r="W1174" s="139" t="s">
        <v>1918</v>
      </c>
      <c r="X1174" s="139" t="s">
        <v>2819</v>
      </c>
      <c r="Y1174" s="112" t="s">
        <v>2932</v>
      </c>
      <c r="Z1174" s="112" t="s">
        <v>30</v>
      </c>
      <c r="AA1174" s="139" t="s">
        <v>2819</v>
      </c>
    </row>
    <row r="1175" spans="1:27" ht="17.25" customHeight="1">
      <c r="A1175" s="69" t="str">
        <f>IF(priority(Main[[#This Row],[Comments]])&lt;&gt;0, priority(Main[[#This Row],[Comments]]),"")</f>
        <v/>
      </c>
      <c r="B1175" s="63" t="s">
        <v>1870</v>
      </c>
      <c r="C1175" s="148" t="s">
        <v>4</v>
      </c>
      <c r="D1175" s="113" t="s">
        <v>3657</v>
      </c>
      <c r="E1175" s="129">
        <v>40352.443437499998</v>
      </c>
      <c r="F1175" s="129"/>
      <c r="G1175" s="69" t="str">
        <f>IF(stdProdLT(Main[[#This Row],[Comments]])=0.1,"N/A",IF(stdProdLT(Main[[#This Row],[Comments]])=0,"",stdProdLT(Main[[#This Row],[Comments]])))</f>
        <v/>
      </c>
      <c r="H1175" s="138" t="str">
        <f>IF(Main[[#This Row],[In Stock Date]]="N/A", "N/A",IF(AND(Main[[#This Row],[In Stock Date]]&lt;&gt;"",Main[[#This Row],[Revised Due Date]]&lt;&gt;"",Main[[#This Row],[In Stock Date]]&lt;&gt;""),Main[[#This Row],[In Stock Date]]-Main[[#This Row],[Revised Due Date]],""))</f>
        <v/>
      </c>
      <c r="I1175" s="139" t="s">
        <v>2626</v>
      </c>
      <c r="J1175" s="139" t="s">
        <v>28</v>
      </c>
      <c r="K1175" s="139" t="s">
        <v>1926</v>
      </c>
      <c r="L1175" s="129"/>
      <c r="M1175" s="114" t="str">
        <f>IF(Main[[#This Row],[Tech Start Date]]&lt;1/1/1990,"",IF(Main[[#This Row],[Class]]="C",WORKDAY(Main[[#This Row],[Tech Start Date]],9),IF(Main[[#This Row],[Class]]="B", WORKDAY(Main[[#This Row],[Tech Start Date]],6),IF(Main[[#This Row],[Class]]="A",WORKDAY(Main[[#This Row],[Tech Start Date]],2),""))))</f>
        <v/>
      </c>
      <c r="N1175" s="114" t="str">
        <f>IF(Main[[#This Row],[Tech Start Date]]&lt;1/1/1990,"",IF(Main[[#This Row],[Class]]="C",WORKDAY(Main[[#This Row],[Tech Start Date]],19),IF(Main[[#This Row],[Class]]="B", WORKDAY(Main[[#This Row],[Tech Start Date]],12),IF(Main[[#This Row],[Class]]="A",WORKDAY(Main[[#This Row],[Tech Start Date]],4),""))))</f>
        <v/>
      </c>
      <c r="O1175" s="114" t="str">
        <f>IF(Main[[#This Row],[Tech Start Date]]&lt;1/1/1990,"",IF(Main[[#This Row],[Class]]="C",WORKDAY(Main[[#This Row],[Tech Start Date]],23),IF(Main[[#This Row],[Class]]="B", WORKDAY(Main[[#This Row],[Tech Start Date]],15),IF(Main[[#This Row],[Class]]="A",WORKDAY(Main[[#This Row],[Tech Start Date]],5),""))))</f>
        <v/>
      </c>
      <c r="P1175" s="114" t="str">
        <f>IF(Main[[#This Row],[Tech Start Date]]&lt;1/1/1990,"",IF(Main[[#This Row],[Class]]="C",WORKDAY(Main[[#This Row],[Tech Start Date]],28),IF(Main[[#This Row],[Class]]="B", WORKDAY(Main[[#This Row],[Tech Start Date]],19),IF(Main[[#This Row],[Class]]="A",WORKDAY(Main[[#This Row],[Tech Start Date]],9),""))))</f>
        <v/>
      </c>
      <c r="Q1175" s="129">
        <v>40633</v>
      </c>
      <c r="R1175" s="129">
        <v>41060</v>
      </c>
      <c r="S1175" s="139" t="s">
        <v>17</v>
      </c>
      <c r="T1175" s="115" t="s">
        <v>2465</v>
      </c>
      <c r="U1175" s="139" t="s">
        <v>29</v>
      </c>
      <c r="V1175" s="139" t="s">
        <v>1914</v>
      </c>
      <c r="W1175" s="139" t="s">
        <v>1919</v>
      </c>
      <c r="X1175" s="139" t="s">
        <v>129</v>
      </c>
      <c r="Y1175" s="112" t="s">
        <v>2933</v>
      </c>
      <c r="Z1175" s="112" t="s">
        <v>129</v>
      </c>
      <c r="AA1175" s="139" t="s">
        <v>129</v>
      </c>
    </row>
    <row r="1176" spans="1:27" ht="17.25" customHeight="1">
      <c r="A1176" s="69" t="str">
        <f>IF(priority(Main[[#This Row],[Comments]])&lt;&gt;0, priority(Main[[#This Row],[Comments]]),"")</f>
        <v/>
      </c>
      <c r="B1176" s="63" t="s">
        <v>2526</v>
      </c>
      <c r="C1176" s="148" t="s">
        <v>4</v>
      </c>
      <c r="D1176" s="113" t="s">
        <v>2527</v>
      </c>
      <c r="E1176" s="129"/>
      <c r="F1176" s="129"/>
      <c r="G1176" s="69" t="str">
        <f>IF(stdProdLT(Main[[#This Row],[Comments]])=0.1,"N/A",IF(stdProdLT(Main[[#This Row],[Comments]])=0,"",stdProdLT(Main[[#This Row],[Comments]])))</f>
        <v/>
      </c>
      <c r="H1176" s="138" t="str">
        <f>IF(Main[[#This Row],[In Stock Date]]="N/A", "N/A",IF(AND(Main[[#This Row],[In Stock Date]]&lt;&gt;"",Main[[#This Row],[Revised Due Date]]&lt;&gt;"",Main[[#This Row],[In Stock Date]]&lt;&gt;""),Main[[#This Row],[In Stock Date]]-Main[[#This Row],[Revised Due Date]],""))</f>
        <v/>
      </c>
      <c r="I1176" s="139" t="s">
        <v>4</v>
      </c>
      <c r="J1176" s="139" t="s">
        <v>4</v>
      </c>
      <c r="K1176" s="139" t="s">
        <v>4</v>
      </c>
      <c r="L1176" s="129"/>
      <c r="M1176" s="114" t="str">
        <f>IF(Main[[#This Row],[Tech Start Date]]&lt;1/1/1990,"",IF(Main[[#This Row],[Class]]="C",WORKDAY(Main[[#This Row],[Tech Start Date]],9),IF(Main[[#This Row],[Class]]="B", WORKDAY(Main[[#This Row],[Tech Start Date]],6),IF(Main[[#This Row],[Class]]="A",WORKDAY(Main[[#This Row],[Tech Start Date]],2),""))))</f>
        <v/>
      </c>
      <c r="N1176" s="114" t="str">
        <f>IF(Main[[#This Row],[Tech Start Date]]&lt;1/1/1990,"",IF(Main[[#This Row],[Class]]="C",WORKDAY(Main[[#This Row],[Tech Start Date]],19),IF(Main[[#This Row],[Class]]="B", WORKDAY(Main[[#This Row],[Tech Start Date]],12),IF(Main[[#This Row],[Class]]="A",WORKDAY(Main[[#This Row],[Tech Start Date]],4),""))))</f>
        <v/>
      </c>
      <c r="O1176" s="114" t="str">
        <f>IF(Main[[#This Row],[Tech Start Date]]&lt;1/1/1990,"",IF(Main[[#This Row],[Class]]="C",WORKDAY(Main[[#This Row],[Tech Start Date]],23),IF(Main[[#This Row],[Class]]="B", WORKDAY(Main[[#This Row],[Tech Start Date]],15),IF(Main[[#This Row],[Class]]="A",WORKDAY(Main[[#This Row],[Tech Start Date]],5),""))))</f>
        <v/>
      </c>
      <c r="P1176" s="114" t="str">
        <f>IF(Main[[#This Row],[Tech Start Date]]&lt;1/1/1990,"",IF(Main[[#This Row],[Class]]="C",WORKDAY(Main[[#This Row],[Tech Start Date]],28),IF(Main[[#This Row],[Class]]="B", WORKDAY(Main[[#This Row],[Tech Start Date]],19),IF(Main[[#This Row],[Class]]="A",WORKDAY(Main[[#This Row],[Tech Start Date]],9),""))))</f>
        <v/>
      </c>
      <c r="Q1176" s="129"/>
      <c r="R1176" s="129"/>
      <c r="S1176" s="139" t="s">
        <v>11</v>
      </c>
      <c r="T1176" s="115" t="s">
        <v>4</v>
      </c>
      <c r="U1176" s="139" t="s">
        <v>14</v>
      </c>
      <c r="V1176" s="139" t="s">
        <v>1915</v>
      </c>
      <c r="W1176" s="139" t="s">
        <v>4</v>
      </c>
      <c r="X1176" s="139" t="s">
        <v>2249</v>
      </c>
      <c r="Y1176" s="112" t="s">
        <v>4</v>
      </c>
      <c r="Z1176" s="112" t="s">
        <v>4</v>
      </c>
      <c r="AA1176" s="139" t="s">
        <v>4</v>
      </c>
    </row>
    <row r="1177" spans="1:27" ht="17.25" customHeight="1">
      <c r="A1177" s="69" t="str">
        <f>IF(priority(Main[[#This Row],[Comments]])&lt;&gt;0, priority(Main[[#This Row],[Comments]]),"")</f>
        <v/>
      </c>
      <c r="B1177" s="63" t="s">
        <v>3541</v>
      </c>
      <c r="C1177" s="148" t="s">
        <v>3529</v>
      </c>
      <c r="D1177" s="113" t="s">
        <v>3542</v>
      </c>
      <c r="E1177" s="129"/>
      <c r="F1177" s="129">
        <v>41026</v>
      </c>
      <c r="G1177" s="69" t="str">
        <f>IF(stdProdLT(Main[[#This Row],[Comments]])=0.1,"N/A",IF(stdProdLT(Main[[#This Row],[Comments]])=0,"",stdProdLT(Main[[#This Row],[Comments]])))</f>
        <v/>
      </c>
      <c r="H1177" s="138" t="str">
        <f>IF(Main[[#This Row],[In Stock Date]]="N/A", "N/A",IF(AND(Main[[#This Row],[In Stock Date]]&lt;&gt;"",Main[[#This Row],[Revised Due Date]]&lt;&gt;"",Main[[#This Row],[In Stock Date]]&lt;&gt;""),Main[[#This Row],[In Stock Date]]-Main[[#This Row],[Revised Due Date]],""))</f>
        <v/>
      </c>
      <c r="I1177" s="139" t="s">
        <v>4</v>
      </c>
      <c r="J1177" s="139" t="s">
        <v>75</v>
      </c>
      <c r="K1177" s="139" t="s">
        <v>4</v>
      </c>
      <c r="L1177" s="129"/>
      <c r="M1177" s="114" t="str">
        <f>IF(Main[[#This Row],[Tech Start Date]]&lt;1/1/1990,"",IF(Main[[#This Row],[Class]]="C",WORKDAY(Main[[#This Row],[Tech Start Date]],9),IF(Main[[#This Row],[Class]]="B", WORKDAY(Main[[#This Row],[Tech Start Date]],6),IF(Main[[#This Row],[Class]]="A",WORKDAY(Main[[#This Row],[Tech Start Date]],2),""))))</f>
        <v/>
      </c>
      <c r="N1177" s="114" t="str">
        <f>IF(Main[[#This Row],[Tech Start Date]]&lt;1/1/1990,"",IF(Main[[#This Row],[Class]]="C",WORKDAY(Main[[#This Row],[Tech Start Date]],19),IF(Main[[#This Row],[Class]]="B", WORKDAY(Main[[#This Row],[Tech Start Date]],12),IF(Main[[#This Row],[Class]]="A",WORKDAY(Main[[#This Row],[Tech Start Date]],4),""))))</f>
        <v/>
      </c>
      <c r="O1177" s="114" t="str">
        <f>IF(Main[[#This Row],[Tech Start Date]]&lt;1/1/1990,"",IF(Main[[#This Row],[Class]]="C",WORKDAY(Main[[#This Row],[Tech Start Date]],23),IF(Main[[#This Row],[Class]]="B", WORKDAY(Main[[#This Row],[Tech Start Date]],15),IF(Main[[#This Row],[Class]]="A",WORKDAY(Main[[#This Row],[Tech Start Date]],5),""))))</f>
        <v/>
      </c>
      <c r="P1177" s="114" t="str">
        <f>IF(Main[[#This Row],[Tech Start Date]]&lt;1/1/1990,"",IF(Main[[#This Row],[Class]]="C",WORKDAY(Main[[#This Row],[Tech Start Date]],28),IF(Main[[#This Row],[Class]]="B", WORKDAY(Main[[#This Row],[Tech Start Date]],19),IF(Main[[#This Row],[Class]]="A",WORKDAY(Main[[#This Row],[Tech Start Date]],9),""))))</f>
        <v/>
      </c>
      <c r="Q1177" s="129">
        <v>40954</v>
      </c>
      <c r="R1177" s="129"/>
      <c r="S1177" s="139" t="s">
        <v>11</v>
      </c>
      <c r="T1177" s="115" t="s">
        <v>4</v>
      </c>
      <c r="U1177" s="139" t="s">
        <v>14</v>
      </c>
      <c r="V1177" s="139" t="s">
        <v>1924</v>
      </c>
      <c r="W1177" s="139" t="s">
        <v>1922</v>
      </c>
      <c r="X1177" s="139" t="s">
        <v>2829</v>
      </c>
      <c r="Y1177" s="112" t="s">
        <v>2951</v>
      </c>
      <c r="Z1177" s="112" t="s">
        <v>530</v>
      </c>
      <c r="AA1177" s="139" t="s">
        <v>2829</v>
      </c>
    </row>
    <row r="1178" spans="1:27" ht="17.25" customHeight="1">
      <c r="A1178" s="69" t="str">
        <f>IF(priority(Main[[#This Row],[Comments]])&lt;&gt;0, priority(Main[[#This Row],[Comments]]),"")</f>
        <v/>
      </c>
      <c r="B1178" s="63" t="s">
        <v>3543</v>
      </c>
      <c r="C1178" s="148" t="s">
        <v>4</v>
      </c>
      <c r="D1178" s="113" t="s">
        <v>3544</v>
      </c>
      <c r="E1178" s="129">
        <v>40949.904050925928</v>
      </c>
      <c r="F1178" s="129"/>
      <c r="G1178" s="69" t="str">
        <f>IF(stdProdLT(Main[[#This Row],[Comments]])=0.1,"N/A",IF(stdProdLT(Main[[#This Row],[Comments]])=0,"",stdProdLT(Main[[#This Row],[Comments]])))</f>
        <v/>
      </c>
      <c r="H1178" s="138" t="str">
        <f>IF(Main[[#This Row],[In Stock Date]]="N/A", "N/A",IF(AND(Main[[#This Row],[In Stock Date]]&lt;&gt;"",Main[[#This Row],[Revised Due Date]]&lt;&gt;"",Main[[#This Row],[In Stock Date]]&lt;&gt;""),Main[[#This Row],[In Stock Date]]-Main[[#This Row],[Revised Due Date]],""))</f>
        <v/>
      </c>
      <c r="I1178" s="139" t="s">
        <v>530</v>
      </c>
      <c r="J1178" s="139" t="s">
        <v>28</v>
      </c>
      <c r="K1178" s="139" t="s">
        <v>1923</v>
      </c>
      <c r="L1178" s="129"/>
      <c r="M1178" s="114" t="str">
        <f>IF(Main[[#This Row],[Tech Start Date]]&lt;1/1/1990,"",IF(Main[[#This Row],[Class]]="C",WORKDAY(Main[[#This Row],[Tech Start Date]],9),IF(Main[[#This Row],[Class]]="B", WORKDAY(Main[[#This Row],[Tech Start Date]],6),IF(Main[[#This Row],[Class]]="A",WORKDAY(Main[[#This Row],[Tech Start Date]],2),""))))</f>
        <v/>
      </c>
      <c r="N1178" s="114" t="str">
        <f>IF(Main[[#This Row],[Tech Start Date]]&lt;1/1/1990,"",IF(Main[[#This Row],[Class]]="C",WORKDAY(Main[[#This Row],[Tech Start Date]],19),IF(Main[[#This Row],[Class]]="B", WORKDAY(Main[[#This Row],[Tech Start Date]],12),IF(Main[[#This Row],[Class]]="A",WORKDAY(Main[[#This Row],[Tech Start Date]],4),""))))</f>
        <v/>
      </c>
      <c r="O1178" s="114" t="str">
        <f>IF(Main[[#This Row],[Tech Start Date]]&lt;1/1/1990,"",IF(Main[[#This Row],[Class]]="C",WORKDAY(Main[[#This Row],[Tech Start Date]],23),IF(Main[[#This Row],[Class]]="B", WORKDAY(Main[[#This Row],[Tech Start Date]],15),IF(Main[[#This Row],[Class]]="A",WORKDAY(Main[[#This Row],[Tech Start Date]],5),""))))</f>
        <v/>
      </c>
      <c r="P1178" s="114" t="str">
        <f>IF(Main[[#This Row],[Tech Start Date]]&lt;1/1/1990,"",IF(Main[[#This Row],[Class]]="C",WORKDAY(Main[[#This Row],[Tech Start Date]],28),IF(Main[[#This Row],[Class]]="B", WORKDAY(Main[[#This Row],[Tech Start Date]],19),IF(Main[[#This Row],[Class]]="A",WORKDAY(Main[[#This Row],[Tech Start Date]],9),""))))</f>
        <v/>
      </c>
      <c r="Q1178" s="129">
        <v>40952</v>
      </c>
      <c r="R1178" s="129"/>
      <c r="S1178" s="139" t="s">
        <v>6</v>
      </c>
      <c r="T1178" s="115" t="s">
        <v>4</v>
      </c>
      <c r="U1178" s="139" t="s">
        <v>29</v>
      </c>
      <c r="V1178" s="139" t="s">
        <v>1917</v>
      </c>
      <c r="W1178" s="139" t="s">
        <v>1918</v>
      </c>
      <c r="X1178" s="139" t="s">
        <v>2895</v>
      </c>
      <c r="Y1178" s="112" t="s">
        <v>3060</v>
      </c>
      <c r="Z1178" s="112" t="s">
        <v>30</v>
      </c>
      <c r="AA1178" s="139" t="s">
        <v>2895</v>
      </c>
    </row>
    <row r="1179" spans="1:27" ht="17.25" customHeight="1">
      <c r="A1179" s="69" t="str">
        <f>IF(priority(Main[[#This Row],[Comments]])&lt;&gt;0, priority(Main[[#This Row],[Comments]]),"")</f>
        <v/>
      </c>
      <c r="B1179" s="63" t="s">
        <v>3662</v>
      </c>
      <c r="C1179" s="148" t="s">
        <v>3663</v>
      </c>
      <c r="D1179" s="113" t="s">
        <v>3664</v>
      </c>
      <c r="E1179" s="129">
        <v>40954.685243055559</v>
      </c>
      <c r="F1179" s="129"/>
      <c r="G1179" s="69" t="str">
        <f>IF(stdProdLT(Main[[#This Row],[Comments]])=0.1,"N/A",IF(stdProdLT(Main[[#This Row],[Comments]])=0,"",stdProdLT(Main[[#This Row],[Comments]])))</f>
        <v>N/A</v>
      </c>
      <c r="H1179" s="138" t="str">
        <f>IF(Main[[#This Row],[In Stock Date]]="N/A", "N/A",IF(AND(Main[[#This Row],[In Stock Date]]&lt;&gt;"",Main[[#This Row],[Revised Due Date]]&lt;&gt;"",Main[[#This Row],[In Stock Date]]&lt;&gt;""),Main[[#This Row],[In Stock Date]]-Main[[#This Row],[Revised Due Date]],""))</f>
        <v/>
      </c>
      <c r="I1179" s="139" t="s">
        <v>2249</v>
      </c>
      <c r="J1179" s="139" t="s">
        <v>28</v>
      </c>
      <c r="K1179" s="139" t="s">
        <v>1923</v>
      </c>
      <c r="L1179" s="129"/>
      <c r="M1179" s="114" t="str">
        <f>IF(Main[[#This Row],[Tech Start Date]]&lt;1/1/1990,"",IF(Main[[#This Row],[Class]]="C",WORKDAY(Main[[#This Row],[Tech Start Date]],9),IF(Main[[#This Row],[Class]]="B", WORKDAY(Main[[#This Row],[Tech Start Date]],6),IF(Main[[#This Row],[Class]]="A",WORKDAY(Main[[#This Row],[Tech Start Date]],2),""))))</f>
        <v/>
      </c>
      <c r="N1179" s="114" t="str">
        <f>IF(Main[[#This Row],[Tech Start Date]]&lt;1/1/1990,"",IF(Main[[#This Row],[Class]]="C",WORKDAY(Main[[#This Row],[Tech Start Date]],19),IF(Main[[#This Row],[Class]]="B", WORKDAY(Main[[#This Row],[Tech Start Date]],12),IF(Main[[#This Row],[Class]]="A",WORKDAY(Main[[#This Row],[Tech Start Date]],4),""))))</f>
        <v/>
      </c>
      <c r="O1179" s="114" t="str">
        <f>IF(Main[[#This Row],[Tech Start Date]]&lt;1/1/1990,"",IF(Main[[#This Row],[Class]]="C",WORKDAY(Main[[#This Row],[Tech Start Date]],23),IF(Main[[#This Row],[Class]]="B", WORKDAY(Main[[#This Row],[Tech Start Date]],15),IF(Main[[#This Row],[Class]]="A",WORKDAY(Main[[#This Row],[Tech Start Date]],5),""))))</f>
        <v/>
      </c>
      <c r="P1179" s="114" t="str">
        <f>IF(Main[[#This Row],[Tech Start Date]]&lt;1/1/1990,"",IF(Main[[#This Row],[Class]]="C",WORKDAY(Main[[#This Row],[Tech Start Date]],28),IF(Main[[#This Row],[Class]]="B", WORKDAY(Main[[#This Row],[Tech Start Date]],19),IF(Main[[#This Row],[Class]]="A",WORKDAY(Main[[#This Row],[Tech Start Date]],9),""))))</f>
        <v/>
      </c>
      <c r="Q1179" s="129">
        <v>40961</v>
      </c>
      <c r="R1179" s="129"/>
      <c r="S1179" s="139" t="s">
        <v>6</v>
      </c>
      <c r="T1179" s="115" t="s">
        <v>3233</v>
      </c>
      <c r="U1179" s="139" t="s">
        <v>29</v>
      </c>
      <c r="V1179" s="139" t="s">
        <v>1915</v>
      </c>
      <c r="W1179" s="139" t="s">
        <v>1916</v>
      </c>
      <c r="X1179" s="139" t="s">
        <v>2816</v>
      </c>
      <c r="Y1179" s="112" t="s">
        <v>4</v>
      </c>
      <c r="Z1179" s="112" t="s">
        <v>2053</v>
      </c>
      <c r="AA1179" s="139" t="s">
        <v>2816</v>
      </c>
    </row>
    <row r="1180" spans="1:27" ht="17.25" customHeight="1">
      <c r="A1180" s="69" t="str">
        <f>IF(priority(Main[[#This Row],[Comments]])&lt;&gt;0, priority(Main[[#This Row],[Comments]]),"")</f>
        <v/>
      </c>
      <c r="B1180" s="63" t="s">
        <v>2366</v>
      </c>
      <c r="C1180" s="148" t="s">
        <v>4</v>
      </c>
      <c r="D1180" s="150" t="s">
        <v>3342</v>
      </c>
      <c r="E1180" s="129">
        <v>40842.639374999999</v>
      </c>
      <c r="F1180" s="129"/>
      <c r="G1180" s="69" t="str">
        <f>IF(stdProdLT(Main[[#This Row],[Comments]])=0.1,"N/A",IF(stdProdLT(Main[[#This Row],[Comments]])=0,"",stdProdLT(Main[[#This Row],[Comments]])))</f>
        <v/>
      </c>
      <c r="H1180" s="138" t="str">
        <f>IF(Main[[#This Row],[In Stock Date]]="N/A", "N/A",IF(AND(Main[[#This Row],[In Stock Date]]&lt;&gt;"",Main[[#This Row],[Revised Due Date]]&lt;&gt;"",Main[[#This Row],[In Stock Date]]&lt;&gt;""),Main[[#This Row],[In Stock Date]]-Main[[#This Row],[Revised Due Date]],""))</f>
        <v/>
      </c>
      <c r="I1180" s="139" t="s">
        <v>69</v>
      </c>
      <c r="J1180" s="139" t="s">
        <v>70</v>
      </c>
      <c r="K1180" s="139" t="s">
        <v>1923</v>
      </c>
      <c r="L1180" s="129"/>
      <c r="M1180" s="114" t="str">
        <f>IF(Main[[#This Row],[Tech Start Date]]&lt;1/1/1990,"",IF(Main[[#This Row],[Class]]="C",WORKDAY(Main[[#This Row],[Tech Start Date]],9),IF(Main[[#This Row],[Class]]="B", WORKDAY(Main[[#This Row],[Tech Start Date]],6),IF(Main[[#This Row],[Class]]="A",WORKDAY(Main[[#This Row],[Tech Start Date]],2),""))))</f>
        <v/>
      </c>
      <c r="N1180" s="114" t="str">
        <f>IF(Main[[#This Row],[Tech Start Date]]&lt;1/1/1990,"",IF(Main[[#This Row],[Class]]="C",WORKDAY(Main[[#This Row],[Tech Start Date]],19),IF(Main[[#This Row],[Class]]="B", WORKDAY(Main[[#This Row],[Tech Start Date]],12),IF(Main[[#This Row],[Class]]="A",WORKDAY(Main[[#This Row],[Tech Start Date]],4),""))))</f>
        <v/>
      </c>
      <c r="O1180" s="114" t="str">
        <f>IF(Main[[#This Row],[Tech Start Date]]&lt;1/1/1990,"",IF(Main[[#This Row],[Class]]="C",WORKDAY(Main[[#This Row],[Tech Start Date]],23),IF(Main[[#This Row],[Class]]="B", WORKDAY(Main[[#This Row],[Tech Start Date]],15),IF(Main[[#This Row],[Class]]="A",WORKDAY(Main[[#This Row],[Tech Start Date]],5),""))))</f>
        <v/>
      </c>
      <c r="P1180" s="114" t="str">
        <f>IF(Main[[#This Row],[Tech Start Date]]&lt;1/1/1990,"",IF(Main[[#This Row],[Class]]="C",WORKDAY(Main[[#This Row],[Tech Start Date]],28),IF(Main[[#This Row],[Class]]="B", WORKDAY(Main[[#This Row],[Tech Start Date]],19),IF(Main[[#This Row],[Class]]="A",WORKDAY(Main[[#This Row],[Tech Start Date]],9),""))))</f>
        <v/>
      </c>
      <c r="Q1180" s="129">
        <v>40872</v>
      </c>
      <c r="R1180" s="129"/>
      <c r="S1180" s="139" t="s">
        <v>6</v>
      </c>
      <c r="T1180" s="115" t="s">
        <v>4</v>
      </c>
      <c r="U1180" s="139" t="s">
        <v>29</v>
      </c>
      <c r="V1180" s="139" t="s">
        <v>1917</v>
      </c>
      <c r="W1180" s="139" t="s">
        <v>1918</v>
      </c>
      <c r="X1180" s="139" t="s">
        <v>2819</v>
      </c>
      <c r="Y1180" s="112" t="s">
        <v>2932</v>
      </c>
      <c r="Z1180" s="112" t="s">
        <v>30</v>
      </c>
      <c r="AA1180" s="139" t="s">
        <v>2819</v>
      </c>
    </row>
    <row r="1181" spans="1:27" ht="17.25" customHeight="1">
      <c r="A1181" s="69" t="str">
        <f>IF(priority(Main[[#This Row],[Comments]])&lt;&gt;0, priority(Main[[#This Row],[Comments]]),"")</f>
        <v/>
      </c>
      <c r="B1181" s="63" t="s">
        <v>3343</v>
      </c>
      <c r="C1181" s="148" t="s">
        <v>4</v>
      </c>
      <c r="D1181" s="113" t="s">
        <v>3344</v>
      </c>
      <c r="E1181" s="129">
        <v>40939.631828703707</v>
      </c>
      <c r="F1181" s="129"/>
      <c r="G1181" s="69" t="str">
        <f>IF(stdProdLT(Main[[#This Row],[Comments]])=0.1,"N/A",IF(stdProdLT(Main[[#This Row],[Comments]])=0,"",stdProdLT(Main[[#This Row],[Comments]])))</f>
        <v/>
      </c>
      <c r="H1181" s="138" t="str">
        <f>IF(Main[[#This Row],[In Stock Date]]="N/A", "N/A",IF(AND(Main[[#This Row],[In Stock Date]]&lt;&gt;"",Main[[#This Row],[Revised Due Date]]&lt;&gt;"",Main[[#This Row],[In Stock Date]]&lt;&gt;""),Main[[#This Row],[In Stock Date]]-Main[[#This Row],[Revised Due Date]],""))</f>
        <v/>
      </c>
      <c r="I1181" s="139" t="s">
        <v>4</v>
      </c>
      <c r="J1181" s="139" t="s">
        <v>4</v>
      </c>
      <c r="K1181" s="140" t="s">
        <v>4</v>
      </c>
      <c r="L1181" s="129"/>
      <c r="M1181" s="114" t="str">
        <f>IF(Main[[#This Row],[Tech Start Date]]&lt;1/1/1990,"",IF(Main[[#This Row],[Class]]="C",WORKDAY(Main[[#This Row],[Tech Start Date]],9),IF(Main[[#This Row],[Class]]="B", WORKDAY(Main[[#This Row],[Tech Start Date]],6),IF(Main[[#This Row],[Class]]="A",WORKDAY(Main[[#This Row],[Tech Start Date]],2),""))))</f>
        <v/>
      </c>
      <c r="N1181" s="114" t="str">
        <f>IF(Main[[#This Row],[Tech Start Date]]&lt;1/1/1990,"",IF(Main[[#This Row],[Class]]="C",WORKDAY(Main[[#This Row],[Tech Start Date]],19),IF(Main[[#This Row],[Class]]="B", WORKDAY(Main[[#This Row],[Tech Start Date]],12),IF(Main[[#This Row],[Class]]="A",WORKDAY(Main[[#This Row],[Tech Start Date]],4),""))))</f>
        <v/>
      </c>
      <c r="O1181" s="114" t="str">
        <f>IF(Main[[#This Row],[Tech Start Date]]&lt;1/1/1990,"",IF(Main[[#This Row],[Class]]="C",WORKDAY(Main[[#This Row],[Tech Start Date]],23),IF(Main[[#This Row],[Class]]="B", WORKDAY(Main[[#This Row],[Tech Start Date]],15),IF(Main[[#This Row],[Class]]="A",WORKDAY(Main[[#This Row],[Tech Start Date]],5),""))))</f>
        <v/>
      </c>
      <c r="P1181" s="114" t="str">
        <f>IF(Main[[#This Row],[Tech Start Date]]&lt;1/1/1990,"",IF(Main[[#This Row],[Class]]="C",WORKDAY(Main[[#This Row],[Tech Start Date]],28),IF(Main[[#This Row],[Class]]="B", WORKDAY(Main[[#This Row],[Tech Start Date]],19),IF(Main[[#This Row],[Class]]="A",WORKDAY(Main[[#This Row],[Tech Start Date]],9),""))))</f>
        <v/>
      </c>
      <c r="Q1181" s="129"/>
      <c r="R1181" s="129"/>
      <c r="S1181" s="139" t="s">
        <v>6</v>
      </c>
      <c r="T1181" s="115" t="s">
        <v>4</v>
      </c>
      <c r="U1181" s="139" t="s">
        <v>7</v>
      </c>
      <c r="V1181" s="139" t="s">
        <v>1914</v>
      </c>
      <c r="W1181" s="139" t="s">
        <v>1918</v>
      </c>
      <c r="X1181" s="139" t="s">
        <v>306</v>
      </c>
      <c r="Y1181" s="112" t="s">
        <v>4</v>
      </c>
      <c r="Z1181" s="112" t="s">
        <v>4</v>
      </c>
      <c r="AA1181" s="139" t="s">
        <v>4</v>
      </c>
    </row>
    <row r="1182" spans="1:27" ht="17.25" customHeight="1">
      <c r="A1182" s="69" t="str">
        <f>IF(priority(Main[[#This Row],[Comments]])&lt;&gt;0, priority(Main[[#This Row],[Comments]]),"")</f>
        <v/>
      </c>
      <c r="B1182" s="63" t="s">
        <v>1734</v>
      </c>
      <c r="C1182" s="148" t="s">
        <v>47</v>
      </c>
      <c r="D1182" s="113" t="s">
        <v>788</v>
      </c>
      <c r="E1182" s="129">
        <v>39937.598969907405</v>
      </c>
      <c r="F1182" s="129"/>
      <c r="G1182" s="69" t="str">
        <f>IF(stdProdLT(Main[[#This Row],[Comments]])=0.1,"N/A",IF(stdProdLT(Main[[#This Row],[Comments]])=0,"",stdProdLT(Main[[#This Row],[Comments]])))</f>
        <v/>
      </c>
      <c r="H1182" s="138" t="str">
        <f>IF(Main[[#This Row],[In Stock Date]]="N/A", "N/A",IF(AND(Main[[#This Row],[In Stock Date]]&lt;&gt;"",Main[[#This Row],[Revised Due Date]]&lt;&gt;"",Main[[#This Row],[In Stock Date]]&lt;&gt;""),Main[[#This Row],[In Stock Date]]-Main[[#This Row],[Revised Due Date]],""))</f>
        <v/>
      </c>
      <c r="I1182" s="139" t="s">
        <v>4</v>
      </c>
      <c r="J1182" s="139" t="s">
        <v>4</v>
      </c>
      <c r="K1182" s="139" t="s">
        <v>4</v>
      </c>
      <c r="L1182" s="129"/>
      <c r="M1182" s="114" t="str">
        <f>IF(Main[[#This Row],[Tech Start Date]]&lt;1/1/1990,"",IF(Main[[#This Row],[Class]]="C",WORKDAY(Main[[#This Row],[Tech Start Date]],9),IF(Main[[#This Row],[Class]]="B", WORKDAY(Main[[#This Row],[Tech Start Date]],6),IF(Main[[#This Row],[Class]]="A",WORKDAY(Main[[#This Row],[Tech Start Date]],2),""))))</f>
        <v/>
      </c>
      <c r="N1182" s="114" t="str">
        <f>IF(Main[[#This Row],[Tech Start Date]]&lt;1/1/1990,"",IF(Main[[#This Row],[Class]]="C",WORKDAY(Main[[#This Row],[Tech Start Date]],19),IF(Main[[#This Row],[Class]]="B", WORKDAY(Main[[#This Row],[Tech Start Date]],12),IF(Main[[#This Row],[Class]]="A",WORKDAY(Main[[#This Row],[Tech Start Date]],4),""))))</f>
        <v/>
      </c>
      <c r="O1182" s="114" t="str">
        <f>IF(Main[[#This Row],[Tech Start Date]]&lt;1/1/1990,"",IF(Main[[#This Row],[Class]]="C",WORKDAY(Main[[#This Row],[Tech Start Date]],23),IF(Main[[#This Row],[Class]]="B", WORKDAY(Main[[#This Row],[Tech Start Date]],15),IF(Main[[#This Row],[Class]]="A",WORKDAY(Main[[#This Row],[Tech Start Date]],5),""))))</f>
        <v/>
      </c>
      <c r="P1182" s="114" t="str">
        <f>IF(Main[[#This Row],[Tech Start Date]]&lt;1/1/1990,"",IF(Main[[#This Row],[Class]]="C",WORKDAY(Main[[#This Row],[Tech Start Date]],28),IF(Main[[#This Row],[Class]]="B", WORKDAY(Main[[#This Row],[Tech Start Date]],19),IF(Main[[#This Row],[Class]]="A",WORKDAY(Main[[#This Row],[Tech Start Date]],9),""))))</f>
        <v/>
      </c>
      <c r="Q1182" s="129"/>
      <c r="R1182" s="129">
        <v>41172</v>
      </c>
      <c r="S1182" s="139" t="s">
        <v>17</v>
      </c>
      <c r="T1182" s="115" t="s">
        <v>4</v>
      </c>
      <c r="U1182" s="139" t="s">
        <v>29</v>
      </c>
      <c r="V1182" s="139" t="s">
        <v>1917</v>
      </c>
      <c r="W1182" s="139" t="s">
        <v>4</v>
      </c>
      <c r="X1182" s="139" t="s">
        <v>2827</v>
      </c>
      <c r="Y1182" s="112" t="s">
        <v>2948</v>
      </c>
      <c r="Z1182" s="112" t="s">
        <v>4</v>
      </c>
      <c r="AA1182" s="139" t="s">
        <v>2827</v>
      </c>
    </row>
    <row r="1183" spans="1:27" ht="17.25" customHeight="1">
      <c r="A1183" s="69" t="str">
        <f>IF(priority(Main[[#This Row],[Comments]])&lt;&gt;0, priority(Main[[#This Row],[Comments]]),"")</f>
        <v/>
      </c>
      <c r="B1183" s="63" t="s">
        <v>1400</v>
      </c>
      <c r="C1183" s="148" t="s">
        <v>483</v>
      </c>
      <c r="D1183" s="113" t="s">
        <v>2531</v>
      </c>
      <c r="E1183" s="129"/>
      <c r="F1183" s="129">
        <v>40452</v>
      </c>
      <c r="G1183" s="69" t="str">
        <f>IF(stdProdLT(Main[[#This Row],[Comments]])=0.1,"N/A",IF(stdProdLT(Main[[#This Row],[Comments]])=0,"",stdProdLT(Main[[#This Row],[Comments]])))</f>
        <v/>
      </c>
      <c r="H1183" s="138" t="str">
        <f>IF(Main[[#This Row],[In Stock Date]]="N/A", "N/A",IF(AND(Main[[#This Row],[In Stock Date]]&lt;&gt;"",Main[[#This Row],[Revised Due Date]]&lt;&gt;"",Main[[#This Row],[In Stock Date]]&lt;&gt;""),Main[[#This Row],[In Stock Date]]-Main[[#This Row],[Revised Due Date]],""))</f>
        <v/>
      </c>
      <c r="I1183" s="139" t="s">
        <v>4</v>
      </c>
      <c r="J1183" s="139" t="s">
        <v>4</v>
      </c>
      <c r="K1183" s="139" t="s">
        <v>4</v>
      </c>
      <c r="L1183" s="129"/>
      <c r="M1183" s="114" t="str">
        <f>IF(Main[[#This Row],[Tech Start Date]]&lt;1/1/1990,"",IF(Main[[#This Row],[Class]]="C",WORKDAY(Main[[#This Row],[Tech Start Date]],9),IF(Main[[#This Row],[Class]]="B", WORKDAY(Main[[#This Row],[Tech Start Date]],6),IF(Main[[#This Row],[Class]]="A",WORKDAY(Main[[#This Row],[Tech Start Date]],2),""))))</f>
        <v/>
      </c>
      <c r="N1183" s="114" t="str">
        <f>IF(Main[[#This Row],[Tech Start Date]]&lt;1/1/1990,"",IF(Main[[#This Row],[Class]]="C",WORKDAY(Main[[#This Row],[Tech Start Date]],19),IF(Main[[#This Row],[Class]]="B", WORKDAY(Main[[#This Row],[Tech Start Date]],12),IF(Main[[#This Row],[Class]]="A",WORKDAY(Main[[#This Row],[Tech Start Date]],4),""))))</f>
        <v/>
      </c>
      <c r="O1183" s="114" t="str">
        <f>IF(Main[[#This Row],[Tech Start Date]]&lt;1/1/1990,"",IF(Main[[#This Row],[Class]]="C",WORKDAY(Main[[#This Row],[Tech Start Date]],23),IF(Main[[#This Row],[Class]]="B", WORKDAY(Main[[#This Row],[Tech Start Date]],15),IF(Main[[#This Row],[Class]]="A",WORKDAY(Main[[#This Row],[Tech Start Date]],5),""))))</f>
        <v/>
      </c>
      <c r="P1183" s="114" t="str">
        <f>IF(Main[[#This Row],[Tech Start Date]]&lt;1/1/1990,"",IF(Main[[#This Row],[Class]]="C",WORKDAY(Main[[#This Row],[Tech Start Date]],28),IF(Main[[#This Row],[Class]]="B", WORKDAY(Main[[#This Row],[Tech Start Date]],19),IF(Main[[#This Row],[Class]]="A",WORKDAY(Main[[#This Row],[Tech Start Date]],9),""))))</f>
        <v/>
      </c>
      <c r="Q1183" s="129">
        <v>40391</v>
      </c>
      <c r="R1183" s="129"/>
      <c r="S1183" s="139" t="s">
        <v>6</v>
      </c>
      <c r="T1183" s="115" t="s">
        <v>4</v>
      </c>
      <c r="U1183" s="139" t="s">
        <v>14</v>
      </c>
      <c r="V1183" s="139" t="s">
        <v>1914</v>
      </c>
      <c r="W1183" s="139" t="s">
        <v>1919</v>
      </c>
      <c r="X1183" s="139" t="s">
        <v>2824</v>
      </c>
      <c r="Y1183" s="112" t="s">
        <v>2943</v>
      </c>
      <c r="Z1183" s="112" t="s">
        <v>4</v>
      </c>
      <c r="AA1183" s="139" t="s">
        <v>2824</v>
      </c>
    </row>
    <row r="1184" spans="1:27" ht="17.25" customHeight="1">
      <c r="A1184" s="69" t="str">
        <f>IF(priority(Main[[#This Row],[Comments]])&lt;&gt;0, priority(Main[[#This Row],[Comments]]),"")</f>
        <v/>
      </c>
      <c r="B1184" s="63" t="s">
        <v>2746</v>
      </c>
      <c r="C1184" s="148" t="s">
        <v>4</v>
      </c>
      <c r="D1184" s="113" t="s">
        <v>2747</v>
      </c>
      <c r="E1184" s="129">
        <v>40911.721898148149</v>
      </c>
      <c r="F1184" s="129"/>
      <c r="G1184" s="69" t="str">
        <f>IF(stdProdLT(Main[[#This Row],[Comments]])=0.1,"N/A",IF(stdProdLT(Main[[#This Row],[Comments]])=0,"",stdProdLT(Main[[#This Row],[Comments]])))</f>
        <v/>
      </c>
      <c r="H1184" s="138" t="str">
        <f>IF(Main[[#This Row],[In Stock Date]]="N/A", "N/A",IF(AND(Main[[#This Row],[In Stock Date]]&lt;&gt;"",Main[[#This Row],[Revised Due Date]]&lt;&gt;"",Main[[#This Row],[In Stock Date]]&lt;&gt;""),Main[[#This Row],[In Stock Date]]-Main[[#This Row],[Revised Due Date]],""))</f>
        <v/>
      </c>
      <c r="I1184" s="139" t="s">
        <v>4</v>
      </c>
      <c r="J1184" s="139" t="s">
        <v>4</v>
      </c>
      <c r="K1184" s="139" t="s">
        <v>4</v>
      </c>
      <c r="L1184" s="129"/>
      <c r="M1184" s="114" t="str">
        <f>IF(Main[[#This Row],[Tech Start Date]]&lt;1/1/1990,"",IF(Main[[#This Row],[Class]]="C",WORKDAY(Main[[#This Row],[Tech Start Date]],9),IF(Main[[#This Row],[Class]]="B", WORKDAY(Main[[#This Row],[Tech Start Date]],6),IF(Main[[#This Row],[Class]]="A",WORKDAY(Main[[#This Row],[Tech Start Date]],2),""))))</f>
        <v/>
      </c>
      <c r="N1184" s="114" t="str">
        <f>IF(Main[[#This Row],[Tech Start Date]]&lt;1/1/1990,"",IF(Main[[#This Row],[Class]]="C",WORKDAY(Main[[#This Row],[Tech Start Date]],19),IF(Main[[#This Row],[Class]]="B", WORKDAY(Main[[#This Row],[Tech Start Date]],12),IF(Main[[#This Row],[Class]]="A",WORKDAY(Main[[#This Row],[Tech Start Date]],4),""))))</f>
        <v/>
      </c>
      <c r="O1184" s="114" t="str">
        <f>IF(Main[[#This Row],[Tech Start Date]]&lt;1/1/1990,"",IF(Main[[#This Row],[Class]]="C",WORKDAY(Main[[#This Row],[Tech Start Date]],23),IF(Main[[#This Row],[Class]]="B", WORKDAY(Main[[#This Row],[Tech Start Date]],15),IF(Main[[#This Row],[Class]]="A",WORKDAY(Main[[#This Row],[Tech Start Date]],5),""))))</f>
        <v/>
      </c>
      <c r="P1184" s="114" t="str">
        <f>IF(Main[[#This Row],[Tech Start Date]]&lt;1/1/1990,"",IF(Main[[#This Row],[Class]]="C",WORKDAY(Main[[#This Row],[Tech Start Date]],28),IF(Main[[#This Row],[Class]]="B", WORKDAY(Main[[#This Row],[Tech Start Date]],19),IF(Main[[#This Row],[Class]]="A",WORKDAY(Main[[#This Row],[Tech Start Date]],9),""))))</f>
        <v/>
      </c>
      <c r="Q1184" s="129">
        <v>41015</v>
      </c>
      <c r="R1184" s="129"/>
      <c r="S1184" s="139" t="s">
        <v>6</v>
      </c>
      <c r="T1184" s="115" t="s">
        <v>3665</v>
      </c>
      <c r="U1184" s="139" t="s">
        <v>7</v>
      </c>
      <c r="V1184" s="139" t="s">
        <v>1914</v>
      </c>
      <c r="W1184" s="139" t="s">
        <v>1918</v>
      </c>
      <c r="X1184" s="139" t="s">
        <v>877</v>
      </c>
      <c r="Y1184" s="112" t="s">
        <v>3009</v>
      </c>
      <c r="Z1184" s="112" t="s">
        <v>4</v>
      </c>
      <c r="AA1184" s="139" t="s">
        <v>877</v>
      </c>
    </row>
    <row r="1185" spans="1:27" ht="17.25" customHeight="1">
      <c r="A1185" s="69" t="str">
        <f>IF(priority(Main[[#This Row],[Comments]])&lt;&gt;0, priority(Main[[#This Row],[Comments]]),"")</f>
        <v/>
      </c>
      <c r="B1185" s="63" t="s">
        <v>2524</v>
      </c>
      <c r="C1185" s="148" t="s">
        <v>4</v>
      </c>
      <c r="D1185" s="113" t="s">
        <v>2525</v>
      </c>
      <c r="E1185" s="129"/>
      <c r="F1185" s="129"/>
      <c r="G1185" s="69" t="str">
        <f>IF(stdProdLT(Main[[#This Row],[Comments]])=0.1,"N/A",IF(stdProdLT(Main[[#This Row],[Comments]])=0,"",stdProdLT(Main[[#This Row],[Comments]])))</f>
        <v/>
      </c>
      <c r="H1185" s="138" t="str">
        <f>IF(Main[[#This Row],[In Stock Date]]="N/A", "N/A",IF(AND(Main[[#This Row],[In Stock Date]]&lt;&gt;"",Main[[#This Row],[Revised Due Date]]&lt;&gt;"",Main[[#This Row],[In Stock Date]]&lt;&gt;""),Main[[#This Row],[In Stock Date]]-Main[[#This Row],[Revised Due Date]],""))</f>
        <v/>
      </c>
      <c r="I1185" s="139" t="s">
        <v>4</v>
      </c>
      <c r="J1185" s="139" t="s">
        <v>4</v>
      </c>
      <c r="K1185" s="139" t="s">
        <v>4</v>
      </c>
      <c r="L1185" s="129"/>
      <c r="M1185" s="114" t="str">
        <f>IF(Main[[#This Row],[Tech Start Date]]&lt;1/1/1990,"",IF(Main[[#This Row],[Class]]="C",WORKDAY(Main[[#This Row],[Tech Start Date]],9),IF(Main[[#This Row],[Class]]="B", WORKDAY(Main[[#This Row],[Tech Start Date]],6),IF(Main[[#This Row],[Class]]="A",WORKDAY(Main[[#This Row],[Tech Start Date]],2),""))))</f>
        <v/>
      </c>
      <c r="N1185" s="114" t="str">
        <f>IF(Main[[#This Row],[Tech Start Date]]&lt;1/1/1990,"",IF(Main[[#This Row],[Class]]="C",WORKDAY(Main[[#This Row],[Tech Start Date]],19),IF(Main[[#This Row],[Class]]="B", WORKDAY(Main[[#This Row],[Tech Start Date]],12),IF(Main[[#This Row],[Class]]="A",WORKDAY(Main[[#This Row],[Tech Start Date]],4),""))))</f>
        <v/>
      </c>
      <c r="O1185" s="114" t="str">
        <f>IF(Main[[#This Row],[Tech Start Date]]&lt;1/1/1990,"",IF(Main[[#This Row],[Class]]="C",WORKDAY(Main[[#This Row],[Tech Start Date]],23),IF(Main[[#This Row],[Class]]="B", WORKDAY(Main[[#This Row],[Tech Start Date]],15),IF(Main[[#This Row],[Class]]="A",WORKDAY(Main[[#This Row],[Tech Start Date]],5),""))))</f>
        <v/>
      </c>
      <c r="P1185" s="114" t="str">
        <f>IF(Main[[#This Row],[Tech Start Date]]&lt;1/1/1990,"",IF(Main[[#This Row],[Class]]="C",WORKDAY(Main[[#This Row],[Tech Start Date]],28),IF(Main[[#This Row],[Class]]="B", WORKDAY(Main[[#This Row],[Tech Start Date]],19),IF(Main[[#This Row],[Class]]="A",WORKDAY(Main[[#This Row],[Tech Start Date]],9),""))))</f>
        <v/>
      </c>
      <c r="Q1185" s="129"/>
      <c r="R1185" s="129"/>
      <c r="S1185" s="139" t="s">
        <v>23</v>
      </c>
      <c r="T1185" s="115" t="s">
        <v>4</v>
      </c>
      <c r="U1185" s="139" t="s">
        <v>14</v>
      </c>
      <c r="V1185" s="139" t="s">
        <v>1914</v>
      </c>
      <c r="W1185" s="139" t="s">
        <v>1920</v>
      </c>
      <c r="X1185" s="139" t="s">
        <v>399</v>
      </c>
      <c r="Y1185" s="112" t="s">
        <v>4</v>
      </c>
      <c r="Z1185" s="112" t="s">
        <v>4</v>
      </c>
      <c r="AA1185" s="139" t="s">
        <v>3423</v>
      </c>
    </row>
    <row r="1186" spans="1:27" ht="17.25" customHeight="1">
      <c r="A1186" s="69" t="str">
        <f>IF(priority(Main[[#This Row],[Comments]])&lt;&gt;0, priority(Main[[#This Row],[Comments]]),"")</f>
        <v/>
      </c>
      <c r="B1186" s="63" t="s">
        <v>2522</v>
      </c>
      <c r="C1186" s="148" t="s">
        <v>4</v>
      </c>
      <c r="D1186" s="113" t="s">
        <v>2523</v>
      </c>
      <c r="E1186" s="129"/>
      <c r="F1186" s="129"/>
      <c r="G1186" s="69" t="str">
        <f>IF(stdProdLT(Main[[#This Row],[Comments]])=0.1,"N/A",IF(stdProdLT(Main[[#This Row],[Comments]])=0,"",stdProdLT(Main[[#This Row],[Comments]])))</f>
        <v/>
      </c>
      <c r="H1186" s="138" t="str">
        <f>IF(Main[[#This Row],[In Stock Date]]="N/A", "N/A",IF(AND(Main[[#This Row],[In Stock Date]]&lt;&gt;"",Main[[#This Row],[Revised Due Date]]&lt;&gt;"",Main[[#This Row],[In Stock Date]]&lt;&gt;""),Main[[#This Row],[In Stock Date]]-Main[[#This Row],[Revised Due Date]],""))</f>
        <v/>
      </c>
      <c r="I1186" s="139" t="s">
        <v>4</v>
      </c>
      <c r="J1186" s="139" t="s">
        <v>4</v>
      </c>
      <c r="K1186" s="139" t="s">
        <v>4</v>
      </c>
      <c r="L1186" s="129"/>
      <c r="M1186" s="114" t="str">
        <f>IF(Main[[#This Row],[Tech Start Date]]&lt;1/1/1990,"",IF(Main[[#This Row],[Class]]="C",WORKDAY(Main[[#This Row],[Tech Start Date]],9),IF(Main[[#This Row],[Class]]="B", WORKDAY(Main[[#This Row],[Tech Start Date]],6),IF(Main[[#This Row],[Class]]="A",WORKDAY(Main[[#This Row],[Tech Start Date]],2),""))))</f>
        <v/>
      </c>
      <c r="N1186" s="114" t="str">
        <f>IF(Main[[#This Row],[Tech Start Date]]&lt;1/1/1990,"",IF(Main[[#This Row],[Class]]="C",WORKDAY(Main[[#This Row],[Tech Start Date]],19),IF(Main[[#This Row],[Class]]="B", WORKDAY(Main[[#This Row],[Tech Start Date]],12),IF(Main[[#This Row],[Class]]="A",WORKDAY(Main[[#This Row],[Tech Start Date]],4),""))))</f>
        <v/>
      </c>
      <c r="O1186" s="114" t="str">
        <f>IF(Main[[#This Row],[Tech Start Date]]&lt;1/1/1990,"",IF(Main[[#This Row],[Class]]="C",WORKDAY(Main[[#This Row],[Tech Start Date]],23),IF(Main[[#This Row],[Class]]="B", WORKDAY(Main[[#This Row],[Tech Start Date]],15),IF(Main[[#This Row],[Class]]="A",WORKDAY(Main[[#This Row],[Tech Start Date]],5),""))))</f>
        <v/>
      </c>
      <c r="P1186" s="114" t="str">
        <f>IF(Main[[#This Row],[Tech Start Date]]&lt;1/1/1990,"",IF(Main[[#This Row],[Class]]="C",WORKDAY(Main[[#This Row],[Tech Start Date]],28),IF(Main[[#This Row],[Class]]="B", WORKDAY(Main[[#This Row],[Tech Start Date]],19),IF(Main[[#This Row],[Class]]="A",WORKDAY(Main[[#This Row],[Tech Start Date]],9),""))))</f>
        <v/>
      </c>
      <c r="Q1186" s="129">
        <v>40858</v>
      </c>
      <c r="R1186" s="129"/>
      <c r="S1186" s="139" t="s">
        <v>6</v>
      </c>
      <c r="T1186" s="115" t="s">
        <v>4</v>
      </c>
      <c r="U1186" s="139" t="s">
        <v>14</v>
      </c>
      <c r="V1186" s="139" t="s">
        <v>1917</v>
      </c>
      <c r="W1186" s="139" t="s">
        <v>4</v>
      </c>
      <c r="X1186" s="139" t="s">
        <v>2819</v>
      </c>
      <c r="Y1186" s="112" t="s">
        <v>2932</v>
      </c>
      <c r="Z1186" s="112" t="s">
        <v>4</v>
      </c>
      <c r="AA1186" s="139" t="s">
        <v>2819</v>
      </c>
    </row>
    <row r="1187" spans="1:27" ht="17.25" customHeight="1">
      <c r="A1187" s="69" t="str">
        <f>IF(priority(Main[[#This Row],[Comments]])&lt;&gt;0, priority(Main[[#This Row],[Comments]]),"")</f>
        <v/>
      </c>
      <c r="B1187" s="63" t="s">
        <v>3675</v>
      </c>
      <c r="C1187" s="148" t="s">
        <v>4</v>
      </c>
      <c r="D1187" s="113" t="s">
        <v>3976</v>
      </c>
      <c r="E1187" s="129">
        <v>40966.715914351851</v>
      </c>
      <c r="F1187" s="129"/>
      <c r="G1187" s="69" t="str">
        <f>IF(stdProdLT(Main[[#This Row],[Comments]])=0.1,"N/A",IF(stdProdLT(Main[[#This Row],[Comments]])=0,"",stdProdLT(Main[[#This Row],[Comments]])))</f>
        <v/>
      </c>
      <c r="H1187" s="138" t="str">
        <f>IF(Main[[#This Row],[In Stock Date]]="N/A", "N/A",IF(AND(Main[[#This Row],[In Stock Date]]&lt;&gt;"",Main[[#This Row],[Revised Due Date]]&lt;&gt;"",Main[[#This Row],[In Stock Date]]&lt;&gt;""),Main[[#This Row],[In Stock Date]]-Main[[#This Row],[Revised Due Date]],""))</f>
        <v/>
      </c>
      <c r="I1187" s="139" t="s">
        <v>4</v>
      </c>
      <c r="J1187" s="139" t="s">
        <v>4</v>
      </c>
      <c r="K1187" s="139" t="s">
        <v>1921</v>
      </c>
      <c r="L1187" s="129"/>
      <c r="M1187" s="114" t="str">
        <f>IF(Main[[#This Row],[Tech Start Date]]&lt;1/1/1990,"",IF(Main[[#This Row],[Class]]="C",WORKDAY(Main[[#This Row],[Tech Start Date]],9),IF(Main[[#This Row],[Class]]="B", WORKDAY(Main[[#This Row],[Tech Start Date]],6),IF(Main[[#This Row],[Class]]="A",WORKDAY(Main[[#This Row],[Tech Start Date]],2),""))))</f>
        <v/>
      </c>
      <c r="N1187" s="114" t="str">
        <f>IF(Main[[#This Row],[Tech Start Date]]&lt;1/1/1990,"",IF(Main[[#This Row],[Class]]="C",WORKDAY(Main[[#This Row],[Tech Start Date]],19),IF(Main[[#This Row],[Class]]="B", WORKDAY(Main[[#This Row],[Tech Start Date]],12),IF(Main[[#This Row],[Class]]="A",WORKDAY(Main[[#This Row],[Tech Start Date]],4),""))))</f>
        <v/>
      </c>
      <c r="O1187" s="114" t="str">
        <f>IF(Main[[#This Row],[Tech Start Date]]&lt;1/1/1990,"",IF(Main[[#This Row],[Class]]="C",WORKDAY(Main[[#This Row],[Tech Start Date]],23),IF(Main[[#This Row],[Class]]="B", WORKDAY(Main[[#This Row],[Tech Start Date]],15),IF(Main[[#This Row],[Class]]="A",WORKDAY(Main[[#This Row],[Tech Start Date]],5),""))))</f>
        <v/>
      </c>
      <c r="P1187" s="114" t="str">
        <f>IF(Main[[#This Row],[Tech Start Date]]&lt;1/1/1990,"",IF(Main[[#This Row],[Class]]="C",WORKDAY(Main[[#This Row],[Tech Start Date]],28),IF(Main[[#This Row],[Class]]="B", WORKDAY(Main[[#This Row],[Tech Start Date]],19),IF(Main[[#This Row],[Class]]="A",WORKDAY(Main[[#This Row],[Tech Start Date]],9),""))))</f>
        <v/>
      </c>
      <c r="Q1187" s="129"/>
      <c r="R1187" s="129"/>
      <c r="S1187" s="139" t="s">
        <v>6</v>
      </c>
      <c r="T1187" s="115" t="s">
        <v>4</v>
      </c>
      <c r="U1187" s="139" t="s">
        <v>29</v>
      </c>
      <c r="V1187" s="139" t="s">
        <v>1917</v>
      </c>
      <c r="W1187" s="139" t="s">
        <v>1918</v>
      </c>
      <c r="X1187" s="139" t="s">
        <v>415</v>
      </c>
      <c r="Y1187" s="112" t="s">
        <v>2975</v>
      </c>
      <c r="Z1187" s="112" t="s">
        <v>4</v>
      </c>
      <c r="AA1187" s="139" t="s">
        <v>415</v>
      </c>
    </row>
    <row r="1188" spans="1:27" ht="17.25" customHeight="1">
      <c r="A1188" s="69" t="str">
        <f>IF(priority(Main[[#This Row],[Comments]])&lt;&gt;0, priority(Main[[#This Row],[Comments]]),"")</f>
        <v/>
      </c>
      <c r="B1188" s="63" t="s">
        <v>3667</v>
      </c>
      <c r="C1188" s="148" t="s">
        <v>4</v>
      </c>
      <c r="D1188" s="113" t="s">
        <v>3953</v>
      </c>
      <c r="E1188" s="129">
        <v>40967.682060185187</v>
      </c>
      <c r="F1188" s="129"/>
      <c r="G1188" s="69" t="str">
        <f>IF(stdProdLT(Main[[#This Row],[Comments]])=0.1,"N/A",IF(stdProdLT(Main[[#This Row],[Comments]])=0,"",stdProdLT(Main[[#This Row],[Comments]])))</f>
        <v/>
      </c>
      <c r="H1188" s="138" t="str">
        <f>IF(Main[[#This Row],[In Stock Date]]="N/A", "N/A",IF(AND(Main[[#This Row],[In Stock Date]]&lt;&gt;"",Main[[#This Row],[Revised Due Date]]&lt;&gt;"",Main[[#This Row],[In Stock Date]]&lt;&gt;""),Main[[#This Row],[In Stock Date]]-Main[[#This Row],[Revised Due Date]],""))</f>
        <v/>
      </c>
      <c r="I1188" s="139" t="s">
        <v>4</v>
      </c>
      <c r="J1188" s="139" t="s">
        <v>21</v>
      </c>
      <c r="K1188" s="139" t="s">
        <v>4</v>
      </c>
      <c r="L1188" s="129"/>
      <c r="M1188" s="114" t="str">
        <f>IF(Main[[#This Row],[Tech Start Date]]&lt;1/1/1990,"",IF(Main[[#This Row],[Class]]="C",WORKDAY(Main[[#This Row],[Tech Start Date]],9),IF(Main[[#This Row],[Class]]="B", WORKDAY(Main[[#This Row],[Tech Start Date]],6),IF(Main[[#This Row],[Class]]="A",WORKDAY(Main[[#This Row],[Tech Start Date]],2),""))))</f>
        <v/>
      </c>
      <c r="N1188" s="114" t="str">
        <f>IF(Main[[#This Row],[Tech Start Date]]&lt;1/1/1990,"",IF(Main[[#This Row],[Class]]="C",WORKDAY(Main[[#This Row],[Tech Start Date]],19),IF(Main[[#This Row],[Class]]="B", WORKDAY(Main[[#This Row],[Tech Start Date]],12),IF(Main[[#This Row],[Class]]="A",WORKDAY(Main[[#This Row],[Tech Start Date]],4),""))))</f>
        <v/>
      </c>
      <c r="O1188" s="114" t="str">
        <f>IF(Main[[#This Row],[Tech Start Date]]&lt;1/1/1990,"",IF(Main[[#This Row],[Class]]="C",WORKDAY(Main[[#This Row],[Tech Start Date]],23),IF(Main[[#This Row],[Class]]="B", WORKDAY(Main[[#This Row],[Tech Start Date]],15),IF(Main[[#This Row],[Class]]="A",WORKDAY(Main[[#This Row],[Tech Start Date]],5),""))))</f>
        <v/>
      </c>
      <c r="P1188" s="114" t="str">
        <f>IF(Main[[#This Row],[Tech Start Date]]&lt;1/1/1990,"",IF(Main[[#This Row],[Class]]="C",WORKDAY(Main[[#This Row],[Tech Start Date]],28),IF(Main[[#This Row],[Class]]="B", WORKDAY(Main[[#This Row],[Tech Start Date]],19),IF(Main[[#This Row],[Class]]="A",WORKDAY(Main[[#This Row],[Tech Start Date]],9),""))))</f>
        <v/>
      </c>
      <c r="Q1188" s="129">
        <v>40732</v>
      </c>
      <c r="R1188" s="129"/>
      <c r="S1188" s="139" t="s">
        <v>6</v>
      </c>
      <c r="T1188" s="115" t="s">
        <v>4</v>
      </c>
      <c r="U1188" s="139" t="s">
        <v>29</v>
      </c>
      <c r="V1188" s="139" t="s">
        <v>1915</v>
      </c>
      <c r="W1188" s="139" t="s">
        <v>1918</v>
      </c>
      <c r="X1188" s="139" t="s">
        <v>399</v>
      </c>
      <c r="Y1188" s="112" t="s">
        <v>3116</v>
      </c>
      <c r="Z1188" s="112" t="s">
        <v>2053</v>
      </c>
      <c r="AA1188" s="139" t="s">
        <v>3390</v>
      </c>
    </row>
    <row r="1189" spans="1:27" ht="17.25" customHeight="1">
      <c r="A1189" s="69" t="str">
        <f>IF(priority(Main[[#This Row],[Comments]])&lt;&gt;0, priority(Main[[#This Row],[Comments]]),"")</f>
        <v/>
      </c>
      <c r="B1189" s="63" t="s">
        <v>3977</v>
      </c>
      <c r="C1189" s="148" t="s">
        <v>3978</v>
      </c>
      <c r="D1189" s="113" t="s">
        <v>3979</v>
      </c>
      <c r="E1189" s="129">
        <v>40968.569189814814</v>
      </c>
      <c r="F1189" s="129"/>
      <c r="G1189" s="69" t="str">
        <f>IF(stdProdLT(Main[[#This Row],[Comments]])=0.1,"N/A",IF(stdProdLT(Main[[#This Row],[Comments]])=0,"",stdProdLT(Main[[#This Row],[Comments]])))</f>
        <v/>
      </c>
      <c r="H1189" s="138" t="str">
        <f>IF(Main[[#This Row],[In Stock Date]]="N/A", "N/A",IF(AND(Main[[#This Row],[In Stock Date]]&lt;&gt;"",Main[[#This Row],[Revised Due Date]]&lt;&gt;"",Main[[#This Row],[In Stock Date]]&lt;&gt;""),Main[[#This Row],[In Stock Date]]-Main[[#This Row],[Revised Due Date]],""))</f>
        <v/>
      </c>
      <c r="I1189" s="139" t="s">
        <v>765</v>
      </c>
      <c r="J1189" s="139" t="s">
        <v>21</v>
      </c>
      <c r="K1189" s="139" t="s">
        <v>4</v>
      </c>
      <c r="L1189" s="129"/>
      <c r="M1189" s="114" t="str">
        <f>IF(Main[[#This Row],[Tech Start Date]]&lt;1/1/1990,"",IF(Main[[#This Row],[Class]]="C",WORKDAY(Main[[#This Row],[Tech Start Date]],9),IF(Main[[#This Row],[Class]]="B", WORKDAY(Main[[#This Row],[Tech Start Date]],6),IF(Main[[#This Row],[Class]]="A",WORKDAY(Main[[#This Row],[Tech Start Date]],2),""))))</f>
        <v/>
      </c>
      <c r="N1189" s="114" t="str">
        <f>IF(Main[[#This Row],[Tech Start Date]]&lt;1/1/1990,"",IF(Main[[#This Row],[Class]]="C",WORKDAY(Main[[#This Row],[Tech Start Date]],19),IF(Main[[#This Row],[Class]]="B", WORKDAY(Main[[#This Row],[Tech Start Date]],12),IF(Main[[#This Row],[Class]]="A",WORKDAY(Main[[#This Row],[Tech Start Date]],4),""))))</f>
        <v/>
      </c>
      <c r="O1189" s="114" t="str">
        <f>IF(Main[[#This Row],[Tech Start Date]]&lt;1/1/1990,"",IF(Main[[#This Row],[Class]]="C",WORKDAY(Main[[#This Row],[Tech Start Date]],23),IF(Main[[#This Row],[Class]]="B", WORKDAY(Main[[#This Row],[Tech Start Date]],15),IF(Main[[#This Row],[Class]]="A",WORKDAY(Main[[#This Row],[Tech Start Date]],5),""))))</f>
        <v/>
      </c>
      <c r="P1189" s="114" t="str">
        <f>IF(Main[[#This Row],[Tech Start Date]]&lt;1/1/1990,"",IF(Main[[#This Row],[Class]]="C",WORKDAY(Main[[#This Row],[Tech Start Date]],28),IF(Main[[#This Row],[Class]]="B", WORKDAY(Main[[#This Row],[Tech Start Date]],19),IF(Main[[#This Row],[Class]]="A",WORKDAY(Main[[#This Row],[Tech Start Date]],9),""))))</f>
        <v/>
      </c>
      <c r="Q1189" s="129">
        <v>40973</v>
      </c>
      <c r="R1189" s="129"/>
      <c r="S1189" s="139" t="s">
        <v>6</v>
      </c>
      <c r="T1189" s="115" t="s">
        <v>3987</v>
      </c>
      <c r="U1189" s="139" t="s">
        <v>29</v>
      </c>
      <c r="V1189" s="139" t="s">
        <v>1917</v>
      </c>
      <c r="W1189" s="139" t="s">
        <v>1918</v>
      </c>
      <c r="X1189" s="139" t="s">
        <v>765</v>
      </c>
      <c r="Y1189" s="112" t="s">
        <v>2935</v>
      </c>
      <c r="Z1189" s="112" t="s">
        <v>765</v>
      </c>
      <c r="AA1189" s="139" t="s">
        <v>765</v>
      </c>
    </row>
    <row r="1190" spans="1:27" ht="17.25" customHeight="1">
      <c r="A1190" s="69" t="str">
        <f>IF(priority(Main[[#This Row],[Comments]])&lt;&gt;0, priority(Main[[#This Row],[Comments]]),"")</f>
        <v/>
      </c>
      <c r="B1190" s="63" t="s">
        <v>3671</v>
      </c>
      <c r="C1190" s="148" t="s">
        <v>4</v>
      </c>
      <c r="D1190" s="113" t="s">
        <v>3672</v>
      </c>
      <c r="E1190" s="129">
        <v>40962.337222222224</v>
      </c>
      <c r="F1190" s="129"/>
      <c r="G1190" s="69" t="str">
        <f>IF(stdProdLT(Main[[#This Row],[Comments]])=0.1,"N/A",IF(stdProdLT(Main[[#This Row],[Comments]])=0,"",stdProdLT(Main[[#This Row],[Comments]])))</f>
        <v/>
      </c>
      <c r="H1190" s="138" t="str">
        <f>IF(Main[[#This Row],[In Stock Date]]="N/A", "N/A",IF(AND(Main[[#This Row],[In Stock Date]]&lt;&gt;"",Main[[#This Row],[Revised Due Date]]&lt;&gt;"",Main[[#This Row],[In Stock Date]]&lt;&gt;""),Main[[#This Row],[In Stock Date]]-Main[[#This Row],[Revised Due Date]],""))</f>
        <v/>
      </c>
      <c r="I1190" s="139" t="s">
        <v>4</v>
      </c>
      <c r="J1190" s="139" t="s">
        <v>4</v>
      </c>
      <c r="K1190" s="139" t="s">
        <v>4</v>
      </c>
      <c r="L1190" s="129"/>
      <c r="M1190" s="114" t="str">
        <f>IF(Main[[#This Row],[Tech Start Date]]&lt;1/1/1990,"",IF(Main[[#This Row],[Class]]="C",WORKDAY(Main[[#This Row],[Tech Start Date]],9),IF(Main[[#This Row],[Class]]="B", WORKDAY(Main[[#This Row],[Tech Start Date]],6),IF(Main[[#This Row],[Class]]="A",WORKDAY(Main[[#This Row],[Tech Start Date]],2),""))))</f>
        <v/>
      </c>
      <c r="N1190" s="114" t="str">
        <f>IF(Main[[#This Row],[Tech Start Date]]&lt;1/1/1990,"",IF(Main[[#This Row],[Class]]="C",WORKDAY(Main[[#This Row],[Tech Start Date]],19),IF(Main[[#This Row],[Class]]="B", WORKDAY(Main[[#This Row],[Tech Start Date]],12),IF(Main[[#This Row],[Class]]="A",WORKDAY(Main[[#This Row],[Tech Start Date]],4),""))))</f>
        <v/>
      </c>
      <c r="O1190" s="114" t="str">
        <f>IF(Main[[#This Row],[Tech Start Date]]&lt;1/1/1990,"",IF(Main[[#This Row],[Class]]="C",WORKDAY(Main[[#This Row],[Tech Start Date]],23),IF(Main[[#This Row],[Class]]="B", WORKDAY(Main[[#This Row],[Tech Start Date]],15),IF(Main[[#This Row],[Class]]="A",WORKDAY(Main[[#This Row],[Tech Start Date]],5),""))))</f>
        <v/>
      </c>
      <c r="P1190" s="114" t="str">
        <f>IF(Main[[#This Row],[Tech Start Date]]&lt;1/1/1990,"",IF(Main[[#This Row],[Class]]="C",WORKDAY(Main[[#This Row],[Tech Start Date]],28),IF(Main[[#This Row],[Class]]="B", WORKDAY(Main[[#This Row],[Tech Start Date]],19),IF(Main[[#This Row],[Class]]="A",WORKDAY(Main[[#This Row],[Tech Start Date]],9),""))))</f>
        <v/>
      </c>
      <c r="Q1190" s="129">
        <v>40991</v>
      </c>
      <c r="R1190" s="129"/>
      <c r="S1190" s="139" t="s">
        <v>6</v>
      </c>
      <c r="T1190" s="115" t="s">
        <v>4</v>
      </c>
      <c r="U1190" s="139" t="s">
        <v>7</v>
      </c>
      <c r="V1190" s="139" t="s">
        <v>1914</v>
      </c>
      <c r="W1190" s="139" t="s">
        <v>4</v>
      </c>
      <c r="X1190" s="139" t="s">
        <v>2822</v>
      </c>
      <c r="Y1190" s="112" t="s">
        <v>2938</v>
      </c>
      <c r="Z1190" s="112" t="s">
        <v>4</v>
      </c>
      <c r="AA1190" s="139" t="s">
        <v>2822</v>
      </c>
    </row>
    <row r="1191" spans="1:27" ht="17.25" customHeight="1">
      <c r="A1191" s="69" t="str">
        <f>IF(priority(Main[[#This Row],[Comments]])&lt;&gt;0, priority(Main[[#This Row],[Comments]]),"")</f>
        <v/>
      </c>
      <c r="B1191" s="63" t="s">
        <v>3673</v>
      </c>
      <c r="C1191" s="148" t="s">
        <v>4</v>
      </c>
      <c r="D1191" s="113" t="s">
        <v>3674</v>
      </c>
      <c r="E1191" s="129">
        <v>40963.259918981479</v>
      </c>
      <c r="F1191" s="129"/>
      <c r="G1191" s="69" t="str">
        <f>IF(stdProdLT(Main[[#This Row],[Comments]])=0.1,"N/A",IF(stdProdLT(Main[[#This Row],[Comments]])=0,"",stdProdLT(Main[[#This Row],[Comments]])))</f>
        <v/>
      </c>
      <c r="H1191" s="138" t="str">
        <f>IF(Main[[#This Row],[In Stock Date]]="N/A", "N/A",IF(AND(Main[[#This Row],[In Stock Date]]&lt;&gt;"",Main[[#This Row],[Revised Due Date]]&lt;&gt;"",Main[[#This Row],[In Stock Date]]&lt;&gt;""),Main[[#This Row],[In Stock Date]]-Main[[#This Row],[Revised Due Date]],""))</f>
        <v/>
      </c>
      <c r="I1191" s="139" t="s">
        <v>4</v>
      </c>
      <c r="J1191" s="139" t="s">
        <v>4</v>
      </c>
      <c r="K1191" s="139" t="s">
        <v>4</v>
      </c>
      <c r="L1191" s="129"/>
      <c r="M1191" s="114" t="str">
        <f>IF(Main[[#This Row],[Tech Start Date]]&lt;1/1/1990,"",IF(Main[[#This Row],[Class]]="C",WORKDAY(Main[[#This Row],[Tech Start Date]],9),IF(Main[[#This Row],[Class]]="B", WORKDAY(Main[[#This Row],[Tech Start Date]],6),IF(Main[[#This Row],[Class]]="A",WORKDAY(Main[[#This Row],[Tech Start Date]],2),""))))</f>
        <v/>
      </c>
      <c r="N1191" s="114" t="str">
        <f>IF(Main[[#This Row],[Tech Start Date]]&lt;1/1/1990,"",IF(Main[[#This Row],[Class]]="C",WORKDAY(Main[[#This Row],[Tech Start Date]],19),IF(Main[[#This Row],[Class]]="B", WORKDAY(Main[[#This Row],[Tech Start Date]],12),IF(Main[[#This Row],[Class]]="A",WORKDAY(Main[[#This Row],[Tech Start Date]],4),""))))</f>
        <v/>
      </c>
      <c r="O1191" s="114" t="str">
        <f>IF(Main[[#This Row],[Tech Start Date]]&lt;1/1/1990,"",IF(Main[[#This Row],[Class]]="C",WORKDAY(Main[[#This Row],[Tech Start Date]],23),IF(Main[[#This Row],[Class]]="B", WORKDAY(Main[[#This Row],[Tech Start Date]],15),IF(Main[[#This Row],[Class]]="A",WORKDAY(Main[[#This Row],[Tech Start Date]],5),""))))</f>
        <v/>
      </c>
      <c r="P1191" s="114" t="str">
        <f>IF(Main[[#This Row],[Tech Start Date]]&lt;1/1/1990,"",IF(Main[[#This Row],[Class]]="C",WORKDAY(Main[[#This Row],[Tech Start Date]],28),IF(Main[[#This Row],[Class]]="B", WORKDAY(Main[[#This Row],[Tech Start Date]],19),IF(Main[[#This Row],[Class]]="A",WORKDAY(Main[[#This Row],[Tech Start Date]],9),""))))</f>
        <v/>
      </c>
      <c r="Q1191" s="129">
        <v>40977</v>
      </c>
      <c r="R1191" s="129"/>
      <c r="S1191" s="139" t="s">
        <v>6</v>
      </c>
      <c r="T1191" s="115" t="s">
        <v>4</v>
      </c>
      <c r="U1191" s="139" t="s">
        <v>7</v>
      </c>
      <c r="V1191" s="139" t="s">
        <v>1914</v>
      </c>
      <c r="W1191" s="139" t="s">
        <v>4</v>
      </c>
      <c r="X1191" s="139" t="s">
        <v>2851</v>
      </c>
      <c r="Y1191" s="112" t="s">
        <v>2986</v>
      </c>
      <c r="Z1191" s="112" t="s">
        <v>4</v>
      </c>
      <c r="AA1191" s="139" t="s">
        <v>2851</v>
      </c>
    </row>
    <row r="1192" spans="1:27" ht="17.25" customHeight="1">
      <c r="A1192" s="69" t="str">
        <f>IF(priority(Main[[#This Row],[Comments]])&lt;&gt;0, priority(Main[[#This Row],[Comments]]),"")</f>
        <v/>
      </c>
      <c r="B1192" s="63" t="s">
        <v>1182</v>
      </c>
      <c r="C1192" s="148" t="s">
        <v>42</v>
      </c>
      <c r="D1192" s="113" t="s">
        <v>242</v>
      </c>
      <c r="E1192" s="129">
        <v>39937.598217592589</v>
      </c>
      <c r="F1192" s="129"/>
      <c r="G1192" s="69" t="str">
        <f>IF(stdProdLT(Main[[#This Row],[Comments]])=0.1,"N/A",IF(stdProdLT(Main[[#This Row],[Comments]])=0,"",stdProdLT(Main[[#This Row],[Comments]])))</f>
        <v/>
      </c>
      <c r="H1192" s="138" t="str">
        <f>IF(Main[[#This Row],[In Stock Date]]="N/A", "N/A",IF(AND(Main[[#This Row],[In Stock Date]]&lt;&gt;"",Main[[#This Row],[Revised Due Date]]&lt;&gt;"",Main[[#This Row],[In Stock Date]]&lt;&gt;""),Main[[#This Row],[In Stock Date]]-Main[[#This Row],[Revised Due Date]],""))</f>
        <v/>
      </c>
      <c r="I1192" s="139" t="s">
        <v>4</v>
      </c>
      <c r="J1192" s="139" t="s">
        <v>4</v>
      </c>
      <c r="K1192" s="139" t="s">
        <v>4</v>
      </c>
      <c r="L1192" s="129"/>
      <c r="M1192" s="114" t="str">
        <f>IF(Main[[#This Row],[Tech Start Date]]&lt;1/1/1990,"",IF(Main[[#This Row],[Class]]="C",WORKDAY(Main[[#This Row],[Tech Start Date]],9),IF(Main[[#This Row],[Class]]="B", WORKDAY(Main[[#This Row],[Tech Start Date]],6),IF(Main[[#This Row],[Class]]="A",WORKDAY(Main[[#This Row],[Tech Start Date]],2),""))))</f>
        <v/>
      </c>
      <c r="N1192" s="114" t="str">
        <f>IF(Main[[#This Row],[Tech Start Date]]&lt;1/1/1990,"",IF(Main[[#This Row],[Class]]="C",WORKDAY(Main[[#This Row],[Tech Start Date]],19),IF(Main[[#This Row],[Class]]="B", WORKDAY(Main[[#This Row],[Tech Start Date]],12),IF(Main[[#This Row],[Class]]="A",WORKDAY(Main[[#This Row],[Tech Start Date]],4),""))))</f>
        <v/>
      </c>
      <c r="O1192" s="114" t="str">
        <f>IF(Main[[#This Row],[Tech Start Date]]&lt;1/1/1990,"",IF(Main[[#This Row],[Class]]="C",WORKDAY(Main[[#This Row],[Tech Start Date]],23),IF(Main[[#This Row],[Class]]="B", WORKDAY(Main[[#This Row],[Tech Start Date]],15),IF(Main[[#This Row],[Class]]="A",WORKDAY(Main[[#This Row],[Tech Start Date]],5),""))))</f>
        <v/>
      </c>
      <c r="P1192" s="114" t="str">
        <f>IF(Main[[#This Row],[Tech Start Date]]&lt;1/1/1990,"",IF(Main[[#This Row],[Class]]="C",WORKDAY(Main[[#This Row],[Tech Start Date]],28),IF(Main[[#This Row],[Class]]="B", WORKDAY(Main[[#This Row],[Tech Start Date]],19),IF(Main[[#This Row],[Class]]="A",WORKDAY(Main[[#This Row],[Tech Start Date]],9),""))))</f>
        <v/>
      </c>
      <c r="Q1192" s="129"/>
      <c r="R1192" s="129">
        <v>41289</v>
      </c>
      <c r="S1192" s="139" t="s">
        <v>17</v>
      </c>
      <c r="T1192" s="115" t="s">
        <v>4</v>
      </c>
      <c r="U1192" s="139" t="s">
        <v>29</v>
      </c>
      <c r="V1192" s="139" t="s">
        <v>1917</v>
      </c>
      <c r="W1192" s="139" t="s">
        <v>4</v>
      </c>
      <c r="X1192" s="139" t="s">
        <v>399</v>
      </c>
      <c r="Y1192" s="112" t="s">
        <v>4</v>
      </c>
      <c r="Z1192" s="112" t="s">
        <v>652</v>
      </c>
      <c r="AA1192" s="139" t="s">
        <v>4</v>
      </c>
    </row>
    <row r="1193" spans="1:27" ht="17.25" customHeight="1">
      <c r="A1193" s="69" t="str">
        <f>IF(priority(Main[[#This Row],[Comments]])&lt;&gt;0, priority(Main[[#This Row],[Comments]]),"")</f>
        <v/>
      </c>
      <c r="B1193" s="63" t="s">
        <v>2167</v>
      </c>
      <c r="C1193" s="148" t="s">
        <v>2160</v>
      </c>
      <c r="D1193" s="113" t="s">
        <v>2161</v>
      </c>
      <c r="E1193" s="129">
        <v>40781.399756944447</v>
      </c>
      <c r="F1193" s="129"/>
      <c r="G1193" s="69" t="str">
        <f>IF(stdProdLT(Main[[#This Row],[Comments]])=0.1,"N/A",IF(stdProdLT(Main[[#This Row],[Comments]])=0,"",stdProdLT(Main[[#This Row],[Comments]])))</f>
        <v/>
      </c>
      <c r="H1193" s="138" t="str">
        <f>IF(Main[[#This Row],[In Stock Date]]="N/A", "N/A",IF(AND(Main[[#This Row],[In Stock Date]]&lt;&gt;"",Main[[#This Row],[Revised Due Date]]&lt;&gt;"",Main[[#This Row],[In Stock Date]]&lt;&gt;""),Main[[#This Row],[In Stock Date]]-Main[[#This Row],[Revised Due Date]],""))</f>
        <v/>
      </c>
      <c r="I1193" s="139" t="s">
        <v>530</v>
      </c>
      <c r="J1193" s="139" t="s">
        <v>21</v>
      </c>
      <c r="K1193" s="140" t="s">
        <v>1923</v>
      </c>
      <c r="L1193" s="129"/>
      <c r="M1193" s="114" t="str">
        <f>IF(Main[[#This Row],[Tech Start Date]]&lt;1/1/1990,"",IF(Main[[#This Row],[Class]]="C",WORKDAY(Main[[#This Row],[Tech Start Date]],9),IF(Main[[#This Row],[Class]]="B", WORKDAY(Main[[#This Row],[Tech Start Date]],6),IF(Main[[#This Row],[Class]]="A",WORKDAY(Main[[#This Row],[Tech Start Date]],2),""))))</f>
        <v/>
      </c>
      <c r="N1193" s="114" t="str">
        <f>IF(Main[[#This Row],[Tech Start Date]]&lt;1/1/1990,"",IF(Main[[#This Row],[Class]]="C",WORKDAY(Main[[#This Row],[Tech Start Date]],19),IF(Main[[#This Row],[Class]]="B", WORKDAY(Main[[#This Row],[Tech Start Date]],12),IF(Main[[#This Row],[Class]]="A",WORKDAY(Main[[#This Row],[Tech Start Date]],4),""))))</f>
        <v/>
      </c>
      <c r="O1193" s="114" t="str">
        <f>IF(Main[[#This Row],[Tech Start Date]]&lt;1/1/1990,"",IF(Main[[#This Row],[Class]]="C",WORKDAY(Main[[#This Row],[Tech Start Date]],23),IF(Main[[#This Row],[Class]]="B", WORKDAY(Main[[#This Row],[Tech Start Date]],15),IF(Main[[#This Row],[Class]]="A",WORKDAY(Main[[#This Row],[Tech Start Date]],5),""))))</f>
        <v/>
      </c>
      <c r="P1193" s="114" t="str">
        <f>IF(Main[[#This Row],[Tech Start Date]]&lt;1/1/1990,"",IF(Main[[#This Row],[Class]]="C",WORKDAY(Main[[#This Row],[Tech Start Date]],28),IF(Main[[#This Row],[Class]]="B", WORKDAY(Main[[#This Row],[Tech Start Date]],19),IF(Main[[#This Row],[Class]]="A",WORKDAY(Main[[#This Row],[Tech Start Date]],9),""))))</f>
        <v/>
      </c>
      <c r="Q1193" s="129">
        <v>40836</v>
      </c>
      <c r="R1193" s="129"/>
      <c r="S1193" s="139" t="s">
        <v>6</v>
      </c>
      <c r="T1193" s="115" t="s">
        <v>4</v>
      </c>
      <c r="U1193" s="139" t="s">
        <v>29</v>
      </c>
      <c r="V1193" s="139" t="s">
        <v>1917</v>
      </c>
      <c r="W1193" s="139" t="s">
        <v>1918</v>
      </c>
      <c r="X1193" s="139" t="s">
        <v>2836</v>
      </c>
      <c r="Y1193" s="112" t="s">
        <v>2965</v>
      </c>
      <c r="Z1193" s="112" t="s">
        <v>30</v>
      </c>
      <c r="AA1193" s="139" t="s">
        <v>2836</v>
      </c>
    </row>
    <row r="1194" spans="1:27" ht="17.25" customHeight="1">
      <c r="A1194" s="69" t="str">
        <f>IF(priority(Main[[#This Row],[Comments]])&lt;&gt;0, priority(Main[[#This Row],[Comments]]),"")</f>
        <v/>
      </c>
      <c r="B1194" s="63" t="s">
        <v>3545</v>
      </c>
      <c r="C1194" s="148" t="s">
        <v>4</v>
      </c>
      <c r="D1194" s="113" t="s">
        <v>3669</v>
      </c>
      <c r="E1194" s="129">
        <v>40949.264513888891</v>
      </c>
      <c r="F1194" s="129"/>
      <c r="G1194" s="69" t="str">
        <f>IF(stdProdLT(Main[[#This Row],[Comments]])=0.1,"N/A",IF(stdProdLT(Main[[#This Row],[Comments]])=0,"",stdProdLT(Main[[#This Row],[Comments]])))</f>
        <v/>
      </c>
      <c r="H1194" s="138" t="str">
        <f>IF(Main[[#This Row],[In Stock Date]]="N/A", "N/A",IF(AND(Main[[#This Row],[In Stock Date]]&lt;&gt;"",Main[[#This Row],[Revised Due Date]]&lt;&gt;"",Main[[#This Row],[In Stock Date]]&lt;&gt;""),Main[[#This Row],[In Stock Date]]-Main[[#This Row],[Revised Due Date]],""))</f>
        <v/>
      </c>
      <c r="I1194" s="139" t="s">
        <v>69</v>
      </c>
      <c r="J1194" s="139" t="s">
        <v>70</v>
      </c>
      <c r="K1194" s="139" t="s">
        <v>1923</v>
      </c>
      <c r="L1194" s="129"/>
      <c r="M1194" s="114" t="str">
        <f>IF(Main[[#This Row],[Tech Start Date]]&lt;1/1/1990,"",IF(Main[[#This Row],[Class]]="C",WORKDAY(Main[[#This Row],[Tech Start Date]],9),IF(Main[[#This Row],[Class]]="B", WORKDAY(Main[[#This Row],[Tech Start Date]],6),IF(Main[[#This Row],[Class]]="A",WORKDAY(Main[[#This Row],[Tech Start Date]],2),""))))</f>
        <v/>
      </c>
      <c r="N1194" s="114" t="str">
        <f>IF(Main[[#This Row],[Tech Start Date]]&lt;1/1/1990,"",IF(Main[[#This Row],[Class]]="C",WORKDAY(Main[[#This Row],[Tech Start Date]],19),IF(Main[[#This Row],[Class]]="B", WORKDAY(Main[[#This Row],[Tech Start Date]],12),IF(Main[[#This Row],[Class]]="A",WORKDAY(Main[[#This Row],[Tech Start Date]],4),""))))</f>
        <v/>
      </c>
      <c r="O1194" s="114" t="str">
        <f>IF(Main[[#This Row],[Tech Start Date]]&lt;1/1/1990,"",IF(Main[[#This Row],[Class]]="C",WORKDAY(Main[[#This Row],[Tech Start Date]],23),IF(Main[[#This Row],[Class]]="B", WORKDAY(Main[[#This Row],[Tech Start Date]],15),IF(Main[[#This Row],[Class]]="A",WORKDAY(Main[[#This Row],[Tech Start Date]],5),""))))</f>
        <v/>
      </c>
      <c r="P1194" s="114" t="str">
        <f>IF(Main[[#This Row],[Tech Start Date]]&lt;1/1/1990,"",IF(Main[[#This Row],[Class]]="C",WORKDAY(Main[[#This Row],[Tech Start Date]],28),IF(Main[[#This Row],[Class]]="B", WORKDAY(Main[[#This Row],[Tech Start Date]],19),IF(Main[[#This Row],[Class]]="A",WORKDAY(Main[[#This Row],[Tech Start Date]],9),""))))</f>
        <v/>
      </c>
      <c r="Q1194" s="129">
        <v>40998</v>
      </c>
      <c r="R1194" s="129"/>
      <c r="S1194" s="139" t="s">
        <v>6</v>
      </c>
      <c r="T1194" s="115" t="s">
        <v>4</v>
      </c>
      <c r="U1194" s="139" t="s">
        <v>29</v>
      </c>
      <c r="V1194" s="139" t="s">
        <v>1917</v>
      </c>
      <c r="W1194" s="139" t="s">
        <v>1918</v>
      </c>
      <c r="X1194" s="139" t="s">
        <v>2822</v>
      </c>
      <c r="Y1194" s="112" t="s">
        <v>2938</v>
      </c>
      <c r="Z1194" s="112" t="s">
        <v>30</v>
      </c>
      <c r="AA1194" s="139" t="s">
        <v>2822</v>
      </c>
    </row>
    <row r="1195" spans="1:27" ht="17.25" customHeight="1">
      <c r="A1195" s="69" t="str">
        <f>IF(priority(Main[[#This Row],[Comments]])&lt;&gt;0, priority(Main[[#This Row],[Comments]]),"")</f>
        <v/>
      </c>
      <c r="B1195" s="63" t="s">
        <v>2055</v>
      </c>
      <c r="C1195" s="148" t="s">
        <v>4</v>
      </c>
      <c r="D1195" s="113" t="s">
        <v>2056</v>
      </c>
      <c r="E1195" s="129">
        <v>40757.464699074073</v>
      </c>
      <c r="F1195" s="129"/>
      <c r="G1195" s="69" t="str">
        <f>IF(stdProdLT(Main[[#This Row],[Comments]])=0.1,"N/A",IF(stdProdLT(Main[[#This Row],[Comments]])=0,"",stdProdLT(Main[[#This Row],[Comments]])))</f>
        <v/>
      </c>
      <c r="H1195" s="138" t="str">
        <f>IF(Main[[#This Row],[In Stock Date]]="N/A", "N/A",IF(AND(Main[[#This Row],[In Stock Date]]&lt;&gt;"",Main[[#This Row],[Revised Due Date]]&lt;&gt;"",Main[[#This Row],[In Stock Date]]&lt;&gt;""),Main[[#This Row],[In Stock Date]]-Main[[#This Row],[Revised Due Date]],""))</f>
        <v/>
      </c>
      <c r="I1195" s="139" t="s">
        <v>4</v>
      </c>
      <c r="J1195" s="139" t="s">
        <v>4</v>
      </c>
      <c r="K1195" s="139" t="s">
        <v>4</v>
      </c>
      <c r="L1195" s="129"/>
      <c r="M1195" s="114" t="str">
        <f>IF(Main[[#This Row],[Tech Start Date]]&lt;1/1/1990,"",IF(Main[[#This Row],[Class]]="C",WORKDAY(Main[[#This Row],[Tech Start Date]],9),IF(Main[[#This Row],[Class]]="B", WORKDAY(Main[[#This Row],[Tech Start Date]],6),IF(Main[[#This Row],[Class]]="A",WORKDAY(Main[[#This Row],[Tech Start Date]],2),""))))</f>
        <v/>
      </c>
      <c r="N1195" s="114" t="str">
        <f>IF(Main[[#This Row],[Tech Start Date]]&lt;1/1/1990,"",IF(Main[[#This Row],[Class]]="C",WORKDAY(Main[[#This Row],[Tech Start Date]],19),IF(Main[[#This Row],[Class]]="B", WORKDAY(Main[[#This Row],[Tech Start Date]],12),IF(Main[[#This Row],[Class]]="A",WORKDAY(Main[[#This Row],[Tech Start Date]],4),""))))</f>
        <v/>
      </c>
      <c r="O1195" s="114" t="str">
        <f>IF(Main[[#This Row],[Tech Start Date]]&lt;1/1/1990,"",IF(Main[[#This Row],[Class]]="C",WORKDAY(Main[[#This Row],[Tech Start Date]],23),IF(Main[[#This Row],[Class]]="B", WORKDAY(Main[[#This Row],[Tech Start Date]],15),IF(Main[[#This Row],[Class]]="A",WORKDAY(Main[[#This Row],[Tech Start Date]],5),""))))</f>
        <v/>
      </c>
      <c r="P1195" s="114" t="str">
        <f>IF(Main[[#This Row],[Tech Start Date]]&lt;1/1/1990,"",IF(Main[[#This Row],[Class]]="C",WORKDAY(Main[[#This Row],[Tech Start Date]],28),IF(Main[[#This Row],[Class]]="B", WORKDAY(Main[[#This Row],[Tech Start Date]],19),IF(Main[[#This Row],[Class]]="A",WORKDAY(Main[[#This Row],[Tech Start Date]],9),""))))</f>
        <v/>
      </c>
      <c r="Q1195" s="129"/>
      <c r="R1195" s="129"/>
      <c r="S1195" s="139" t="s">
        <v>17</v>
      </c>
      <c r="T1195" s="115" t="s">
        <v>4</v>
      </c>
      <c r="U1195" s="139" t="s">
        <v>29</v>
      </c>
      <c r="V1195" s="139" t="s">
        <v>1917</v>
      </c>
      <c r="W1195" s="139" t="s">
        <v>4</v>
      </c>
      <c r="X1195" s="139" t="s">
        <v>652</v>
      </c>
      <c r="Y1195" s="112" t="s">
        <v>3126</v>
      </c>
      <c r="Z1195" s="112" t="s">
        <v>4</v>
      </c>
      <c r="AA1195" s="139" t="s">
        <v>652</v>
      </c>
    </row>
    <row r="1196" spans="1:27" ht="17.25" customHeight="1">
      <c r="A1196" s="69" t="str">
        <f>IF(priority(Main[[#This Row],[Comments]])&lt;&gt;0, priority(Main[[#This Row],[Comments]]),"")</f>
        <v/>
      </c>
      <c r="B1196" s="63" t="s">
        <v>2538</v>
      </c>
      <c r="C1196" s="148" t="s">
        <v>4</v>
      </c>
      <c r="D1196" s="113" t="s">
        <v>2539</v>
      </c>
      <c r="E1196" s="129"/>
      <c r="F1196" s="129"/>
      <c r="G1196" s="69" t="str">
        <f>IF(stdProdLT(Main[[#This Row],[Comments]])=0.1,"N/A",IF(stdProdLT(Main[[#This Row],[Comments]])=0,"",stdProdLT(Main[[#This Row],[Comments]])))</f>
        <v/>
      </c>
      <c r="H1196" s="138" t="str">
        <f>IF(Main[[#This Row],[In Stock Date]]="N/A", "N/A",IF(AND(Main[[#This Row],[In Stock Date]]&lt;&gt;"",Main[[#This Row],[Revised Due Date]]&lt;&gt;"",Main[[#This Row],[In Stock Date]]&lt;&gt;""),Main[[#This Row],[In Stock Date]]-Main[[#This Row],[Revised Due Date]],""))</f>
        <v/>
      </c>
      <c r="I1196" s="139" t="s">
        <v>4</v>
      </c>
      <c r="J1196" s="139" t="s">
        <v>4</v>
      </c>
      <c r="K1196" s="139" t="s">
        <v>4</v>
      </c>
      <c r="L1196" s="129"/>
      <c r="M1196" s="114" t="str">
        <f>IF(Main[[#This Row],[Tech Start Date]]&lt;1/1/1990,"",IF(Main[[#This Row],[Class]]="C",WORKDAY(Main[[#This Row],[Tech Start Date]],9),IF(Main[[#This Row],[Class]]="B", WORKDAY(Main[[#This Row],[Tech Start Date]],6),IF(Main[[#This Row],[Class]]="A",WORKDAY(Main[[#This Row],[Tech Start Date]],2),""))))</f>
        <v/>
      </c>
      <c r="N1196" s="114" t="str">
        <f>IF(Main[[#This Row],[Tech Start Date]]&lt;1/1/1990,"",IF(Main[[#This Row],[Class]]="C",WORKDAY(Main[[#This Row],[Tech Start Date]],19),IF(Main[[#This Row],[Class]]="B", WORKDAY(Main[[#This Row],[Tech Start Date]],12),IF(Main[[#This Row],[Class]]="A",WORKDAY(Main[[#This Row],[Tech Start Date]],4),""))))</f>
        <v/>
      </c>
      <c r="O1196" s="114" t="str">
        <f>IF(Main[[#This Row],[Tech Start Date]]&lt;1/1/1990,"",IF(Main[[#This Row],[Class]]="C",WORKDAY(Main[[#This Row],[Tech Start Date]],23),IF(Main[[#This Row],[Class]]="B", WORKDAY(Main[[#This Row],[Tech Start Date]],15),IF(Main[[#This Row],[Class]]="A",WORKDAY(Main[[#This Row],[Tech Start Date]],5),""))))</f>
        <v/>
      </c>
      <c r="P1196" s="114" t="str">
        <f>IF(Main[[#This Row],[Tech Start Date]]&lt;1/1/1990,"",IF(Main[[#This Row],[Class]]="C",WORKDAY(Main[[#This Row],[Tech Start Date]],28),IF(Main[[#This Row],[Class]]="B", WORKDAY(Main[[#This Row],[Tech Start Date]],19),IF(Main[[#This Row],[Class]]="A",WORKDAY(Main[[#This Row],[Tech Start Date]],9),""))))</f>
        <v/>
      </c>
      <c r="Q1196" s="129"/>
      <c r="R1196" s="129"/>
      <c r="S1196" s="139" t="s">
        <v>6</v>
      </c>
      <c r="T1196" s="115" t="s">
        <v>4</v>
      </c>
      <c r="U1196" s="139" t="s">
        <v>14</v>
      </c>
      <c r="V1196" s="139" t="s">
        <v>1924</v>
      </c>
      <c r="W1196" s="139" t="s">
        <v>1918</v>
      </c>
      <c r="X1196" s="139" t="s">
        <v>102</v>
      </c>
      <c r="Y1196" s="112" t="s">
        <v>3129</v>
      </c>
      <c r="Z1196" s="112" t="s">
        <v>4</v>
      </c>
      <c r="AA1196" s="139" t="s">
        <v>3423</v>
      </c>
    </row>
    <row r="1197" spans="1:27" ht="17.25" customHeight="1">
      <c r="A1197" s="69" t="str">
        <f>IF(priority(Main[[#This Row],[Comments]])&lt;&gt;0, priority(Main[[#This Row],[Comments]]),"")</f>
        <v/>
      </c>
      <c r="B1197" s="63" t="s">
        <v>1735</v>
      </c>
      <c r="C1197" s="148" t="s">
        <v>4</v>
      </c>
      <c r="D1197" s="113" t="s">
        <v>3275</v>
      </c>
      <c r="E1197" s="129">
        <v>40540.606365740743</v>
      </c>
      <c r="F1197" s="129"/>
      <c r="G1197" s="69" t="str">
        <f>IF(stdProdLT(Main[[#This Row],[Comments]])=0.1,"N/A",IF(stdProdLT(Main[[#This Row],[Comments]])=0,"",stdProdLT(Main[[#This Row],[Comments]])))</f>
        <v/>
      </c>
      <c r="H1197" s="138" t="str">
        <f>IF(Main[[#This Row],[In Stock Date]]="N/A", "N/A",IF(AND(Main[[#This Row],[In Stock Date]]&lt;&gt;"",Main[[#This Row],[Revised Due Date]]&lt;&gt;"",Main[[#This Row],[In Stock Date]]&lt;&gt;""),Main[[#This Row],[In Stock Date]]-Main[[#This Row],[Revised Due Date]],""))</f>
        <v/>
      </c>
      <c r="I1197" s="139" t="s">
        <v>1976</v>
      </c>
      <c r="J1197" s="139" t="s">
        <v>28</v>
      </c>
      <c r="K1197" s="139" t="s">
        <v>1926</v>
      </c>
      <c r="L1197" s="129"/>
      <c r="M1197" s="114" t="str">
        <f>IF(Main[[#This Row],[Tech Start Date]]&lt;1/1/1990,"",IF(Main[[#This Row],[Class]]="C",WORKDAY(Main[[#This Row],[Tech Start Date]],9),IF(Main[[#This Row],[Class]]="B", WORKDAY(Main[[#This Row],[Tech Start Date]],6),IF(Main[[#This Row],[Class]]="A",WORKDAY(Main[[#This Row],[Tech Start Date]],2),""))))</f>
        <v/>
      </c>
      <c r="N1197" s="114" t="str">
        <f>IF(Main[[#This Row],[Tech Start Date]]&lt;1/1/1990,"",IF(Main[[#This Row],[Class]]="C",WORKDAY(Main[[#This Row],[Tech Start Date]],19),IF(Main[[#This Row],[Class]]="B", WORKDAY(Main[[#This Row],[Tech Start Date]],12),IF(Main[[#This Row],[Class]]="A",WORKDAY(Main[[#This Row],[Tech Start Date]],4),""))))</f>
        <v/>
      </c>
      <c r="O1197" s="114" t="str">
        <f>IF(Main[[#This Row],[Tech Start Date]]&lt;1/1/1990,"",IF(Main[[#This Row],[Class]]="C",WORKDAY(Main[[#This Row],[Tech Start Date]],23),IF(Main[[#This Row],[Class]]="B", WORKDAY(Main[[#This Row],[Tech Start Date]],15),IF(Main[[#This Row],[Class]]="A",WORKDAY(Main[[#This Row],[Tech Start Date]],5),""))))</f>
        <v/>
      </c>
      <c r="P1197" s="114" t="str">
        <f>IF(Main[[#This Row],[Tech Start Date]]&lt;1/1/1990,"",IF(Main[[#This Row],[Class]]="C",WORKDAY(Main[[#This Row],[Tech Start Date]],28),IF(Main[[#This Row],[Class]]="B", WORKDAY(Main[[#This Row],[Tech Start Date]],19),IF(Main[[#This Row],[Class]]="A",WORKDAY(Main[[#This Row],[Tech Start Date]],9),""))))</f>
        <v/>
      </c>
      <c r="Q1197" s="129"/>
      <c r="R1197" s="129">
        <v>40875</v>
      </c>
      <c r="S1197" s="139" t="s">
        <v>17</v>
      </c>
      <c r="T1197" s="115" t="s">
        <v>4</v>
      </c>
      <c r="U1197" s="139" t="s">
        <v>29</v>
      </c>
      <c r="V1197" s="139" t="s">
        <v>1917</v>
      </c>
      <c r="W1197" s="139" t="s">
        <v>1919</v>
      </c>
      <c r="X1197" s="139" t="s">
        <v>553</v>
      </c>
      <c r="Y1197" s="112" t="s">
        <v>2952</v>
      </c>
      <c r="Z1197" s="112" t="s">
        <v>652</v>
      </c>
      <c r="AA1197" s="139" t="s">
        <v>553</v>
      </c>
    </row>
    <row r="1198" spans="1:27" ht="17.25" customHeight="1">
      <c r="A1198" s="69" t="str">
        <f>IF(priority(Main[[#This Row],[Comments]])&lt;&gt;0, priority(Main[[#This Row],[Comments]]),"")</f>
        <v/>
      </c>
      <c r="B1198" s="63" t="s">
        <v>1296</v>
      </c>
      <c r="C1198" s="148" t="s">
        <v>4</v>
      </c>
      <c r="D1198" s="113" t="s">
        <v>369</v>
      </c>
      <c r="E1198" s="129">
        <v>40610.689421296294</v>
      </c>
      <c r="F1198" s="129"/>
      <c r="G1198" s="69" t="str">
        <f>IF(stdProdLT(Main[[#This Row],[Comments]])=0.1,"N/A",IF(stdProdLT(Main[[#This Row],[Comments]])=0,"",stdProdLT(Main[[#This Row],[Comments]])))</f>
        <v/>
      </c>
      <c r="H1198" s="138" t="str">
        <f>IF(Main[[#This Row],[In Stock Date]]="N/A", "N/A",IF(AND(Main[[#This Row],[In Stock Date]]&lt;&gt;"",Main[[#This Row],[Revised Due Date]]&lt;&gt;"",Main[[#This Row],[In Stock Date]]&lt;&gt;""),Main[[#This Row],[In Stock Date]]-Main[[#This Row],[Revised Due Date]],""))</f>
        <v/>
      </c>
      <c r="I1198" s="139" t="s">
        <v>239</v>
      </c>
      <c r="J1198" s="139" t="s">
        <v>28</v>
      </c>
      <c r="K1198" s="139" t="s">
        <v>1923</v>
      </c>
      <c r="L1198" s="129"/>
      <c r="M1198" s="114" t="str">
        <f>IF(Main[[#This Row],[Tech Start Date]]&lt;1/1/1990,"",IF(Main[[#This Row],[Class]]="C",WORKDAY(Main[[#This Row],[Tech Start Date]],9),IF(Main[[#This Row],[Class]]="B", WORKDAY(Main[[#This Row],[Tech Start Date]],6),IF(Main[[#This Row],[Class]]="A",WORKDAY(Main[[#This Row],[Tech Start Date]],2),""))))</f>
        <v/>
      </c>
      <c r="N1198" s="114" t="str">
        <f>IF(Main[[#This Row],[Tech Start Date]]&lt;1/1/1990,"",IF(Main[[#This Row],[Class]]="C",WORKDAY(Main[[#This Row],[Tech Start Date]],19),IF(Main[[#This Row],[Class]]="B", WORKDAY(Main[[#This Row],[Tech Start Date]],12),IF(Main[[#This Row],[Class]]="A",WORKDAY(Main[[#This Row],[Tech Start Date]],4),""))))</f>
        <v/>
      </c>
      <c r="O1198" s="114" t="str">
        <f>IF(Main[[#This Row],[Tech Start Date]]&lt;1/1/1990,"",IF(Main[[#This Row],[Class]]="C",WORKDAY(Main[[#This Row],[Tech Start Date]],23),IF(Main[[#This Row],[Class]]="B", WORKDAY(Main[[#This Row],[Tech Start Date]],15),IF(Main[[#This Row],[Class]]="A",WORKDAY(Main[[#This Row],[Tech Start Date]],5),""))))</f>
        <v/>
      </c>
      <c r="P1198" s="114" t="str">
        <f>IF(Main[[#This Row],[Tech Start Date]]&lt;1/1/1990,"",IF(Main[[#This Row],[Class]]="C",WORKDAY(Main[[#This Row],[Tech Start Date]],28),IF(Main[[#This Row],[Class]]="B", WORKDAY(Main[[#This Row],[Tech Start Date]],19),IF(Main[[#This Row],[Class]]="A",WORKDAY(Main[[#This Row],[Tech Start Date]],9),""))))</f>
        <v/>
      </c>
      <c r="Q1198" s="129">
        <v>40695</v>
      </c>
      <c r="R1198" s="129"/>
      <c r="S1198" s="139" t="s">
        <v>6</v>
      </c>
      <c r="T1198" s="115" t="s">
        <v>4</v>
      </c>
      <c r="U1198" s="139" t="s">
        <v>29</v>
      </c>
      <c r="V1198" s="139" t="s">
        <v>1917</v>
      </c>
      <c r="W1198" s="139" t="s">
        <v>1916</v>
      </c>
      <c r="X1198" s="139" t="s">
        <v>553</v>
      </c>
      <c r="Y1198" s="112" t="s">
        <v>2952</v>
      </c>
      <c r="Z1198" s="112" t="s">
        <v>306</v>
      </c>
      <c r="AA1198" s="139" t="s">
        <v>553</v>
      </c>
    </row>
    <row r="1199" spans="1:27" ht="17.25" customHeight="1">
      <c r="A1199" s="69" t="str">
        <f>IF(priority(Main[[#This Row],[Comments]])&lt;&gt;0, priority(Main[[#This Row],[Comments]]),"")</f>
        <v/>
      </c>
      <c r="B1199" s="63" t="s">
        <v>2545</v>
      </c>
      <c r="C1199" s="148" t="s">
        <v>2546</v>
      </c>
      <c r="D1199" s="113" t="s">
        <v>2547</v>
      </c>
      <c r="E1199" s="129"/>
      <c r="F1199" s="129"/>
      <c r="G1199" s="69" t="str">
        <f>IF(stdProdLT(Main[[#This Row],[Comments]])=0.1,"N/A",IF(stdProdLT(Main[[#This Row],[Comments]])=0,"",stdProdLT(Main[[#This Row],[Comments]])))</f>
        <v/>
      </c>
      <c r="H1199" s="138" t="str">
        <f>IF(Main[[#This Row],[In Stock Date]]="N/A", "N/A",IF(AND(Main[[#This Row],[In Stock Date]]&lt;&gt;"",Main[[#This Row],[Revised Due Date]]&lt;&gt;"",Main[[#This Row],[In Stock Date]]&lt;&gt;""),Main[[#This Row],[In Stock Date]]-Main[[#This Row],[Revised Due Date]],""))</f>
        <v/>
      </c>
      <c r="I1199" s="139" t="s">
        <v>4</v>
      </c>
      <c r="J1199" s="139" t="s">
        <v>4</v>
      </c>
      <c r="K1199" s="139" t="s">
        <v>4</v>
      </c>
      <c r="L1199" s="129"/>
      <c r="M1199" s="114" t="str">
        <f>IF(Main[[#This Row],[Tech Start Date]]&lt;1/1/1990,"",IF(Main[[#This Row],[Class]]="C",WORKDAY(Main[[#This Row],[Tech Start Date]],9),IF(Main[[#This Row],[Class]]="B", WORKDAY(Main[[#This Row],[Tech Start Date]],6),IF(Main[[#This Row],[Class]]="A",WORKDAY(Main[[#This Row],[Tech Start Date]],2),""))))</f>
        <v/>
      </c>
      <c r="N1199" s="114" t="str">
        <f>IF(Main[[#This Row],[Tech Start Date]]&lt;1/1/1990,"",IF(Main[[#This Row],[Class]]="C",WORKDAY(Main[[#This Row],[Tech Start Date]],19),IF(Main[[#This Row],[Class]]="B", WORKDAY(Main[[#This Row],[Tech Start Date]],12),IF(Main[[#This Row],[Class]]="A",WORKDAY(Main[[#This Row],[Tech Start Date]],4),""))))</f>
        <v/>
      </c>
      <c r="O1199" s="114" t="str">
        <f>IF(Main[[#This Row],[Tech Start Date]]&lt;1/1/1990,"",IF(Main[[#This Row],[Class]]="C",WORKDAY(Main[[#This Row],[Tech Start Date]],23),IF(Main[[#This Row],[Class]]="B", WORKDAY(Main[[#This Row],[Tech Start Date]],15),IF(Main[[#This Row],[Class]]="A",WORKDAY(Main[[#This Row],[Tech Start Date]],5),""))))</f>
        <v/>
      </c>
      <c r="P1199" s="114" t="str">
        <f>IF(Main[[#This Row],[Tech Start Date]]&lt;1/1/1990,"",IF(Main[[#This Row],[Class]]="C",WORKDAY(Main[[#This Row],[Tech Start Date]],28),IF(Main[[#This Row],[Class]]="B", WORKDAY(Main[[#This Row],[Tech Start Date]],19),IF(Main[[#This Row],[Class]]="A",WORKDAY(Main[[#This Row],[Tech Start Date]],9),""))))</f>
        <v/>
      </c>
      <c r="Q1199" s="129"/>
      <c r="R1199" s="129"/>
      <c r="S1199" s="139" t="s">
        <v>11</v>
      </c>
      <c r="T1199" s="115" t="s">
        <v>4</v>
      </c>
      <c r="U1199" s="139" t="s">
        <v>14</v>
      </c>
      <c r="V1199" s="139" t="s">
        <v>1915</v>
      </c>
      <c r="W1199" s="139" t="s">
        <v>1916</v>
      </c>
      <c r="X1199" s="139" t="s">
        <v>2816</v>
      </c>
      <c r="Y1199" s="112" t="s">
        <v>2993</v>
      </c>
      <c r="Z1199" s="112" t="s">
        <v>4</v>
      </c>
      <c r="AA1199" s="139" t="s">
        <v>3462</v>
      </c>
    </row>
    <row r="1200" spans="1:27" ht="17.25" customHeight="1">
      <c r="A1200" s="69" t="str">
        <f>IF(priority(Main[[#This Row],[Comments]])&lt;&gt;0, priority(Main[[#This Row],[Comments]]),"")</f>
        <v/>
      </c>
      <c r="B1200" s="63" t="s">
        <v>1321</v>
      </c>
      <c r="C1200" s="148" t="s">
        <v>4</v>
      </c>
      <c r="D1200" s="113" t="s">
        <v>3670</v>
      </c>
      <c r="E1200" s="129">
        <v>40585.595960648148</v>
      </c>
      <c r="F1200" s="129"/>
      <c r="G1200" s="69" t="str">
        <f>IF(stdProdLT(Main[[#This Row],[Comments]])=0.1,"N/A",IF(stdProdLT(Main[[#This Row],[Comments]])=0,"",stdProdLT(Main[[#This Row],[Comments]])))</f>
        <v/>
      </c>
      <c r="H1200" s="138" t="str">
        <f>IF(Main[[#This Row],[In Stock Date]]="N/A", "N/A",IF(AND(Main[[#This Row],[In Stock Date]]&lt;&gt;"",Main[[#This Row],[Revised Due Date]]&lt;&gt;"",Main[[#This Row],[In Stock Date]]&lt;&gt;""),Main[[#This Row],[In Stock Date]]-Main[[#This Row],[Revised Due Date]],""))</f>
        <v/>
      </c>
      <c r="I1200" s="139" t="s">
        <v>74</v>
      </c>
      <c r="J1200" s="139" t="s">
        <v>4</v>
      </c>
      <c r="K1200" s="140" t="s">
        <v>4</v>
      </c>
      <c r="L1200" s="129"/>
      <c r="M1200" s="114" t="str">
        <f>IF(Main[[#This Row],[Tech Start Date]]&lt;1/1/1990,"",IF(Main[[#This Row],[Class]]="C",WORKDAY(Main[[#This Row],[Tech Start Date]],9),IF(Main[[#This Row],[Class]]="B", WORKDAY(Main[[#This Row],[Tech Start Date]],6),IF(Main[[#This Row],[Class]]="A",WORKDAY(Main[[#This Row],[Tech Start Date]],2),""))))</f>
        <v/>
      </c>
      <c r="N1200" s="114" t="str">
        <f>IF(Main[[#This Row],[Tech Start Date]]&lt;1/1/1990,"",IF(Main[[#This Row],[Class]]="C",WORKDAY(Main[[#This Row],[Tech Start Date]],19),IF(Main[[#This Row],[Class]]="B", WORKDAY(Main[[#This Row],[Tech Start Date]],12),IF(Main[[#This Row],[Class]]="A",WORKDAY(Main[[#This Row],[Tech Start Date]],4),""))))</f>
        <v/>
      </c>
      <c r="O1200" s="114" t="str">
        <f>IF(Main[[#This Row],[Tech Start Date]]&lt;1/1/1990,"",IF(Main[[#This Row],[Class]]="C",WORKDAY(Main[[#This Row],[Tech Start Date]],23),IF(Main[[#This Row],[Class]]="B", WORKDAY(Main[[#This Row],[Tech Start Date]],15),IF(Main[[#This Row],[Class]]="A",WORKDAY(Main[[#This Row],[Tech Start Date]],5),""))))</f>
        <v/>
      </c>
      <c r="P1200" s="114" t="str">
        <f>IF(Main[[#This Row],[Tech Start Date]]&lt;1/1/1990,"",IF(Main[[#This Row],[Class]]="C",WORKDAY(Main[[#This Row],[Tech Start Date]],28),IF(Main[[#This Row],[Class]]="B", WORKDAY(Main[[#This Row],[Tech Start Date]],19),IF(Main[[#This Row],[Class]]="A",WORKDAY(Main[[#This Row],[Tech Start Date]],9),""))))</f>
        <v/>
      </c>
      <c r="Q1200" s="129">
        <v>40592</v>
      </c>
      <c r="R1200" s="129"/>
      <c r="S1200" s="139" t="s">
        <v>6</v>
      </c>
      <c r="T1200" s="115" t="s">
        <v>4</v>
      </c>
      <c r="U1200" s="139" t="s">
        <v>29</v>
      </c>
      <c r="V1200" s="139" t="s">
        <v>1917</v>
      </c>
      <c r="W1200" s="139" t="s">
        <v>1918</v>
      </c>
      <c r="X1200" s="139" t="s">
        <v>74</v>
      </c>
      <c r="Y1200" s="112" t="s">
        <v>3031</v>
      </c>
      <c r="Z1200" s="112" t="s">
        <v>415</v>
      </c>
      <c r="AA1200" s="139" t="s">
        <v>74</v>
      </c>
    </row>
    <row r="1201" spans="1:27" ht="17.25" customHeight="1">
      <c r="A1201" s="69" t="str">
        <f>IF(priority(Main[[#This Row],[Comments]])&lt;&gt;0, priority(Main[[#This Row],[Comments]]),"")</f>
        <v/>
      </c>
      <c r="B1201" s="63" t="s">
        <v>2333</v>
      </c>
      <c r="C1201" s="148" t="s">
        <v>4</v>
      </c>
      <c r="D1201" s="113" t="s">
        <v>2334</v>
      </c>
      <c r="E1201" s="129"/>
      <c r="F1201" s="129"/>
      <c r="G1201" s="69" t="str">
        <f>IF(stdProdLT(Main[[#This Row],[Comments]])=0.1,"N/A",IF(stdProdLT(Main[[#This Row],[Comments]])=0,"",stdProdLT(Main[[#This Row],[Comments]])))</f>
        <v/>
      </c>
      <c r="H1201" s="138" t="str">
        <f>IF(Main[[#This Row],[In Stock Date]]="N/A", "N/A",IF(AND(Main[[#This Row],[In Stock Date]]&lt;&gt;"",Main[[#This Row],[Revised Due Date]]&lt;&gt;"",Main[[#This Row],[In Stock Date]]&lt;&gt;""),Main[[#This Row],[In Stock Date]]-Main[[#This Row],[Revised Due Date]],""))</f>
        <v/>
      </c>
      <c r="I1201" s="139" t="s">
        <v>4</v>
      </c>
      <c r="J1201" s="139" t="s">
        <v>4</v>
      </c>
      <c r="K1201" s="139" t="s">
        <v>4</v>
      </c>
      <c r="L1201" s="129"/>
      <c r="M1201" s="114" t="str">
        <f>IF(Main[[#This Row],[Tech Start Date]]&lt;1/1/1990,"",IF(Main[[#This Row],[Class]]="C",WORKDAY(Main[[#This Row],[Tech Start Date]],9),IF(Main[[#This Row],[Class]]="B", WORKDAY(Main[[#This Row],[Tech Start Date]],6),IF(Main[[#This Row],[Class]]="A",WORKDAY(Main[[#This Row],[Tech Start Date]],2),""))))</f>
        <v/>
      </c>
      <c r="N1201" s="114" t="str">
        <f>IF(Main[[#This Row],[Tech Start Date]]&lt;1/1/1990,"",IF(Main[[#This Row],[Class]]="C",WORKDAY(Main[[#This Row],[Tech Start Date]],19),IF(Main[[#This Row],[Class]]="B", WORKDAY(Main[[#This Row],[Tech Start Date]],12),IF(Main[[#This Row],[Class]]="A",WORKDAY(Main[[#This Row],[Tech Start Date]],4),""))))</f>
        <v/>
      </c>
      <c r="O1201" s="114" t="str">
        <f>IF(Main[[#This Row],[Tech Start Date]]&lt;1/1/1990,"",IF(Main[[#This Row],[Class]]="C",WORKDAY(Main[[#This Row],[Tech Start Date]],23),IF(Main[[#This Row],[Class]]="B", WORKDAY(Main[[#This Row],[Tech Start Date]],15),IF(Main[[#This Row],[Class]]="A",WORKDAY(Main[[#This Row],[Tech Start Date]],5),""))))</f>
        <v/>
      </c>
      <c r="P1201" s="114" t="str">
        <f>IF(Main[[#This Row],[Tech Start Date]]&lt;1/1/1990,"",IF(Main[[#This Row],[Class]]="C",WORKDAY(Main[[#This Row],[Tech Start Date]],28),IF(Main[[#This Row],[Class]]="B", WORKDAY(Main[[#This Row],[Tech Start Date]],19),IF(Main[[#This Row],[Class]]="A",WORKDAY(Main[[#This Row],[Tech Start Date]],9),""))))</f>
        <v/>
      </c>
      <c r="Q1201" s="129"/>
      <c r="R1201" s="129"/>
      <c r="S1201" s="139" t="s">
        <v>11</v>
      </c>
      <c r="T1201" s="115" t="s">
        <v>4</v>
      </c>
      <c r="U1201" s="139" t="s">
        <v>14</v>
      </c>
      <c r="V1201" s="139" t="s">
        <v>1914</v>
      </c>
      <c r="W1201" s="139" t="s">
        <v>1922</v>
      </c>
      <c r="X1201" s="139" t="s">
        <v>306</v>
      </c>
      <c r="Y1201" s="112" t="s">
        <v>2941</v>
      </c>
      <c r="Z1201" s="112" t="s">
        <v>4</v>
      </c>
      <c r="AA1201" s="139" t="s">
        <v>306</v>
      </c>
    </row>
    <row r="1202" spans="1:27" ht="17.25" customHeight="1">
      <c r="A1202" s="69" t="str">
        <f>IF(priority(Main[[#This Row],[Comments]])&lt;&gt;0, priority(Main[[#This Row],[Comments]]),"")</f>
        <v/>
      </c>
      <c r="B1202" s="63" t="s">
        <v>2548</v>
      </c>
      <c r="C1202" s="148" t="s">
        <v>4</v>
      </c>
      <c r="D1202" s="113" t="s">
        <v>2769</v>
      </c>
      <c r="E1202" s="129">
        <v>40870.465879629628</v>
      </c>
      <c r="F1202" s="129"/>
      <c r="G1202" s="69" t="str">
        <f>IF(stdProdLT(Main[[#This Row],[Comments]])=0.1,"N/A",IF(stdProdLT(Main[[#This Row],[Comments]])=0,"",stdProdLT(Main[[#This Row],[Comments]])))</f>
        <v/>
      </c>
      <c r="H1202" s="138" t="str">
        <f>IF(Main[[#This Row],[In Stock Date]]="N/A", "N/A",IF(AND(Main[[#This Row],[In Stock Date]]&lt;&gt;"",Main[[#This Row],[Revised Due Date]]&lt;&gt;"",Main[[#This Row],[In Stock Date]]&lt;&gt;""),Main[[#This Row],[In Stock Date]]-Main[[#This Row],[Revised Due Date]],""))</f>
        <v/>
      </c>
      <c r="I1202" s="139" t="s">
        <v>429</v>
      </c>
      <c r="J1202" s="139" t="s">
        <v>28</v>
      </c>
      <c r="K1202" s="139" t="s">
        <v>1923</v>
      </c>
      <c r="L1202" s="129"/>
      <c r="M1202" s="114" t="str">
        <f>IF(Main[[#This Row],[Tech Start Date]]&lt;1/1/1990,"",IF(Main[[#This Row],[Class]]="C",WORKDAY(Main[[#This Row],[Tech Start Date]],9),IF(Main[[#This Row],[Class]]="B", WORKDAY(Main[[#This Row],[Tech Start Date]],6),IF(Main[[#This Row],[Class]]="A",WORKDAY(Main[[#This Row],[Tech Start Date]],2),""))))</f>
        <v/>
      </c>
      <c r="N1202" s="114" t="str">
        <f>IF(Main[[#This Row],[Tech Start Date]]&lt;1/1/1990,"",IF(Main[[#This Row],[Class]]="C",WORKDAY(Main[[#This Row],[Tech Start Date]],19),IF(Main[[#This Row],[Class]]="B", WORKDAY(Main[[#This Row],[Tech Start Date]],12),IF(Main[[#This Row],[Class]]="A",WORKDAY(Main[[#This Row],[Tech Start Date]],4),""))))</f>
        <v/>
      </c>
      <c r="O1202" s="114" t="str">
        <f>IF(Main[[#This Row],[Tech Start Date]]&lt;1/1/1990,"",IF(Main[[#This Row],[Class]]="C",WORKDAY(Main[[#This Row],[Tech Start Date]],23),IF(Main[[#This Row],[Class]]="B", WORKDAY(Main[[#This Row],[Tech Start Date]],15),IF(Main[[#This Row],[Class]]="A",WORKDAY(Main[[#This Row],[Tech Start Date]],5),""))))</f>
        <v/>
      </c>
      <c r="P1202" s="114" t="str">
        <f>IF(Main[[#This Row],[Tech Start Date]]&lt;1/1/1990,"",IF(Main[[#This Row],[Class]]="C",WORKDAY(Main[[#This Row],[Tech Start Date]],28),IF(Main[[#This Row],[Class]]="B", WORKDAY(Main[[#This Row],[Tech Start Date]],19),IF(Main[[#This Row],[Class]]="A",WORKDAY(Main[[#This Row],[Tech Start Date]],9),""))))</f>
        <v/>
      </c>
      <c r="Q1202" s="129">
        <v>40905</v>
      </c>
      <c r="R1202" s="129"/>
      <c r="S1202" s="139" t="s">
        <v>6</v>
      </c>
      <c r="T1202" s="115" t="s">
        <v>4</v>
      </c>
      <c r="U1202" s="139" t="s">
        <v>29</v>
      </c>
      <c r="V1202" s="139" t="s">
        <v>1917</v>
      </c>
      <c r="W1202" s="139" t="s">
        <v>1918</v>
      </c>
      <c r="X1202" s="139" t="s">
        <v>2051</v>
      </c>
      <c r="Y1202" s="112" t="s">
        <v>3060</v>
      </c>
      <c r="Z1202" s="112" t="s">
        <v>30</v>
      </c>
      <c r="AA1202" s="139" t="s">
        <v>2895</v>
      </c>
    </row>
    <row r="1203" spans="1:27" ht="17.25" customHeight="1">
      <c r="A1203" s="69" t="str">
        <f>IF(priority(Main[[#This Row],[Comments]])&lt;&gt;0, priority(Main[[#This Row],[Comments]]),"")</f>
        <v/>
      </c>
      <c r="B1203" s="63" t="s">
        <v>2514</v>
      </c>
      <c r="C1203" s="148" t="s">
        <v>4</v>
      </c>
      <c r="D1203" s="113" t="s">
        <v>2770</v>
      </c>
      <c r="E1203" s="129">
        <v>40870.466527777775</v>
      </c>
      <c r="F1203" s="129"/>
      <c r="G1203" s="69" t="str">
        <f>IF(stdProdLT(Main[[#This Row],[Comments]])=0.1,"N/A",IF(stdProdLT(Main[[#This Row],[Comments]])=0,"",stdProdLT(Main[[#This Row],[Comments]])))</f>
        <v/>
      </c>
      <c r="H1203" s="138" t="str">
        <f>IF(Main[[#This Row],[In Stock Date]]="N/A", "N/A",IF(AND(Main[[#This Row],[In Stock Date]]&lt;&gt;"",Main[[#This Row],[Revised Due Date]]&lt;&gt;"",Main[[#This Row],[In Stock Date]]&lt;&gt;""),Main[[#This Row],[In Stock Date]]-Main[[#This Row],[Revised Due Date]],""))</f>
        <v/>
      </c>
      <c r="I1203" s="139" t="s">
        <v>429</v>
      </c>
      <c r="J1203" s="139" t="s">
        <v>28</v>
      </c>
      <c r="K1203" s="139" t="s">
        <v>1923</v>
      </c>
      <c r="L1203" s="129"/>
      <c r="M1203" s="114" t="str">
        <f>IF(Main[[#This Row],[Tech Start Date]]&lt;1/1/1990,"",IF(Main[[#This Row],[Class]]="C",WORKDAY(Main[[#This Row],[Tech Start Date]],9),IF(Main[[#This Row],[Class]]="B", WORKDAY(Main[[#This Row],[Tech Start Date]],6),IF(Main[[#This Row],[Class]]="A",WORKDAY(Main[[#This Row],[Tech Start Date]],2),""))))</f>
        <v/>
      </c>
      <c r="N1203" s="114" t="str">
        <f>IF(Main[[#This Row],[Tech Start Date]]&lt;1/1/1990,"",IF(Main[[#This Row],[Class]]="C",WORKDAY(Main[[#This Row],[Tech Start Date]],19),IF(Main[[#This Row],[Class]]="B", WORKDAY(Main[[#This Row],[Tech Start Date]],12),IF(Main[[#This Row],[Class]]="A",WORKDAY(Main[[#This Row],[Tech Start Date]],4),""))))</f>
        <v/>
      </c>
      <c r="O1203" s="114" t="str">
        <f>IF(Main[[#This Row],[Tech Start Date]]&lt;1/1/1990,"",IF(Main[[#This Row],[Class]]="C",WORKDAY(Main[[#This Row],[Tech Start Date]],23),IF(Main[[#This Row],[Class]]="B", WORKDAY(Main[[#This Row],[Tech Start Date]],15),IF(Main[[#This Row],[Class]]="A",WORKDAY(Main[[#This Row],[Tech Start Date]],5),""))))</f>
        <v/>
      </c>
      <c r="P1203" s="114" t="str">
        <f>IF(Main[[#This Row],[Tech Start Date]]&lt;1/1/1990,"",IF(Main[[#This Row],[Class]]="C",WORKDAY(Main[[#This Row],[Tech Start Date]],28),IF(Main[[#This Row],[Class]]="B", WORKDAY(Main[[#This Row],[Tech Start Date]],19),IF(Main[[#This Row],[Class]]="A",WORKDAY(Main[[#This Row],[Tech Start Date]],9),""))))</f>
        <v/>
      </c>
      <c r="Q1203" s="129">
        <v>40905</v>
      </c>
      <c r="R1203" s="129"/>
      <c r="S1203" s="139" t="s">
        <v>6</v>
      </c>
      <c r="T1203" s="115" t="s">
        <v>4</v>
      </c>
      <c r="U1203" s="139" t="s">
        <v>29</v>
      </c>
      <c r="V1203" s="139" t="s">
        <v>1917</v>
      </c>
      <c r="W1203" s="139" t="s">
        <v>1918</v>
      </c>
      <c r="X1203" s="139" t="s">
        <v>2051</v>
      </c>
      <c r="Y1203" s="112" t="s">
        <v>3060</v>
      </c>
      <c r="Z1203" s="112" t="s">
        <v>30</v>
      </c>
      <c r="AA1203" s="139" t="s">
        <v>2895</v>
      </c>
    </row>
    <row r="1204" spans="1:27" ht="17.25" customHeight="1">
      <c r="A1204" s="69" t="str">
        <f>IF(priority(Main[[#This Row],[Comments]])&lt;&gt;0, priority(Main[[#This Row],[Comments]]),"")</f>
        <v/>
      </c>
      <c r="B1204" s="63" t="s">
        <v>3955</v>
      </c>
      <c r="C1204" s="148" t="s">
        <v>47</v>
      </c>
      <c r="D1204" s="113" t="s">
        <v>3956</v>
      </c>
      <c r="E1204" s="129">
        <v>40968.462013888886</v>
      </c>
      <c r="F1204" s="129"/>
      <c r="G1204" s="69" t="str">
        <f>IF(stdProdLT(Main[[#This Row],[Comments]])=0.1,"N/A",IF(stdProdLT(Main[[#This Row],[Comments]])=0,"",stdProdLT(Main[[#This Row],[Comments]])))</f>
        <v/>
      </c>
      <c r="H1204" s="138" t="str">
        <f>IF(Main[[#This Row],[In Stock Date]]="N/A", "N/A",IF(AND(Main[[#This Row],[In Stock Date]]&lt;&gt;"",Main[[#This Row],[Revised Due Date]]&lt;&gt;"",Main[[#This Row],[In Stock Date]]&lt;&gt;""),Main[[#This Row],[In Stock Date]]-Main[[#This Row],[Revised Due Date]],""))</f>
        <v/>
      </c>
      <c r="I1204" s="139" t="s">
        <v>4</v>
      </c>
      <c r="J1204" s="139" t="s">
        <v>4</v>
      </c>
      <c r="K1204" s="139" t="s">
        <v>4</v>
      </c>
      <c r="L1204" s="129"/>
      <c r="M1204" s="114" t="str">
        <f>IF(Main[[#This Row],[Tech Start Date]]&lt;1/1/1990,"",IF(Main[[#This Row],[Class]]="C",WORKDAY(Main[[#This Row],[Tech Start Date]],9),IF(Main[[#This Row],[Class]]="B", WORKDAY(Main[[#This Row],[Tech Start Date]],6),IF(Main[[#This Row],[Class]]="A",WORKDAY(Main[[#This Row],[Tech Start Date]],2),""))))</f>
        <v/>
      </c>
      <c r="N1204" s="114" t="str">
        <f>IF(Main[[#This Row],[Tech Start Date]]&lt;1/1/1990,"",IF(Main[[#This Row],[Class]]="C",WORKDAY(Main[[#This Row],[Tech Start Date]],19),IF(Main[[#This Row],[Class]]="B", WORKDAY(Main[[#This Row],[Tech Start Date]],12),IF(Main[[#This Row],[Class]]="A",WORKDAY(Main[[#This Row],[Tech Start Date]],4),""))))</f>
        <v/>
      </c>
      <c r="O1204" s="114" t="str">
        <f>IF(Main[[#This Row],[Tech Start Date]]&lt;1/1/1990,"",IF(Main[[#This Row],[Class]]="C",WORKDAY(Main[[#This Row],[Tech Start Date]],23),IF(Main[[#This Row],[Class]]="B", WORKDAY(Main[[#This Row],[Tech Start Date]],15),IF(Main[[#This Row],[Class]]="A",WORKDAY(Main[[#This Row],[Tech Start Date]],5),""))))</f>
        <v/>
      </c>
      <c r="P1204" s="114" t="str">
        <f>IF(Main[[#This Row],[Tech Start Date]]&lt;1/1/1990,"",IF(Main[[#This Row],[Class]]="C",WORKDAY(Main[[#This Row],[Tech Start Date]],28),IF(Main[[#This Row],[Class]]="B", WORKDAY(Main[[#This Row],[Tech Start Date]],19),IF(Main[[#This Row],[Class]]="A",WORKDAY(Main[[#This Row],[Tech Start Date]],9),""))))</f>
        <v/>
      </c>
      <c r="Q1204" s="129"/>
      <c r="R1204" s="129"/>
      <c r="S1204" s="139" t="s">
        <v>6</v>
      </c>
      <c r="T1204" s="115" t="s">
        <v>4</v>
      </c>
      <c r="U1204" s="139" t="s">
        <v>29</v>
      </c>
      <c r="V1204" s="139" t="s">
        <v>2283</v>
      </c>
      <c r="W1204" s="139" t="s">
        <v>1916</v>
      </c>
      <c r="X1204" s="139" t="s">
        <v>2865</v>
      </c>
      <c r="Y1204" s="112" t="s">
        <v>3010</v>
      </c>
      <c r="Z1204" s="112" t="s">
        <v>4</v>
      </c>
      <c r="AA1204" s="139" t="s">
        <v>2865</v>
      </c>
    </row>
    <row r="1205" spans="1:27" ht="17.25" customHeight="1">
      <c r="A1205" s="69" t="str">
        <f>IF(priority(Main[[#This Row],[Comments]])&lt;&gt;0, priority(Main[[#This Row],[Comments]]),"")</f>
        <v/>
      </c>
      <c r="B1205" s="63" t="s">
        <v>3677</v>
      </c>
      <c r="C1205" s="148" t="s">
        <v>4</v>
      </c>
      <c r="D1205" s="113" t="s">
        <v>3678</v>
      </c>
      <c r="E1205" s="129">
        <v>40966.546724537038</v>
      </c>
      <c r="F1205" s="129"/>
      <c r="G1205" s="69" t="str">
        <f>IF(stdProdLT(Main[[#This Row],[Comments]])=0.1,"N/A",IF(stdProdLT(Main[[#This Row],[Comments]])=0,"",stdProdLT(Main[[#This Row],[Comments]])))</f>
        <v/>
      </c>
      <c r="H1205" s="138" t="str">
        <f>IF(Main[[#This Row],[In Stock Date]]="N/A", "N/A",IF(AND(Main[[#This Row],[In Stock Date]]&lt;&gt;"",Main[[#This Row],[Revised Due Date]]&lt;&gt;"",Main[[#This Row],[In Stock Date]]&lt;&gt;""),Main[[#This Row],[In Stock Date]]-Main[[#This Row],[Revised Due Date]],""))</f>
        <v/>
      </c>
      <c r="I1205" s="139" t="s">
        <v>4</v>
      </c>
      <c r="J1205" s="139" t="s">
        <v>4</v>
      </c>
      <c r="K1205" s="140" t="s">
        <v>4</v>
      </c>
      <c r="L1205" s="129"/>
      <c r="M1205" s="114" t="str">
        <f>IF(Main[[#This Row],[Tech Start Date]]&lt;1/1/1990,"",IF(Main[[#This Row],[Class]]="C",WORKDAY(Main[[#This Row],[Tech Start Date]],9),IF(Main[[#This Row],[Class]]="B", WORKDAY(Main[[#This Row],[Tech Start Date]],6),IF(Main[[#This Row],[Class]]="A",WORKDAY(Main[[#This Row],[Tech Start Date]],2),""))))</f>
        <v/>
      </c>
      <c r="N1205" s="114" t="str">
        <f>IF(Main[[#This Row],[Tech Start Date]]&lt;1/1/1990,"",IF(Main[[#This Row],[Class]]="C",WORKDAY(Main[[#This Row],[Tech Start Date]],19),IF(Main[[#This Row],[Class]]="B", WORKDAY(Main[[#This Row],[Tech Start Date]],12),IF(Main[[#This Row],[Class]]="A",WORKDAY(Main[[#This Row],[Tech Start Date]],4),""))))</f>
        <v/>
      </c>
      <c r="O1205" s="114" t="str">
        <f>IF(Main[[#This Row],[Tech Start Date]]&lt;1/1/1990,"",IF(Main[[#This Row],[Class]]="C",WORKDAY(Main[[#This Row],[Tech Start Date]],23),IF(Main[[#This Row],[Class]]="B", WORKDAY(Main[[#This Row],[Tech Start Date]],15),IF(Main[[#This Row],[Class]]="A",WORKDAY(Main[[#This Row],[Tech Start Date]],5),""))))</f>
        <v/>
      </c>
      <c r="P1205" s="114" t="str">
        <f>IF(Main[[#This Row],[Tech Start Date]]&lt;1/1/1990,"",IF(Main[[#This Row],[Class]]="C",WORKDAY(Main[[#This Row],[Tech Start Date]],28),IF(Main[[#This Row],[Class]]="B", WORKDAY(Main[[#This Row],[Tech Start Date]],19),IF(Main[[#This Row],[Class]]="A",WORKDAY(Main[[#This Row],[Tech Start Date]],9),""))))</f>
        <v/>
      </c>
      <c r="Q1205" s="129"/>
      <c r="R1205" s="129"/>
      <c r="S1205" s="139" t="s">
        <v>6</v>
      </c>
      <c r="T1205" s="115" t="s">
        <v>4</v>
      </c>
      <c r="U1205" s="139" t="s">
        <v>29</v>
      </c>
      <c r="V1205" s="139" t="s">
        <v>1917</v>
      </c>
      <c r="W1205" s="139" t="s">
        <v>1918</v>
      </c>
      <c r="X1205" s="139" t="s">
        <v>102</v>
      </c>
      <c r="Y1205" s="112" t="s">
        <v>3679</v>
      </c>
      <c r="Z1205" s="112" t="s">
        <v>4</v>
      </c>
      <c r="AA1205" s="139" t="s">
        <v>81</v>
      </c>
    </row>
    <row r="1206" spans="1:27" ht="17.25" customHeight="1">
      <c r="A1206" s="69" t="str">
        <f>IF(priority(Main[[#This Row],[Comments]])&lt;&gt;0, priority(Main[[#This Row],[Comments]]),"")</f>
        <v/>
      </c>
      <c r="B1206" s="63" t="s">
        <v>3988</v>
      </c>
      <c r="C1206" s="148" t="s">
        <v>58</v>
      </c>
      <c r="D1206" s="62" t="s">
        <v>3989</v>
      </c>
      <c r="E1206" s="129">
        <v>40968.615104166667</v>
      </c>
      <c r="F1206" s="129">
        <v>41108</v>
      </c>
      <c r="G1206" s="69" t="str">
        <f>IF(stdProdLT(Main[[#This Row],[Comments]])=0.1,"N/A",IF(stdProdLT(Main[[#This Row],[Comments]])=0,"",stdProdLT(Main[[#This Row],[Comments]])))</f>
        <v/>
      </c>
      <c r="H1206" s="138" t="str">
        <f>IF(Main[[#This Row],[In Stock Date]]="N/A", "N/A",IF(AND(Main[[#This Row],[In Stock Date]]&lt;&gt;"",Main[[#This Row],[Revised Due Date]]&lt;&gt;"",Main[[#This Row],[In Stock Date]]&lt;&gt;""),Main[[#This Row],[In Stock Date]]-Main[[#This Row],[Revised Due Date]],""))</f>
        <v/>
      </c>
      <c r="I1206" s="139" t="s">
        <v>4</v>
      </c>
      <c r="J1206" s="139" t="s">
        <v>75</v>
      </c>
      <c r="K1206" s="139" t="s">
        <v>4</v>
      </c>
      <c r="L1206" s="129"/>
      <c r="M1206" s="114" t="str">
        <f>IF(Main[[#This Row],[Tech Start Date]]&lt;1/1/1990,"",IF(Main[[#This Row],[Class]]="C",WORKDAY(Main[[#This Row],[Tech Start Date]],9),IF(Main[[#This Row],[Class]]="B", WORKDAY(Main[[#This Row],[Tech Start Date]],6),IF(Main[[#This Row],[Class]]="A",WORKDAY(Main[[#This Row],[Tech Start Date]],2),""))))</f>
        <v/>
      </c>
      <c r="N1206" s="114" t="str">
        <f>IF(Main[[#This Row],[Tech Start Date]]&lt;1/1/1990,"",IF(Main[[#This Row],[Class]]="C",WORKDAY(Main[[#This Row],[Tech Start Date]],19),IF(Main[[#This Row],[Class]]="B", WORKDAY(Main[[#This Row],[Tech Start Date]],12),IF(Main[[#This Row],[Class]]="A",WORKDAY(Main[[#This Row],[Tech Start Date]],4),""))))</f>
        <v/>
      </c>
      <c r="O1206" s="114" t="str">
        <f>IF(Main[[#This Row],[Tech Start Date]]&lt;1/1/1990,"",IF(Main[[#This Row],[Class]]="C",WORKDAY(Main[[#This Row],[Tech Start Date]],23),IF(Main[[#This Row],[Class]]="B", WORKDAY(Main[[#This Row],[Tech Start Date]],15),IF(Main[[#This Row],[Class]]="A",WORKDAY(Main[[#This Row],[Tech Start Date]],5),""))))</f>
        <v/>
      </c>
      <c r="P1206" s="114" t="str">
        <f>IF(Main[[#This Row],[Tech Start Date]]&lt;1/1/1990,"",IF(Main[[#This Row],[Class]]="C",WORKDAY(Main[[#This Row],[Tech Start Date]],28),IF(Main[[#This Row],[Class]]="B", WORKDAY(Main[[#This Row],[Tech Start Date]],19),IF(Main[[#This Row],[Class]]="A",WORKDAY(Main[[#This Row],[Tech Start Date]],9),""))))</f>
        <v/>
      </c>
      <c r="Q1206" s="129">
        <v>40996</v>
      </c>
      <c r="R1206" s="129"/>
      <c r="S1206" s="139" t="s">
        <v>11</v>
      </c>
      <c r="T1206" s="115" t="s">
        <v>4</v>
      </c>
      <c r="U1206" s="139" t="s">
        <v>7</v>
      </c>
      <c r="V1206" s="139" t="s">
        <v>1914</v>
      </c>
      <c r="W1206" s="139" t="s">
        <v>1925</v>
      </c>
      <c r="X1206" s="139" t="s">
        <v>2829</v>
      </c>
      <c r="Y1206" s="112" t="s">
        <v>3985</v>
      </c>
      <c r="Z1206" s="112" t="s">
        <v>306</v>
      </c>
      <c r="AA1206" s="139" t="s">
        <v>2829</v>
      </c>
    </row>
    <row r="1207" spans="1:27" ht="17.25" customHeight="1">
      <c r="A1207" s="69" t="str">
        <f>IF(priority(Main[[#This Row],[Comments]])&lt;&gt;0, priority(Main[[#This Row],[Comments]]),"")</f>
        <v/>
      </c>
      <c r="B1207" s="63" t="s">
        <v>3506</v>
      </c>
      <c r="C1207" s="148" t="s">
        <v>4</v>
      </c>
      <c r="D1207" s="113" t="s">
        <v>3507</v>
      </c>
      <c r="E1207" s="129">
        <v>40942.135775462964</v>
      </c>
      <c r="F1207" s="129"/>
      <c r="G1207" s="69" t="str">
        <f>IF(stdProdLT(Main[[#This Row],[Comments]])=0.1,"N/A",IF(stdProdLT(Main[[#This Row],[Comments]])=0,"",stdProdLT(Main[[#This Row],[Comments]])))</f>
        <v/>
      </c>
      <c r="H1207" s="138" t="str">
        <f>IF(Main[[#This Row],[In Stock Date]]="N/A", "N/A",IF(AND(Main[[#This Row],[In Stock Date]]&lt;&gt;"",Main[[#This Row],[Revised Due Date]]&lt;&gt;"",Main[[#This Row],[In Stock Date]]&lt;&gt;""),Main[[#This Row],[In Stock Date]]-Main[[#This Row],[Revised Due Date]],""))</f>
        <v/>
      </c>
      <c r="I1207" s="139" t="s">
        <v>4</v>
      </c>
      <c r="J1207" s="139" t="s">
        <v>4</v>
      </c>
      <c r="K1207" s="139" t="s">
        <v>4</v>
      </c>
      <c r="L1207" s="129"/>
      <c r="M1207" s="114" t="str">
        <f>IF(Main[[#This Row],[Tech Start Date]]&lt;1/1/1990,"",IF(Main[[#This Row],[Class]]="C",WORKDAY(Main[[#This Row],[Tech Start Date]],9),IF(Main[[#This Row],[Class]]="B", WORKDAY(Main[[#This Row],[Tech Start Date]],6),IF(Main[[#This Row],[Class]]="A",WORKDAY(Main[[#This Row],[Tech Start Date]],2),""))))</f>
        <v/>
      </c>
      <c r="N1207" s="114" t="str">
        <f>IF(Main[[#This Row],[Tech Start Date]]&lt;1/1/1990,"",IF(Main[[#This Row],[Class]]="C",WORKDAY(Main[[#This Row],[Tech Start Date]],19),IF(Main[[#This Row],[Class]]="B", WORKDAY(Main[[#This Row],[Tech Start Date]],12),IF(Main[[#This Row],[Class]]="A",WORKDAY(Main[[#This Row],[Tech Start Date]],4),""))))</f>
        <v/>
      </c>
      <c r="O1207" s="114" t="str">
        <f>IF(Main[[#This Row],[Tech Start Date]]&lt;1/1/1990,"",IF(Main[[#This Row],[Class]]="C",WORKDAY(Main[[#This Row],[Tech Start Date]],23),IF(Main[[#This Row],[Class]]="B", WORKDAY(Main[[#This Row],[Tech Start Date]],15),IF(Main[[#This Row],[Class]]="A",WORKDAY(Main[[#This Row],[Tech Start Date]],5),""))))</f>
        <v/>
      </c>
      <c r="P1207" s="114" t="str">
        <f>IF(Main[[#This Row],[Tech Start Date]]&lt;1/1/1990,"",IF(Main[[#This Row],[Class]]="C",WORKDAY(Main[[#This Row],[Tech Start Date]],28),IF(Main[[#This Row],[Class]]="B", WORKDAY(Main[[#This Row],[Tech Start Date]],19),IF(Main[[#This Row],[Class]]="A",WORKDAY(Main[[#This Row],[Tech Start Date]],9),""))))</f>
        <v/>
      </c>
      <c r="Q1207" s="129">
        <v>41001</v>
      </c>
      <c r="R1207" s="129"/>
      <c r="S1207" s="139" t="s">
        <v>6</v>
      </c>
      <c r="T1207" s="115" t="s">
        <v>4</v>
      </c>
      <c r="U1207" s="139" t="s">
        <v>29</v>
      </c>
      <c r="V1207" s="139" t="s">
        <v>1917</v>
      </c>
      <c r="W1207" s="139" t="s">
        <v>4</v>
      </c>
      <c r="X1207" s="139" t="s">
        <v>2822</v>
      </c>
      <c r="Y1207" s="112" t="s">
        <v>2938</v>
      </c>
      <c r="Z1207" s="112" t="s">
        <v>4</v>
      </c>
      <c r="AA1207" s="139" t="s">
        <v>2822</v>
      </c>
    </row>
    <row r="1208" spans="1:27" ht="17.25" customHeight="1">
      <c r="A1208" s="69" t="str">
        <f>IF(priority(Main[[#This Row],[Comments]])&lt;&gt;0, priority(Main[[#This Row],[Comments]]),"")</f>
        <v/>
      </c>
      <c r="B1208" s="63" t="s">
        <v>2554</v>
      </c>
      <c r="C1208" s="148" t="s">
        <v>4</v>
      </c>
      <c r="D1208" s="113" t="s">
        <v>2553</v>
      </c>
      <c r="E1208" s="129"/>
      <c r="F1208" s="129"/>
      <c r="G1208" s="69" t="str">
        <f>IF(stdProdLT(Main[[#This Row],[Comments]])=0.1,"N/A",IF(stdProdLT(Main[[#This Row],[Comments]])=0,"",stdProdLT(Main[[#This Row],[Comments]])))</f>
        <v/>
      </c>
      <c r="H1208" s="138" t="str">
        <f>IF(Main[[#This Row],[In Stock Date]]="N/A", "N/A",IF(AND(Main[[#This Row],[In Stock Date]]&lt;&gt;"",Main[[#This Row],[Revised Due Date]]&lt;&gt;"",Main[[#This Row],[In Stock Date]]&lt;&gt;""),Main[[#This Row],[In Stock Date]]-Main[[#This Row],[Revised Due Date]],""))</f>
        <v/>
      </c>
      <c r="I1208" s="139" t="s">
        <v>4</v>
      </c>
      <c r="J1208" s="139" t="s">
        <v>4</v>
      </c>
      <c r="K1208" s="139" t="s">
        <v>4</v>
      </c>
      <c r="L1208" s="129"/>
      <c r="M1208" s="114" t="str">
        <f>IF(Main[[#This Row],[Tech Start Date]]&lt;1/1/1990,"",IF(Main[[#This Row],[Class]]="C",WORKDAY(Main[[#This Row],[Tech Start Date]],9),IF(Main[[#This Row],[Class]]="B", WORKDAY(Main[[#This Row],[Tech Start Date]],6),IF(Main[[#This Row],[Class]]="A",WORKDAY(Main[[#This Row],[Tech Start Date]],2),""))))</f>
        <v/>
      </c>
      <c r="N1208" s="114" t="str">
        <f>IF(Main[[#This Row],[Tech Start Date]]&lt;1/1/1990,"",IF(Main[[#This Row],[Class]]="C",WORKDAY(Main[[#This Row],[Tech Start Date]],19),IF(Main[[#This Row],[Class]]="B", WORKDAY(Main[[#This Row],[Tech Start Date]],12),IF(Main[[#This Row],[Class]]="A",WORKDAY(Main[[#This Row],[Tech Start Date]],4),""))))</f>
        <v/>
      </c>
      <c r="O1208" s="114" t="str">
        <f>IF(Main[[#This Row],[Tech Start Date]]&lt;1/1/1990,"",IF(Main[[#This Row],[Class]]="C",WORKDAY(Main[[#This Row],[Tech Start Date]],23),IF(Main[[#This Row],[Class]]="B", WORKDAY(Main[[#This Row],[Tech Start Date]],15),IF(Main[[#This Row],[Class]]="A",WORKDAY(Main[[#This Row],[Tech Start Date]],5),""))))</f>
        <v/>
      </c>
      <c r="P1208" s="114" t="str">
        <f>IF(Main[[#This Row],[Tech Start Date]]&lt;1/1/1990,"",IF(Main[[#This Row],[Class]]="C",WORKDAY(Main[[#This Row],[Tech Start Date]],28),IF(Main[[#This Row],[Class]]="B", WORKDAY(Main[[#This Row],[Tech Start Date]],19),IF(Main[[#This Row],[Class]]="A",WORKDAY(Main[[#This Row],[Tech Start Date]],9),""))))</f>
        <v/>
      </c>
      <c r="Q1208" s="129">
        <v>40891</v>
      </c>
      <c r="R1208" s="129"/>
      <c r="S1208" s="139" t="s">
        <v>6</v>
      </c>
      <c r="T1208" s="115" t="s">
        <v>4</v>
      </c>
      <c r="U1208" s="139" t="s">
        <v>12</v>
      </c>
      <c r="V1208" s="139" t="s">
        <v>1917</v>
      </c>
      <c r="W1208" s="139" t="s">
        <v>4</v>
      </c>
      <c r="X1208" s="139" t="s">
        <v>2822</v>
      </c>
      <c r="Y1208" s="112" t="s">
        <v>2938</v>
      </c>
      <c r="Z1208" s="112" t="s">
        <v>4</v>
      </c>
      <c r="AA1208" s="139" t="s">
        <v>2822</v>
      </c>
    </row>
    <row r="1209" spans="1:27" ht="17.25" customHeight="1">
      <c r="A1209" s="69" t="str">
        <f>IF(priority(Main[[#This Row],[Comments]])&lt;&gt;0, priority(Main[[#This Row],[Comments]]),"")</f>
        <v/>
      </c>
      <c r="B1209" s="63" t="s">
        <v>2186</v>
      </c>
      <c r="C1209" s="148" t="s">
        <v>4</v>
      </c>
      <c r="D1209" s="113" t="s">
        <v>2187</v>
      </c>
      <c r="E1209" s="129">
        <v>40792.385717592595</v>
      </c>
      <c r="F1209" s="129"/>
      <c r="G1209" s="69" t="str">
        <f>IF(stdProdLT(Main[[#This Row],[Comments]])=0.1,"N/A",IF(stdProdLT(Main[[#This Row],[Comments]])=0,"",stdProdLT(Main[[#This Row],[Comments]])))</f>
        <v/>
      </c>
      <c r="H1209" s="138" t="str">
        <f>IF(Main[[#This Row],[In Stock Date]]="N/A", "N/A",IF(AND(Main[[#This Row],[In Stock Date]]&lt;&gt;"",Main[[#This Row],[Revised Due Date]]&lt;&gt;"",Main[[#This Row],[In Stock Date]]&lt;&gt;""),Main[[#This Row],[In Stock Date]]-Main[[#This Row],[Revised Due Date]],""))</f>
        <v/>
      </c>
      <c r="I1209" s="139" t="s">
        <v>81</v>
      </c>
      <c r="J1209" s="139" t="s">
        <v>70</v>
      </c>
      <c r="K1209" s="140" t="s">
        <v>1923</v>
      </c>
      <c r="L1209" s="129"/>
      <c r="M1209" s="114" t="str">
        <f>IF(Main[[#This Row],[Tech Start Date]]&lt;1/1/1990,"",IF(Main[[#This Row],[Class]]="C",WORKDAY(Main[[#This Row],[Tech Start Date]],9),IF(Main[[#This Row],[Class]]="B", WORKDAY(Main[[#This Row],[Tech Start Date]],6),IF(Main[[#This Row],[Class]]="A",WORKDAY(Main[[#This Row],[Tech Start Date]],2),""))))</f>
        <v/>
      </c>
      <c r="N1209" s="114" t="str">
        <f>IF(Main[[#This Row],[Tech Start Date]]&lt;1/1/1990,"",IF(Main[[#This Row],[Class]]="C",WORKDAY(Main[[#This Row],[Tech Start Date]],19),IF(Main[[#This Row],[Class]]="B", WORKDAY(Main[[#This Row],[Tech Start Date]],12),IF(Main[[#This Row],[Class]]="A",WORKDAY(Main[[#This Row],[Tech Start Date]],4),""))))</f>
        <v/>
      </c>
      <c r="O1209" s="114" t="str">
        <f>IF(Main[[#This Row],[Tech Start Date]]&lt;1/1/1990,"",IF(Main[[#This Row],[Class]]="C",WORKDAY(Main[[#This Row],[Tech Start Date]],23),IF(Main[[#This Row],[Class]]="B", WORKDAY(Main[[#This Row],[Tech Start Date]],15),IF(Main[[#This Row],[Class]]="A",WORKDAY(Main[[#This Row],[Tech Start Date]],5),""))))</f>
        <v/>
      </c>
      <c r="P1209" s="114" t="str">
        <f>IF(Main[[#This Row],[Tech Start Date]]&lt;1/1/1990,"",IF(Main[[#This Row],[Class]]="C",WORKDAY(Main[[#This Row],[Tech Start Date]],28),IF(Main[[#This Row],[Class]]="B", WORKDAY(Main[[#This Row],[Tech Start Date]],19),IF(Main[[#This Row],[Class]]="A",WORKDAY(Main[[#This Row],[Tech Start Date]],9),""))))</f>
        <v/>
      </c>
      <c r="Q1209" s="129">
        <v>40823</v>
      </c>
      <c r="R1209" s="129"/>
      <c r="S1209" s="139" t="s">
        <v>6</v>
      </c>
      <c r="T1209" s="115" t="s">
        <v>4</v>
      </c>
      <c r="U1209" s="139" t="s">
        <v>29</v>
      </c>
      <c r="V1209" s="139" t="s">
        <v>1917</v>
      </c>
      <c r="W1209" s="139" t="s">
        <v>1918</v>
      </c>
      <c r="X1209" s="139" t="s">
        <v>2818</v>
      </c>
      <c r="Y1209" s="112" t="s">
        <v>2929</v>
      </c>
      <c r="Z1209" s="112" t="s">
        <v>30</v>
      </c>
      <c r="AA1209" s="139" t="s">
        <v>2818</v>
      </c>
    </row>
    <row r="1210" spans="1:27" ht="17.25" customHeight="1">
      <c r="A1210" s="69" t="str">
        <f>IF(priority(Main[[#This Row],[Comments]])&lt;&gt;0, priority(Main[[#This Row],[Comments]]),"")</f>
        <v/>
      </c>
      <c r="B1210" s="63" t="s">
        <v>3683</v>
      </c>
      <c r="C1210" s="148" t="s">
        <v>4</v>
      </c>
      <c r="D1210" s="113" t="s">
        <v>3684</v>
      </c>
      <c r="E1210" s="129">
        <v>40953.329780092594</v>
      </c>
      <c r="F1210" s="129"/>
      <c r="G1210" s="69" t="str">
        <f>IF(stdProdLT(Main[[#This Row],[Comments]])=0.1,"N/A",IF(stdProdLT(Main[[#This Row],[Comments]])=0,"",stdProdLT(Main[[#This Row],[Comments]])))</f>
        <v/>
      </c>
      <c r="H1210" s="138" t="str">
        <f>IF(Main[[#This Row],[In Stock Date]]="N/A", "N/A",IF(AND(Main[[#This Row],[In Stock Date]]&lt;&gt;"",Main[[#This Row],[Revised Due Date]]&lt;&gt;"",Main[[#This Row],[In Stock Date]]&lt;&gt;""),Main[[#This Row],[In Stock Date]]-Main[[#This Row],[Revised Due Date]],""))</f>
        <v/>
      </c>
      <c r="I1210" s="139" t="s">
        <v>530</v>
      </c>
      <c r="J1210" s="139" t="s">
        <v>28</v>
      </c>
      <c r="K1210" s="139" t="s">
        <v>1923</v>
      </c>
      <c r="L1210" s="129"/>
      <c r="M1210" s="114" t="str">
        <f>IF(Main[[#This Row],[Tech Start Date]]&lt;1/1/1990,"",IF(Main[[#This Row],[Class]]="C",WORKDAY(Main[[#This Row],[Tech Start Date]],9),IF(Main[[#This Row],[Class]]="B", WORKDAY(Main[[#This Row],[Tech Start Date]],6),IF(Main[[#This Row],[Class]]="A",WORKDAY(Main[[#This Row],[Tech Start Date]],2),""))))</f>
        <v/>
      </c>
      <c r="N1210" s="114" t="str">
        <f>IF(Main[[#This Row],[Tech Start Date]]&lt;1/1/1990,"",IF(Main[[#This Row],[Class]]="C",WORKDAY(Main[[#This Row],[Tech Start Date]],19),IF(Main[[#This Row],[Class]]="B", WORKDAY(Main[[#This Row],[Tech Start Date]],12),IF(Main[[#This Row],[Class]]="A",WORKDAY(Main[[#This Row],[Tech Start Date]],4),""))))</f>
        <v/>
      </c>
      <c r="O1210" s="114" t="str">
        <f>IF(Main[[#This Row],[Tech Start Date]]&lt;1/1/1990,"",IF(Main[[#This Row],[Class]]="C",WORKDAY(Main[[#This Row],[Tech Start Date]],23),IF(Main[[#This Row],[Class]]="B", WORKDAY(Main[[#This Row],[Tech Start Date]],15),IF(Main[[#This Row],[Class]]="A",WORKDAY(Main[[#This Row],[Tech Start Date]],5),""))))</f>
        <v/>
      </c>
      <c r="P1210" s="114" t="str">
        <f>IF(Main[[#This Row],[Tech Start Date]]&lt;1/1/1990,"",IF(Main[[#This Row],[Class]]="C",WORKDAY(Main[[#This Row],[Tech Start Date]],28),IF(Main[[#This Row],[Class]]="B", WORKDAY(Main[[#This Row],[Tech Start Date]],19),IF(Main[[#This Row],[Class]]="A",WORKDAY(Main[[#This Row],[Tech Start Date]],9),""))))</f>
        <v/>
      </c>
      <c r="Q1210" s="129">
        <v>40984</v>
      </c>
      <c r="R1210" s="129"/>
      <c r="S1210" s="139" t="s">
        <v>6</v>
      </c>
      <c r="T1210" s="115" t="s">
        <v>4</v>
      </c>
      <c r="U1210" s="139" t="s">
        <v>29</v>
      </c>
      <c r="V1210" s="139" t="s">
        <v>1917</v>
      </c>
      <c r="W1210" s="139" t="s">
        <v>1918</v>
      </c>
      <c r="X1210" s="139" t="s">
        <v>2818</v>
      </c>
      <c r="Y1210" s="112" t="s">
        <v>2929</v>
      </c>
      <c r="Z1210" s="112" t="s">
        <v>30</v>
      </c>
      <c r="AA1210" s="139" t="s">
        <v>2818</v>
      </c>
    </row>
    <row r="1211" spans="1:27" ht="17.25" customHeight="1">
      <c r="A1211" s="69" t="str">
        <f>IF(priority(Main[[#This Row],[Comments]])&lt;&gt;0, priority(Main[[#This Row],[Comments]]),"")</f>
        <v/>
      </c>
      <c r="B1211" s="63" t="s">
        <v>2759</v>
      </c>
      <c r="C1211" s="148" t="s">
        <v>4</v>
      </c>
      <c r="D1211" s="113" t="s">
        <v>3680</v>
      </c>
      <c r="E1211" s="129">
        <v>40907.447002314817</v>
      </c>
      <c r="F1211" s="129"/>
      <c r="G1211" s="69" t="str">
        <f>IF(stdProdLT(Main[[#This Row],[Comments]])=0.1,"N/A",IF(stdProdLT(Main[[#This Row],[Comments]])=0,"",stdProdLT(Main[[#This Row],[Comments]])))</f>
        <v/>
      </c>
      <c r="H1211" s="138" t="str">
        <f>IF(Main[[#This Row],[In Stock Date]]="N/A", "N/A",IF(AND(Main[[#This Row],[In Stock Date]]&lt;&gt;"",Main[[#This Row],[Revised Due Date]]&lt;&gt;"",Main[[#This Row],[In Stock Date]]&lt;&gt;""),Main[[#This Row],[In Stock Date]]-Main[[#This Row],[Revised Due Date]],""))</f>
        <v/>
      </c>
      <c r="I1211" s="139" t="s">
        <v>530</v>
      </c>
      <c r="J1211" s="139" t="s">
        <v>70</v>
      </c>
      <c r="K1211" s="139" t="s">
        <v>1923</v>
      </c>
      <c r="L1211" s="129"/>
      <c r="M1211" s="114" t="str">
        <f>IF(Main[[#This Row],[Tech Start Date]]&lt;1/1/1990,"",IF(Main[[#This Row],[Class]]="C",WORKDAY(Main[[#This Row],[Tech Start Date]],9),IF(Main[[#This Row],[Class]]="B", WORKDAY(Main[[#This Row],[Tech Start Date]],6),IF(Main[[#This Row],[Class]]="A",WORKDAY(Main[[#This Row],[Tech Start Date]],2),""))))</f>
        <v/>
      </c>
      <c r="N1211" s="114" t="str">
        <f>IF(Main[[#This Row],[Tech Start Date]]&lt;1/1/1990,"",IF(Main[[#This Row],[Class]]="C",WORKDAY(Main[[#This Row],[Tech Start Date]],19),IF(Main[[#This Row],[Class]]="B", WORKDAY(Main[[#This Row],[Tech Start Date]],12),IF(Main[[#This Row],[Class]]="A",WORKDAY(Main[[#This Row],[Tech Start Date]],4),""))))</f>
        <v/>
      </c>
      <c r="O1211" s="114" t="str">
        <f>IF(Main[[#This Row],[Tech Start Date]]&lt;1/1/1990,"",IF(Main[[#This Row],[Class]]="C",WORKDAY(Main[[#This Row],[Tech Start Date]],23),IF(Main[[#This Row],[Class]]="B", WORKDAY(Main[[#This Row],[Tech Start Date]],15),IF(Main[[#This Row],[Class]]="A",WORKDAY(Main[[#This Row],[Tech Start Date]],5),""))))</f>
        <v/>
      </c>
      <c r="P1211" s="114" t="str">
        <f>IF(Main[[#This Row],[Tech Start Date]]&lt;1/1/1990,"",IF(Main[[#This Row],[Class]]="C",WORKDAY(Main[[#This Row],[Tech Start Date]],28),IF(Main[[#This Row],[Class]]="B", WORKDAY(Main[[#This Row],[Tech Start Date]],19),IF(Main[[#This Row],[Class]]="A",WORKDAY(Main[[#This Row],[Tech Start Date]],9),""))))</f>
        <v/>
      </c>
      <c r="Q1211" s="129">
        <v>40921</v>
      </c>
      <c r="R1211" s="129"/>
      <c r="S1211" s="139" t="s">
        <v>6</v>
      </c>
      <c r="T1211" s="115" t="s">
        <v>4</v>
      </c>
      <c r="U1211" s="139" t="s">
        <v>29</v>
      </c>
      <c r="V1211" s="139" t="s">
        <v>1917</v>
      </c>
      <c r="W1211" s="139" t="s">
        <v>1922</v>
      </c>
      <c r="X1211" s="139" t="s">
        <v>2885</v>
      </c>
      <c r="Y1211" s="112" t="s">
        <v>3041</v>
      </c>
      <c r="Z1211" s="112" t="s">
        <v>30</v>
      </c>
      <c r="AA1211" s="139" t="s">
        <v>2885</v>
      </c>
    </row>
    <row r="1212" spans="1:27" ht="17.25" customHeight="1">
      <c r="A1212" s="69" t="str">
        <f>IF(priority(Main[[#This Row],[Comments]])&lt;&gt;0, priority(Main[[#This Row],[Comments]]),"")</f>
        <v/>
      </c>
      <c r="B1212" s="63" t="s">
        <v>2791</v>
      </c>
      <c r="C1212" s="148" t="s">
        <v>4</v>
      </c>
      <c r="D1212" s="113" t="s">
        <v>2792</v>
      </c>
      <c r="E1212" s="129">
        <v>40913.314733796295</v>
      </c>
      <c r="F1212" s="129"/>
      <c r="G1212" s="69" t="str">
        <f>IF(stdProdLT(Main[[#This Row],[Comments]])=0.1,"N/A",IF(stdProdLT(Main[[#This Row],[Comments]])=0,"",stdProdLT(Main[[#This Row],[Comments]])))</f>
        <v/>
      </c>
      <c r="H1212" s="138" t="str">
        <f>IF(Main[[#This Row],[In Stock Date]]="N/A", "N/A",IF(AND(Main[[#This Row],[In Stock Date]]&lt;&gt;"",Main[[#This Row],[Revised Due Date]]&lt;&gt;"",Main[[#This Row],[In Stock Date]]&lt;&gt;""),Main[[#This Row],[In Stock Date]]-Main[[#This Row],[Revised Due Date]],""))</f>
        <v/>
      </c>
      <c r="I1212" s="139" t="s">
        <v>69</v>
      </c>
      <c r="J1212" s="139" t="s">
        <v>70</v>
      </c>
      <c r="K1212" s="139" t="s">
        <v>1923</v>
      </c>
      <c r="L1212" s="129"/>
      <c r="M1212" s="114" t="str">
        <f>IF(Main[[#This Row],[Tech Start Date]]&lt;1/1/1990,"",IF(Main[[#This Row],[Class]]="C",WORKDAY(Main[[#This Row],[Tech Start Date]],9),IF(Main[[#This Row],[Class]]="B", WORKDAY(Main[[#This Row],[Tech Start Date]],6),IF(Main[[#This Row],[Class]]="A",WORKDAY(Main[[#This Row],[Tech Start Date]],2),""))))</f>
        <v/>
      </c>
      <c r="N1212" s="114" t="str">
        <f>IF(Main[[#This Row],[Tech Start Date]]&lt;1/1/1990,"",IF(Main[[#This Row],[Class]]="C",WORKDAY(Main[[#This Row],[Tech Start Date]],19),IF(Main[[#This Row],[Class]]="B", WORKDAY(Main[[#This Row],[Tech Start Date]],12),IF(Main[[#This Row],[Class]]="A",WORKDAY(Main[[#This Row],[Tech Start Date]],4),""))))</f>
        <v/>
      </c>
      <c r="O1212" s="114" t="str">
        <f>IF(Main[[#This Row],[Tech Start Date]]&lt;1/1/1990,"",IF(Main[[#This Row],[Class]]="C",WORKDAY(Main[[#This Row],[Tech Start Date]],23),IF(Main[[#This Row],[Class]]="B", WORKDAY(Main[[#This Row],[Tech Start Date]],15),IF(Main[[#This Row],[Class]]="A",WORKDAY(Main[[#This Row],[Tech Start Date]],5),""))))</f>
        <v/>
      </c>
      <c r="P1212" s="114" t="str">
        <f>IF(Main[[#This Row],[Tech Start Date]]&lt;1/1/1990,"",IF(Main[[#This Row],[Class]]="C",WORKDAY(Main[[#This Row],[Tech Start Date]],28),IF(Main[[#This Row],[Class]]="B", WORKDAY(Main[[#This Row],[Tech Start Date]],19),IF(Main[[#This Row],[Class]]="A",WORKDAY(Main[[#This Row],[Tech Start Date]],9),""))))</f>
        <v/>
      </c>
      <c r="Q1212" s="129">
        <v>40945</v>
      </c>
      <c r="R1212" s="129"/>
      <c r="S1212" s="139" t="s">
        <v>6</v>
      </c>
      <c r="T1212" s="115" t="s">
        <v>4</v>
      </c>
      <c r="U1212" s="139" t="s">
        <v>29</v>
      </c>
      <c r="V1212" s="139" t="s">
        <v>1917</v>
      </c>
      <c r="W1212" s="139" t="s">
        <v>1918</v>
      </c>
      <c r="X1212" s="139" t="s">
        <v>2822</v>
      </c>
      <c r="Y1212" s="112" t="s">
        <v>2938</v>
      </c>
      <c r="Z1212" s="112" t="s">
        <v>30</v>
      </c>
      <c r="AA1212" s="139" t="s">
        <v>2822</v>
      </c>
    </row>
    <row r="1213" spans="1:27" ht="17.25" customHeight="1">
      <c r="A1213" s="69" t="str">
        <f>IF(priority(Main[[#This Row],[Comments]])&lt;&gt;0, priority(Main[[#This Row],[Comments]]),"")</f>
        <v/>
      </c>
      <c r="B1213" s="63" t="s">
        <v>2771</v>
      </c>
      <c r="C1213" s="148" t="s">
        <v>4</v>
      </c>
      <c r="D1213" s="113" t="s">
        <v>2772</v>
      </c>
      <c r="E1213" s="129">
        <v>40914.408773148149</v>
      </c>
      <c r="F1213" s="129"/>
      <c r="G1213" s="69" t="str">
        <f>IF(stdProdLT(Main[[#This Row],[Comments]])=0.1,"N/A",IF(stdProdLT(Main[[#This Row],[Comments]])=0,"",stdProdLT(Main[[#This Row],[Comments]])))</f>
        <v/>
      </c>
      <c r="H1213" s="138" t="str">
        <f>IF(Main[[#This Row],[In Stock Date]]="N/A", "N/A",IF(AND(Main[[#This Row],[In Stock Date]]&lt;&gt;"",Main[[#This Row],[Revised Due Date]]&lt;&gt;"",Main[[#This Row],[In Stock Date]]&lt;&gt;""),Main[[#This Row],[In Stock Date]]-Main[[#This Row],[Revised Due Date]],""))</f>
        <v/>
      </c>
      <c r="I1213" s="139" t="s">
        <v>4</v>
      </c>
      <c r="J1213" s="139" t="s">
        <v>4</v>
      </c>
      <c r="K1213" s="139" t="s">
        <v>4</v>
      </c>
      <c r="L1213" s="129"/>
      <c r="M1213" s="114" t="str">
        <f>IF(Main[[#This Row],[Tech Start Date]]&lt;1/1/1990,"",IF(Main[[#This Row],[Class]]="C",WORKDAY(Main[[#This Row],[Tech Start Date]],9),IF(Main[[#This Row],[Class]]="B", WORKDAY(Main[[#This Row],[Tech Start Date]],6),IF(Main[[#This Row],[Class]]="A",WORKDAY(Main[[#This Row],[Tech Start Date]],2),""))))</f>
        <v/>
      </c>
      <c r="N1213" s="114" t="str">
        <f>IF(Main[[#This Row],[Tech Start Date]]&lt;1/1/1990,"",IF(Main[[#This Row],[Class]]="C",WORKDAY(Main[[#This Row],[Tech Start Date]],19),IF(Main[[#This Row],[Class]]="B", WORKDAY(Main[[#This Row],[Tech Start Date]],12),IF(Main[[#This Row],[Class]]="A",WORKDAY(Main[[#This Row],[Tech Start Date]],4),""))))</f>
        <v/>
      </c>
      <c r="O1213" s="114" t="str">
        <f>IF(Main[[#This Row],[Tech Start Date]]&lt;1/1/1990,"",IF(Main[[#This Row],[Class]]="C",WORKDAY(Main[[#This Row],[Tech Start Date]],23),IF(Main[[#This Row],[Class]]="B", WORKDAY(Main[[#This Row],[Tech Start Date]],15),IF(Main[[#This Row],[Class]]="A",WORKDAY(Main[[#This Row],[Tech Start Date]],5),""))))</f>
        <v/>
      </c>
      <c r="P1213" s="114" t="str">
        <f>IF(Main[[#This Row],[Tech Start Date]]&lt;1/1/1990,"",IF(Main[[#This Row],[Class]]="C",WORKDAY(Main[[#This Row],[Tech Start Date]],28),IF(Main[[#This Row],[Class]]="B", WORKDAY(Main[[#This Row],[Tech Start Date]],19),IF(Main[[#This Row],[Class]]="A",WORKDAY(Main[[#This Row],[Tech Start Date]],9),""))))</f>
        <v/>
      </c>
      <c r="Q1213" s="129"/>
      <c r="R1213" s="129"/>
      <c r="S1213" s="139" t="s">
        <v>6</v>
      </c>
      <c r="T1213" s="115" t="s">
        <v>4</v>
      </c>
      <c r="U1213" s="139" t="s">
        <v>29</v>
      </c>
      <c r="V1213" s="139" t="s">
        <v>1914</v>
      </c>
      <c r="W1213" s="139" t="s">
        <v>1918</v>
      </c>
      <c r="X1213" s="139" t="s">
        <v>937</v>
      </c>
      <c r="Y1213" s="112" t="s">
        <v>2984</v>
      </c>
      <c r="Z1213" s="112" t="s">
        <v>4</v>
      </c>
      <c r="AA1213" s="139" t="s">
        <v>937</v>
      </c>
    </row>
    <row r="1214" spans="1:27" ht="17.25" customHeight="1">
      <c r="A1214" s="69" t="str">
        <f>IF(priority(Main[[#This Row],[Comments]])&lt;&gt;0, priority(Main[[#This Row],[Comments]]),"")</f>
        <v/>
      </c>
      <c r="B1214" s="63" t="s">
        <v>3354</v>
      </c>
      <c r="C1214" s="148" t="s">
        <v>4</v>
      </c>
      <c r="D1214" s="113" t="s">
        <v>3355</v>
      </c>
      <c r="E1214" s="129"/>
      <c r="F1214" s="129"/>
      <c r="G1214" s="69" t="str">
        <f>IF(stdProdLT(Main[[#This Row],[Comments]])=0.1,"N/A",IF(stdProdLT(Main[[#This Row],[Comments]])=0,"",stdProdLT(Main[[#This Row],[Comments]])))</f>
        <v/>
      </c>
      <c r="H1214" s="138" t="str">
        <f>IF(Main[[#This Row],[In Stock Date]]="N/A", "N/A",IF(AND(Main[[#This Row],[In Stock Date]]&lt;&gt;"",Main[[#This Row],[Revised Due Date]]&lt;&gt;"",Main[[#This Row],[In Stock Date]]&lt;&gt;""),Main[[#This Row],[In Stock Date]]-Main[[#This Row],[Revised Due Date]],""))</f>
        <v/>
      </c>
      <c r="I1214" s="139" t="s">
        <v>4</v>
      </c>
      <c r="J1214" s="139" t="s">
        <v>4</v>
      </c>
      <c r="K1214" s="139" t="s">
        <v>4</v>
      </c>
      <c r="L1214" s="129"/>
      <c r="M1214" s="114" t="str">
        <f>IF(Main[[#This Row],[Tech Start Date]]&lt;1/1/1990,"",IF(Main[[#This Row],[Class]]="C",WORKDAY(Main[[#This Row],[Tech Start Date]],9),IF(Main[[#This Row],[Class]]="B", WORKDAY(Main[[#This Row],[Tech Start Date]],6),IF(Main[[#This Row],[Class]]="A",WORKDAY(Main[[#This Row],[Tech Start Date]],2),""))))</f>
        <v/>
      </c>
      <c r="N1214" s="114" t="str">
        <f>IF(Main[[#This Row],[Tech Start Date]]&lt;1/1/1990,"",IF(Main[[#This Row],[Class]]="C",WORKDAY(Main[[#This Row],[Tech Start Date]],19),IF(Main[[#This Row],[Class]]="B", WORKDAY(Main[[#This Row],[Tech Start Date]],12),IF(Main[[#This Row],[Class]]="A",WORKDAY(Main[[#This Row],[Tech Start Date]],4),""))))</f>
        <v/>
      </c>
      <c r="O1214" s="114" t="str">
        <f>IF(Main[[#This Row],[Tech Start Date]]&lt;1/1/1990,"",IF(Main[[#This Row],[Class]]="C",WORKDAY(Main[[#This Row],[Tech Start Date]],23),IF(Main[[#This Row],[Class]]="B", WORKDAY(Main[[#This Row],[Tech Start Date]],15),IF(Main[[#This Row],[Class]]="A",WORKDAY(Main[[#This Row],[Tech Start Date]],5),""))))</f>
        <v/>
      </c>
      <c r="P1214" s="114" t="str">
        <f>IF(Main[[#This Row],[Tech Start Date]]&lt;1/1/1990,"",IF(Main[[#This Row],[Class]]="C",WORKDAY(Main[[#This Row],[Tech Start Date]],28),IF(Main[[#This Row],[Class]]="B", WORKDAY(Main[[#This Row],[Tech Start Date]],19),IF(Main[[#This Row],[Class]]="A",WORKDAY(Main[[#This Row],[Tech Start Date]],9),""))))</f>
        <v/>
      </c>
      <c r="Q1214" s="129"/>
      <c r="R1214" s="129"/>
      <c r="S1214" s="139" t="s">
        <v>11</v>
      </c>
      <c r="T1214" s="115" t="s">
        <v>4</v>
      </c>
      <c r="U1214" s="139" t="s">
        <v>14</v>
      </c>
      <c r="V1214" s="139" t="s">
        <v>1929</v>
      </c>
      <c r="W1214" s="139" t="s">
        <v>1918</v>
      </c>
      <c r="X1214" s="139" t="s">
        <v>922</v>
      </c>
      <c r="Y1214" s="112" t="s">
        <v>2982</v>
      </c>
      <c r="Z1214" s="112" t="s">
        <v>4</v>
      </c>
      <c r="AA1214" s="139" t="s">
        <v>922</v>
      </c>
    </row>
    <row r="1215" spans="1:27" ht="17.25" customHeight="1">
      <c r="A1215" s="69" t="str">
        <f>IF(priority(Main[[#This Row],[Comments]])&lt;&gt;0, priority(Main[[#This Row],[Comments]]),"")</f>
        <v/>
      </c>
      <c r="B1215" s="63" t="s">
        <v>3681</v>
      </c>
      <c r="C1215" s="148" t="s">
        <v>4</v>
      </c>
      <c r="D1215" s="113" t="s">
        <v>3682</v>
      </c>
      <c r="E1215" s="129">
        <v>40952.960995370369</v>
      </c>
      <c r="F1215" s="129"/>
      <c r="G1215" s="69" t="str">
        <f>IF(stdProdLT(Main[[#This Row],[Comments]])=0.1,"N/A",IF(stdProdLT(Main[[#This Row],[Comments]])=0,"",stdProdLT(Main[[#This Row],[Comments]])))</f>
        <v/>
      </c>
      <c r="H1215" s="138" t="str">
        <f>IF(Main[[#This Row],[In Stock Date]]="N/A", "N/A",IF(AND(Main[[#This Row],[In Stock Date]]&lt;&gt;"",Main[[#This Row],[Revised Due Date]]&lt;&gt;"",Main[[#This Row],[In Stock Date]]&lt;&gt;""),Main[[#This Row],[In Stock Date]]-Main[[#This Row],[Revised Due Date]],""))</f>
        <v/>
      </c>
      <c r="I1215" s="139" t="s">
        <v>2051</v>
      </c>
      <c r="J1215" s="139" t="s">
        <v>28</v>
      </c>
      <c r="K1215" s="139" t="s">
        <v>4</v>
      </c>
      <c r="L1215" s="129"/>
      <c r="M1215" s="114" t="str">
        <f>IF(Main[[#This Row],[Tech Start Date]]&lt;1/1/1990,"",IF(Main[[#This Row],[Class]]="C",WORKDAY(Main[[#This Row],[Tech Start Date]],9),IF(Main[[#This Row],[Class]]="B", WORKDAY(Main[[#This Row],[Tech Start Date]],6),IF(Main[[#This Row],[Class]]="A",WORKDAY(Main[[#This Row],[Tech Start Date]],2),""))))</f>
        <v/>
      </c>
      <c r="N1215" s="114" t="str">
        <f>IF(Main[[#This Row],[Tech Start Date]]&lt;1/1/1990,"",IF(Main[[#This Row],[Class]]="C",WORKDAY(Main[[#This Row],[Tech Start Date]],19),IF(Main[[#This Row],[Class]]="B", WORKDAY(Main[[#This Row],[Tech Start Date]],12),IF(Main[[#This Row],[Class]]="A",WORKDAY(Main[[#This Row],[Tech Start Date]],4),""))))</f>
        <v/>
      </c>
      <c r="O1215" s="114" t="str">
        <f>IF(Main[[#This Row],[Tech Start Date]]&lt;1/1/1990,"",IF(Main[[#This Row],[Class]]="C",WORKDAY(Main[[#This Row],[Tech Start Date]],23),IF(Main[[#This Row],[Class]]="B", WORKDAY(Main[[#This Row],[Tech Start Date]],15),IF(Main[[#This Row],[Class]]="A",WORKDAY(Main[[#This Row],[Tech Start Date]],5),""))))</f>
        <v/>
      </c>
      <c r="P1215" s="114" t="str">
        <f>IF(Main[[#This Row],[Tech Start Date]]&lt;1/1/1990,"",IF(Main[[#This Row],[Class]]="C",WORKDAY(Main[[#This Row],[Tech Start Date]],28),IF(Main[[#This Row],[Class]]="B", WORKDAY(Main[[#This Row],[Tech Start Date]],19),IF(Main[[#This Row],[Class]]="A",WORKDAY(Main[[#This Row],[Tech Start Date]],9),""))))</f>
        <v/>
      </c>
      <c r="Q1215" s="129">
        <v>40953</v>
      </c>
      <c r="R1215" s="129"/>
      <c r="S1215" s="139" t="s">
        <v>6</v>
      </c>
      <c r="T1215" s="115" t="s">
        <v>4</v>
      </c>
      <c r="U1215" s="139" t="s">
        <v>29</v>
      </c>
      <c r="V1215" s="139" t="s">
        <v>1917</v>
      </c>
      <c r="W1215" s="139" t="s">
        <v>1918</v>
      </c>
      <c r="X1215" s="139" t="s">
        <v>2895</v>
      </c>
      <c r="Y1215" s="112" t="s">
        <v>3060</v>
      </c>
      <c r="Z1215" s="112" t="s">
        <v>30</v>
      </c>
      <c r="AA1215" s="139" t="s">
        <v>2895</v>
      </c>
    </row>
    <row r="1216" spans="1:27" ht="17.25" customHeight="1">
      <c r="A1216" s="69" t="str">
        <f>IF(priority(Main[[#This Row],[Comments]])&lt;&gt;0, priority(Main[[#This Row],[Comments]]),"")</f>
        <v/>
      </c>
      <c r="B1216" s="63" t="s">
        <v>3356</v>
      </c>
      <c r="C1216" s="148" t="s">
        <v>47</v>
      </c>
      <c r="D1216" s="113" t="s">
        <v>3357</v>
      </c>
      <c r="E1216" s="129"/>
      <c r="F1216" s="129"/>
      <c r="G1216" s="69" t="str">
        <f>IF(stdProdLT(Main[[#This Row],[Comments]])=0.1,"N/A",IF(stdProdLT(Main[[#This Row],[Comments]])=0,"",stdProdLT(Main[[#This Row],[Comments]])))</f>
        <v/>
      </c>
      <c r="H1216" s="138" t="str">
        <f>IF(Main[[#This Row],[In Stock Date]]="N/A", "N/A",IF(AND(Main[[#This Row],[In Stock Date]]&lt;&gt;"",Main[[#This Row],[Revised Due Date]]&lt;&gt;"",Main[[#This Row],[In Stock Date]]&lt;&gt;""),Main[[#This Row],[In Stock Date]]-Main[[#This Row],[Revised Due Date]],""))</f>
        <v/>
      </c>
      <c r="I1216" s="139" t="s">
        <v>4</v>
      </c>
      <c r="J1216" s="139" t="s">
        <v>4</v>
      </c>
      <c r="K1216" s="139" t="s">
        <v>4</v>
      </c>
      <c r="L1216" s="129"/>
      <c r="M1216" s="114" t="str">
        <f>IF(Main[[#This Row],[Tech Start Date]]&lt;1/1/1990,"",IF(Main[[#This Row],[Class]]="C",WORKDAY(Main[[#This Row],[Tech Start Date]],9),IF(Main[[#This Row],[Class]]="B", WORKDAY(Main[[#This Row],[Tech Start Date]],6),IF(Main[[#This Row],[Class]]="A",WORKDAY(Main[[#This Row],[Tech Start Date]],2),""))))</f>
        <v/>
      </c>
      <c r="N1216" s="114" t="str">
        <f>IF(Main[[#This Row],[Tech Start Date]]&lt;1/1/1990,"",IF(Main[[#This Row],[Class]]="C",WORKDAY(Main[[#This Row],[Tech Start Date]],19),IF(Main[[#This Row],[Class]]="B", WORKDAY(Main[[#This Row],[Tech Start Date]],12),IF(Main[[#This Row],[Class]]="A",WORKDAY(Main[[#This Row],[Tech Start Date]],4),""))))</f>
        <v/>
      </c>
      <c r="O1216" s="114" t="str">
        <f>IF(Main[[#This Row],[Tech Start Date]]&lt;1/1/1990,"",IF(Main[[#This Row],[Class]]="C",WORKDAY(Main[[#This Row],[Tech Start Date]],23),IF(Main[[#This Row],[Class]]="B", WORKDAY(Main[[#This Row],[Tech Start Date]],15),IF(Main[[#This Row],[Class]]="A",WORKDAY(Main[[#This Row],[Tech Start Date]],5),""))))</f>
        <v/>
      </c>
      <c r="P1216" s="114" t="str">
        <f>IF(Main[[#This Row],[Tech Start Date]]&lt;1/1/1990,"",IF(Main[[#This Row],[Class]]="C",WORKDAY(Main[[#This Row],[Tech Start Date]],28),IF(Main[[#This Row],[Class]]="B", WORKDAY(Main[[#This Row],[Tech Start Date]],19),IF(Main[[#This Row],[Class]]="A",WORKDAY(Main[[#This Row],[Tech Start Date]],9),""))))</f>
        <v/>
      </c>
      <c r="Q1216" s="129">
        <v>40964</v>
      </c>
      <c r="R1216" s="129"/>
      <c r="S1216" s="139" t="s">
        <v>6</v>
      </c>
      <c r="T1216" s="115" t="s">
        <v>4</v>
      </c>
      <c r="U1216" s="139" t="s">
        <v>12</v>
      </c>
      <c r="V1216" s="139" t="s">
        <v>2283</v>
      </c>
      <c r="W1216" s="139" t="s">
        <v>4</v>
      </c>
      <c r="X1216" s="139" t="s">
        <v>2865</v>
      </c>
      <c r="Y1216" s="112" t="s">
        <v>4</v>
      </c>
      <c r="Z1216" s="112" t="s">
        <v>4</v>
      </c>
      <c r="AA1216" s="139" t="s">
        <v>2865</v>
      </c>
    </row>
    <row r="1217" spans="1:27" ht="17.25" customHeight="1">
      <c r="A1217" s="69" t="str">
        <f>IF(priority(Main[[#This Row],[Comments]])&lt;&gt;0, priority(Main[[#This Row],[Comments]]),"")</f>
        <v/>
      </c>
      <c r="B1217" s="63" t="s">
        <v>3277</v>
      </c>
      <c r="C1217" s="148" t="s">
        <v>3278</v>
      </c>
      <c r="D1217" s="113" t="s">
        <v>3279</v>
      </c>
      <c r="E1217" s="129"/>
      <c r="F1217" s="129">
        <v>41117</v>
      </c>
      <c r="G1217" s="69" t="str">
        <f>IF(stdProdLT(Main[[#This Row],[Comments]])=0.1,"N/A",IF(stdProdLT(Main[[#This Row],[Comments]])=0,"",stdProdLT(Main[[#This Row],[Comments]])))</f>
        <v/>
      </c>
      <c r="H1217" s="138" t="str">
        <f>IF(Main[[#This Row],[In Stock Date]]="N/A", "N/A",IF(AND(Main[[#This Row],[In Stock Date]]&lt;&gt;"",Main[[#This Row],[Revised Due Date]]&lt;&gt;"",Main[[#This Row],[In Stock Date]]&lt;&gt;""),Main[[#This Row],[In Stock Date]]-Main[[#This Row],[Revised Due Date]],""))</f>
        <v/>
      </c>
      <c r="I1217" s="139" t="s">
        <v>4</v>
      </c>
      <c r="J1217" s="139" t="s">
        <v>4</v>
      </c>
      <c r="K1217" s="139" t="s">
        <v>4</v>
      </c>
      <c r="L1217" s="129"/>
      <c r="M1217" s="114" t="str">
        <f>IF(Main[[#This Row],[Tech Start Date]]&lt;1/1/1990,"",IF(Main[[#This Row],[Class]]="C",WORKDAY(Main[[#This Row],[Tech Start Date]],9),IF(Main[[#This Row],[Class]]="B", WORKDAY(Main[[#This Row],[Tech Start Date]],6),IF(Main[[#This Row],[Class]]="A",WORKDAY(Main[[#This Row],[Tech Start Date]],2),""))))</f>
        <v/>
      </c>
      <c r="N1217" s="114" t="str">
        <f>IF(Main[[#This Row],[Tech Start Date]]&lt;1/1/1990,"",IF(Main[[#This Row],[Class]]="C",WORKDAY(Main[[#This Row],[Tech Start Date]],19),IF(Main[[#This Row],[Class]]="B", WORKDAY(Main[[#This Row],[Tech Start Date]],12),IF(Main[[#This Row],[Class]]="A",WORKDAY(Main[[#This Row],[Tech Start Date]],4),""))))</f>
        <v/>
      </c>
      <c r="O1217" s="114" t="str">
        <f>IF(Main[[#This Row],[Tech Start Date]]&lt;1/1/1990,"",IF(Main[[#This Row],[Class]]="C",WORKDAY(Main[[#This Row],[Tech Start Date]],23),IF(Main[[#This Row],[Class]]="B", WORKDAY(Main[[#This Row],[Tech Start Date]],15),IF(Main[[#This Row],[Class]]="A",WORKDAY(Main[[#This Row],[Tech Start Date]],5),""))))</f>
        <v/>
      </c>
      <c r="P1217" s="114" t="str">
        <f>IF(Main[[#This Row],[Tech Start Date]]&lt;1/1/1990,"",IF(Main[[#This Row],[Class]]="C",WORKDAY(Main[[#This Row],[Tech Start Date]],28),IF(Main[[#This Row],[Class]]="B", WORKDAY(Main[[#This Row],[Tech Start Date]],19),IF(Main[[#This Row],[Class]]="A",WORKDAY(Main[[#This Row],[Tech Start Date]],9),""))))</f>
        <v/>
      </c>
      <c r="Q1217" s="129">
        <v>40935</v>
      </c>
      <c r="R1217" s="129"/>
      <c r="S1217" s="139" t="s">
        <v>11</v>
      </c>
      <c r="T1217" s="115" t="s">
        <v>3280</v>
      </c>
      <c r="U1217" s="139" t="s">
        <v>14</v>
      </c>
      <c r="V1217" s="139" t="s">
        <v>1914</v>
      </c>
      <c r="W1217" s="139" t="s">
        <v>1922</v>
      </c>
      <c r="X1217" s="139" t="s">
        <v>2906</v>
      </c>
      <c r="Y1217" s="112" t="s">
        <v>3096</v>
      </c>
      <c r="Z1217" s="112" t="s">
        <v>4</v>
      </c>
      <c r="AA1217" s="139" t="s">
        <v>2906</v>
      </c>
    </row>
    <row r="1218" spans="1:27" ht="17.25" customHeight="1">
      <c r="A1218" s="69" t="str">
        <f>IF(priority(Main[[#This Row],[Comments]])&lt;&gt;0, priority(Main[[#This Row],[Comments]]),"")</f>
        <v/>
      </c>
      <c r="B1218" s="63" t="s">
        <v>2725</v>
      </c>
      <c r="C1218" s="148" t="s">
        <v>4</v>
      </c>
      <c r="D1218" s="113" t="s">
        <v>2726</v>
      </c>
      <c r="E1218" s="129">
        <v>40884.635914351849</v>
      </c>
      <c r="F1218" s="129"/>
      <c r="G1218" s="69" t="str">
        <f>IF(stdProdLT(Main[[#This Row],[Comments]])=0.1,"N/A",IF(stdProdLT(Main[[#This Row],[Comments]])=0,"",stdProdLT(Main[[#This Row],[Comments]])))</f>
        <v/>
      </c>
      <c r="H1218" s="138" t="str">
        <f>IF(Main[[#This Row],[In Stock Date]]="N/A", "N/A",IF(AND(Main[[#This Row],[In Stock Date]]&lt;&gt;"",Main[[#This Row],[Revised Due Date]]&lt;&gt;"",Main[[#This Row],[In Stock Date]]&lt;&gt;""),Main[[#This Row],[In Stock Date]]-Main[[#This Row],[Revised Due Date]],""))</f>
        <v/>
      </c>
      <c r="I1218" s="139" t="s">
        <v>4</v>
      </c>
      <c r="J1218" s="139" t="s">
        <v>4</v>
      </c>
      <c r="K1218" s="139" t="s">
        <v>4</v>
      </c>
      <c r="L1218" s="129"/>
      <c r="M1218" s="114" t="str">
        <f>IF(Main[[#This Row],[Tech Start Date]]&lt;1/1/1990,"",IF(Main[[#This Row],[Class]]="C",WORKDAY(Main[[#This Row],[Tech Start Date]],9),IF(Main[[#This Row],[Class]]="B", WORKDAY(Main[[#This Row],[Tech Start Date]],6),IF(Main[[#This Row],[Class]]="A",WORKDAY(Main[[#This Row],[Tech Start Date]],2),""))))</f>
        <v/>
      </c>
      <c r="N1218" s="114" t="str">
        <f>IF(Main[[#This Row],[Tech Start Date]]&lt;1/1/1990,"",IF(Main[[#This Row],[Class]]="C",WORKDAY(Main[[#This Row],[Tech Start Date]],19),IF(Main[[#This Row],[Class]]="B", WORKDAY(Main[[#This Row],[Tech Start Date]],12),IF(Main[[#This Row],[Class]]="A",WORKDAY(Main[[#This Row],[Tech Start Date]],4),""))))</f>
        <v/>
      </c>
      <c r="O1218" s="114" t="str">
        <f>IF(Main[[#This Row],[Tech Start Date]]&lt;1/1/1990,"",IF(Main[[#This Row],[Class]]="C",WORKDAY(Main[[#This Row],[Tech Start Date]],23),IF(Main[[#This Row],[Class]]="B", WORKDAY(Main[[#This Row],[Tech Start Date]],15),IF(Main[[#This Row],[Class]]="A",WORKDAY(Main[[#This Row],[Tech Start Date]],5),""))))</f>
        <v/>
      </c>
      <c r="P1218" s="114" t="str">
        <f>IF(Main[[#This Row],[Tech Start Date]]&lt;1/1/1990,"",IF(Main[[#This Row],[Class]]="C",WORKDAY(Main[[#This Row],[Tech Start Date]],28),IF(Main[[#This Row],[Class]]="B", WORKDAY(Main[[#This Row],[Tech Start Date]],19),IF(Main[[#This Row],[Class]]="A",WORKDAY(Main[[#This Row],[Tech Start Date]],9),""))))</f>
        <v/>
      </c>
      <c r="Q1218" s="129">
        <v>41000</v>
      </c>
      <c r="R1218" s="129"/>
      <c r="S1218" s="139" t="s">
        <v>11</v>
      </c>
      <c r="T1218" s="115" t="s">
        <v>4</v>
      </c>
      <c r="U1218" s="139" t="s">
        <v>7</v>
      </c>
      <c r="V1218" s="139" t="s">
        <v>1929</v>
      </c>
      <c r="W1218" s="139" t="s">
        <v>1919</v>
      </c>
      <c r="X1218" s="139" t="s">
        <v>922</v>
      </c>
      <c r="Y1218" s="112" t="s">
        <v>3072</v>
      </c>
      <c r="Z1218" s="112" t="s">
        <v>4</v>
      </c>
      <c r="AA1218" s="139" t="s">
        <v>907</v>
      </c>
    </row>
    <row r="1219" spans="1:27" ht="17.25" customHeight="1">
      <c r="A1219" s="69" t="str">
        <f>IF(priority(Main[[#This Row],[Comments]])&lt;&gt;0, priority(Main[[#This Row],[Comments]]),"")</f>
        <v/>
      </c>
      <c r="B1219" s="63" t="s">
        <v>2271</v>
      </c>
      <c r="C1219" s="148" t="s">
        <v>4</v>
      </c>
      <c r="D1219" s="113" t="s">
        <v>2555</v>
      </c>
      <c r="E1219" s="129">
        <v>40809.3827662037</v>
      </c>
      <c r="F1219" s="129"/>
      <c r="G1219" s="69" t="str">
        <f>IF(stdProdLT(Main[[#This Row],[Comments]])=0.1,"N/A",IF(stdProdLT(Main[[#This Row],[Comments]])=0,"",stdProdLT(Main[[#This Row],[Comments]])))</f>
        <v/>
      </c>
      <c r="H1219" s="138" t="str">
        <f>IF(Main[[#This Row],[In Stock Date]]="N/A", "N/A",IF(AND(Main[[#This Row],[In Stock Date]]&lt;&gt;"",Main[[#This Row],[Revised Due Date]]&lt;&gt;"",Main[[#This Row],[In Stock Date]]&lt;&gt;""),Main[[#This Row],[In Stock Date]]-Main[[#This Row],[Revised Due Date]],""))</f>
        <v/>
      </c>
      <c r="I1219" s="139" t="s">
        <v>912</v>
      </c>
      <c r="J1219" s="139" t="s">
        <v>52</v>
      </c>
      <c r="K1219" s="140" t="s">
        <v>4</v>
      </c>
      <c r="L1219" s="129"/>
      <c r="M1219" s="114" t="str">
        <f>IF(Main[[#This Row],[Tech Start Date]]&lt;1/1/1990,"",IF(Main[[#This Row],[Class]]="C",WORKDAY(Main[[#This Row],[Tech Start Date]],9),IF(Main[[#This Row],[Class]]="B", WORKDAY(Main[[#This Row],[Tech Start Date]],6),IF(Main[[#This Row],[Class]]="A",WORKDAY(Main[[#This Row],[Tech Start Date]],2),""))))</f>
        <v/>
      </c>
      <c r="N1219" s="114" t="str">
        <f>IF(Main[[#This Row],[Tech Start Date]]&lt;1/1/1990,"",IF(Main[[#This Row],[Class]]="C",WORKDAY(Main[[#This Row],[Tech Start Date]],19),IF(Main[[#This Row],[Class]]="B", WORKDAY(Main[[#This Row],[Tech Start Date]],12),IF(Main[[#This Row],[Class]]="A",WORKDAY(Main[[#This Row],[Tech Start Date]],4),""))))</f>
        <v/>
      </c>
      <c r="O1219" s="114" t="str">
        <f>IF(Main[[#This Row],[Tech Start Date]]&lt;1/1/1990,"",IF(Main[[#This Row],[Class]]="C",WORKDAY(Main[[#This Row],[Tech Start Date]],23),IF(Main[[#This Row],[Class]]="B", WORKDAY(Main[[#This Row],[Tech Start Date]],15),IF(Main[[#This Row],[Class]]="A",WORKDAY(Main[[#This Row],[Tech Start Date]],5),""))))</f>
        <v/>
      </c>
      <c r="P1219" s="114" t="str">
        <f>IF(Main[[#This Row],[Tech Start Date]]&lt;1/1/1990,"",IF(Main[[#This Row],[Class]]="C",WORKDAY(Main[[#This Row],[Tech Start Date]],28),IF(Main[[#This Row],[Class]]="B", WORKDAY(Main[[#This Row],[Tech Start Date]],19),IF(Main[[#This Row],[Class]]="A",WORKDAY(Main[[#This Row],[Tech Start Date]],9),""))))</f>
        <v/>
      </c>
      <c r="Q1219" s="129"/>
      <c r="R1219" s="129">
        <v>40840</v>
      </c>
      <c r="S1219" s="139" t="s">
        <v>6</v>
      </c>
      <c r="T1219" s="115" t="s">
        <v>4</v>
      </c>
      <c r="U1219" s="139" t="s">
        <v>29</v>
      </c>
      <c r="V1219" s="139" t="s">
        <v>1914</v>
      </c>
      <c r="W1219" s="139" t="s">
        <v>1918</v>
      </c>
      <c r="X1219" s="139" t="s">
        <v>306</v>
      </c>
      <c r="Y1219" s="112" t="s">
        <v>4</v>
      </c>
      <c r="Z1219" s="112" t="s">
        <v>129</v>
      </c>
      <c r="AA1219" s="139" t="s">
        <v>50</v>
      </c>
    </row>
    <row r="1220" spans="1:27" ht="17.25" customHeight="1">
      <c r="A1220" s="69" t="str">
        <f>IF(priority(Main[[#This Row],[Comments]])&lt;&gt;0, priority(Main[[#This Row],[Comments]]),"")</f>
        <v/>
      </c>
      <c r="B1220" s="63" t="s">
        <v>1840</v>
      </c>
      <c r="C1220" s="148" t="s">
        <v>4</v>
      </c>
      <c r="D1220" s="113" t="s">
        <v>896</v>
      </c>
      <c r="E1220" s="129">
        <v>40241.453090277777</v>
      </c>
      <c r="F1220" s="129"/>
      <c r="G1220" s="69" t="str">
        <f>IF(stdProdLT(Main[[#This Row],[Comments]])=0.1,"N/A",IF(stdProdLT(Main[[#This Row],[Comments]])=0,"",stdProdLT(Main[[#This Row],[Comments]])))</f>
        <v/>
      </c>
      <c r="H1220" s="138" t="str">
        <f>IF(Main[[#This Row],[In Stock Date]]="N/A", "N/A",IF(AND(Main[[#This Row],[In Stock Date]]&lt;&gt;"",Main[[#This Row],[Revised Due Date]]&lt;&gt;"",Main[[#This Row],[In Stock Date]]&lt;&gt;""),Main[[#This Row],[In Stock Date]]-Main[[#This Row],[Revised Due Date]],""))</f>
        <v/>
      </c>
      <c r="I1220" s="139" t="s">
        <v>74</v>
      </c>
      <c r="J1220" s="139" t="s">
        <v>4</v>
      </c>
      <c r="K1220" s="139" t="s">
        <v>1926</v>
      </c>
      <c r="L1220" s="129"/>
      <c r="M1220" s="114" t="str">
        <f>IF(Main[[#This Row],[Tech Start Date]]&lt;1/1/1990,"",IF(Main[[#This Row],[Class]]="C",WORKDAY(Main[[#This Row],[Tech Start Date]],9),IF(Main[[#This Row],[Class]]="B", WORKDAY(Main[[#This Row],[Tech Start Date]],6),IF(Main[[#This Row],[Class]]="A",WORKDAY(Main[[#This Row],[Tech Start Date]],2),""))))</f>
        <v/>
      </c>
      <c r="N1220" s="114" t="str">
        <f>IF(Main[[#This Row],[Tech Start Date]]&lt;1/1/1990,"",IF(Main[[#This Row],[Class]]="C",WORKDAY(Main[[#This Row],[Tech Start Date]],19),IF(Main[[#This Row],[Class]]="B", WORKDAY(Main[[#This Row],[Tech Start Date]],12),IF(Main[[#This Row],[Class]]="A",WORKDAY(Main[[#This Row],[Tech Start Date]],4),""))))</f>
        <v/>
      </c>
      <c r="O1220" s="114" t="str">
        <f>IF(Main[[#This Row],[Tech Start Date]]&lt;1/1/1990,"",IF(Main[[#This Row],[Class]]="C",WORKDAY(Main[[#This Row],[Tech Start Date]],23),IF(Main[[#This Row],[Class]]="B", WORKDAY(Main[[#This Row],[Tech Start Date]],15),IF(Main[[#This Row],[Class]]="A",WORKDAY(Main[[#This Row],[Tech Start Date]],5),""))))</f>
        <v/>
      </c>
      <c r="P1220" s="114" t="str">
        <f>IF(Main[[#This Row],[Tech Start Date]]&lt;1/1/1990,"",IF(Main[[#This Row],[Class]]="C",WORKDAY(Main[[#This Row],[Tech Start Date]],28),IF(Main[[#This Row],[Class]]="B", WORKDAY(Main[[#This Row],[Tech Start Date]],19),IF(Main[[#This Row],[Class]]="A",WORKDAY(Main[[#This Row],[Tech Start Date]],9),""))))</f>
        <v/>
      </c>
      <c r="Q1220" s="129"/>
      <c r="R1220" s="129">
        <v>40967</v>
      </c>
      <c r="S1220" s="139" t="s">
        <v>17</v>
      </c>
      <c r="T1220" s="115" t="s">
        <v>4</v>
      </c>
      <c r="U1220" s="139" t="s">
        <v>29</v>
      </c>
      <c r="V1220" s="139" t="s">
        <v>1917</v>
      </c>
      <c r="W1220" s="139" t="s">
        <v>4</v>
      </c>
      <c r="X1220" s="139" t="s">
        <v>306</v>
      </c>
      <c r="Y1220" s="112" t="s">
        <v>2949</v>
      </c>
      <c r="Z1220" s="112" t="s">
        <v>415</v>
      </c>
      <c r="AA1220" s="139" t="s">
        <v>3434</v>
      </c>
    </row>
    <row r="1221" spans="1:27" ht="17.25" customHeight="1">
      <c r="A1221" s="69" t="str">
        <f>IF(priority(Main[[#This Row],[Comments]])&lt;&gt;0, priority(Main[[#This Row],[Comments]]),"")</f>
        <v/>
      </c>
      <c r="B1221" s="63" t="s">
        <v>2666</v>
      </c>
      <c r="C1221" s="148" t="s">
        <v>47</v>
      </c>
      <c r="D1221" s="113" t="s">
        <v>3348</v>
      </c>
      <c r="E1221" s="129">
        <v>40938.399201388886</v>
      </c>
      <c r="F1221" s="129"/>
      <c r="G1221" s="69" t="str">
        <f>IF(stdProdLT(Main[[#This Row],[Comments]])=0.1,"N/A",IF(stdProdLT(Main[[#This Row],[Comments]])=0,"",stdProdLT(Main[[#This Row],[Comments]])))</f>
        <v/>
      </c>
      <c r="H1221" s="138" t="str">
        <f>IF(Main[[#This Row],[In Stock Date]]="N/A", "N/A",IF(AND(Main[[#This Row],[In Stock Date]]&lt;&gt;"",Main[[#This Row],[Revised Due Date]]&lt;&gt;"",Main[[#This Row],[In Stock Date]]&lt;&gt;""),Main[[#This Row],[In Stock Date]]-Main[[#This Row],[Revised Due Date]],""))</f>
        <v/>
      </c>
      <c r="I1221" s="139" t="s">
        <v>4</v>
      </c>
      <c r="J1221" s="139" t="s">
        <v>4</v>
      </c>
      <c r="K1221" s="139" t="s">
        <v>4</v>
      </c>
      <c r="L1221" s="129"/>
      <c r="M1221" s="114" t="str">
        <f>IF(Main[[#This Row],[Tech Start Date]]&lt;1/1/1990,"",IF(Main[[#This Row],[Class]]="C",WORKDAY(Main[[#This Row],[Tech Start Date]],9),IF(Main[[#This Row],[Class]]="B", WORKDAY(Main[[#This Row],[Tech Start Date]],6),IF(Main[[#This Row],[Class]]="A",WORKDAY(Main[[#This Row],[Tech Start Date]],2),""))))</f>
        <v/>
      </c>
      <c r="N1221" s="114" t="str">
        <f>IF(Main[[#This Row],[Tech Start Date]]&lt;1/1/1990,"",IF(Main[[#This Row],[Class]]="C",WORKDAY(Main[[#This Row],[Tech Start Date]],19),IF(Main[[#This Row],[Class]]="B", WORKDAY(Main[[#This Row],[Tech Start Date]],12),IF(Main[[#This Row],[Class]]="A",WORKDAY(Main[[#This Row],[Tech Start Date]],4),""))))</f>
        <v/>
      </c>
      <c r="O1221" s="114" t="str">
        <f>IF(Main[[#This Row],[Tech Start Date]]&lt;1/1/1990,"",IF(Main[[#This Row],[Class]]="C",WORKDAY(Main[[#This Row],[Tech Start Date]],23),IF(Main[[#This Row],[Class]]="B", WORKDAY(Main[[#This Row],[Tech Start Date]],15),IF(Main[[#This Row],[Class]]="A",WORKDAY(Main[[#This Row],[Tech Start Date]],5),""))))</f>
        <v/>
      </c>
      <c r="P1221" s="114" t="str">
        <f>IF(Main[[#This Row],[Tech Start Date]]&lt;1/1/1990,"",IF(Main[[#This Row],[Class]]="C",WORKDAY(Main[[#This Row],[Tech Start Date]],28),IF(Main[[#This Row],[Class]]="B", WORKDAY(Main[[#This Row],[Tech Start Date]],19),IF(Main[[#This Row],[Class]]="A",WORKDAY(Main[[#This Row],[Tech Start Date]],9),""))))</f>
        <v/>
      </c>
      <c r="Q1221" s="129">
        <v>40913</v>
      </c>
      <c r="R1221" s="129"/>
      <c r="S1221" s="139" t="s">
        <v>6</v>
      </c>
      <c r="T1221" s="115" t="s">
        <v>4</v>
      </c>
      <c r="U1221" s="139" t="s">
        <v>7</v>
      </c>
      <c r="V1221" s="139" t="s">
        <v>2283</v>
      </c>
      <c r="W1221" s="139" t="s">
        <v>4</v>
      </c>
      <c r="X1221" s="139" t="s">
        <v>2865</v>
      </c>
      <c r="Y1221" s="112" t="s">
        <v>3010</v>
      </c>
      <c r="Z1221" s="112" t="s">
        <v>4</v>
      </c>
      <c r="AA1221" s="139" t="s">
        <v>2865</v>
      </c>
    </row>
    <row r="1222" spans="1:27" ht="17.25" customHeight="1">
      <c r="A1222" s="69" t="str">
        <f>IF(priority(Main[[#This Row],[Comments]])&lt;&gt;0, priority(Main[[#This Row],[Comments]]),"")</f>
        <v/>
      </c>
      <c r="B1222" s="63" t="s">
        <v>3349</v>
      </c>
      <c r="C1222" s="148" t="s">
        <v>4</v>
      </c>
      <c r="D1222" s="113" t="s">
        <v>3685</v>
      </c>
      <c r="E1222" s="129">
        <v>40938.460613425923</v>
      </c>
      <c r="F1222" s="129"/>
      <c r="G1222" s="69" t="str">
        <f>IF(stdProdLT(Main[[#This Row],[Comments]])=0.1,"N/A",IF(stdProdLT(Main[[#This Row],[Comments]])=0,"",stdProdLT(Main[[#This Row],[Comments]])))</f>
        <v/>
      </c>
      <c r="H1222" s="138" t="str">
        <f>IF(Main[[#This Row],[In Stock Date]]="N/A", "N/A",IF(AND(Main[[#This Row],[In Stock Date]]&lt;&gt;"",Main[[#This Row],[Revised Due Date]]&lt;&gt;"",Main[[#This Row],[In Stock Date]]&lt;&gt;""),Main[[#This Row],[In Stock Date]]-Main[[#This Row],[Revised Due Date]],""))</f>
        <v/>
      </c>
      <c r="I1222" s="139" t="s">
        <v>69</v>
      </c>
      <c r="J1222" s="139" t="s">
        <v>70</v>
      </c>
      <c r="K1222" s="139" t="s">
        <v>4</v>
      </c>
      <c r="L1222" s="129"/>
      <c r="M1222" s="114" t="str">
        <f>IF(Main[[#This Row],[Tech Start Date]]&lt;1/1/1990,"",IF(Main[[#This Row],[Class]]="C",WORKDAY(Main[[#This Row],[Tech Start Date]],9),IF(Main[[#This Row],[Class]]="B", WORKDAY(Main[[#This Row],[Tech Start Date]],6),IF(Main[[#This Row],[Class]]="A",WORKDAY(Main[[#This Row],[Tech Start Date]],2),""))))</f>
        <v/>
      </c>
      <c r="N1222" s="114" t="str">
        <f>IF(Main[[#This Row],[Tech Start Date]]&lt;1/1/1990,"",IF(Main[[#This Row],[Class]]="C",WORKDAY(Main[[#This Row],[Tech Start Date]],19),IF(Main[[#This Row],[Class]]="B", WORKDAY(Main[[#This Row],[Tech Start Date]],12),IF(Main[[#This Row],[Class]]="A",WORKDAY(Main[[#This Row],[Tech Start Date]],4),""))))</f>
        <v/>
      </c>
      <c r="O1222" s="114" t="str">
        <f>IF(Main[[#This Row],[Tech Start Date]]&lt;1/1/1990,"",IF(Main[[#This Row],[Class]]="C",WORKDAY(Main[[#This Row],[Tech Start Date]],23),IF(Main[[#This Row],[Class]]="B", WORKDAY(Main[[#This Row],[Tech Start Date]],15),IF(Main[[#This Row],[Class]]="A",WORKDAY(Main[[#This Row],[Tech Start Date]],5),""))))</f>
        <v/>
      </c>
      <c r="P1222" s="114" t="str">
        <f>IF(Main[[#This Row],[Tech Start Date]]&lt;1/1/1990,"",IF(Main[[#This Row],[Class]]="C",WORKDAY(Main[[#This Row],[Tech Start Date]],28),IF(Main[[#This Row],[Class]]="B", WORKDAY(Main[[#This Row],[Tech Start Date]],19),IF(Main[[#This Row],[Class]]="A",WORKDAY(Main[[#This Row],[Tech Start Date]],9),""))))</f>
        <v/>
      </c>
      <c r="Q1222" s="129"/>
      <c r="R1222" s="129"/>
      <c r="S1222" s="139" t="s">
        <v>6</v>
      </c>
      <c r="T1222" s="115" t="s">
        <v>4</v>
      </c>
      <c r="U1222" s="139" t="s">
        <v>29</v>
      </c>
      <c r="V1222" s="139" t="s">
        <v>1917</v>
      </c>
      <c r="W1222" s="139" t="s">
        <v>4</v>
      </c>
      <c r="X1222" s="139" t="s">
        <v>2841</v>
      </c>
      <c r="Y1222" s="112" t="s">
        <v>2971</v>
      </c>
      <c r="Z1222" s="112" t="s">
        <v>4</v>
      </c>
      <c r="AA1222" s="139" t="s">
        <v>2841</v>
      </c>
    </row>
    <row r="1223" spans="1:27" ht="17.25" customHeight="1">
      <c r="A1223" s="69" t="str">
        <f>IF(priority(Main[[#This Row],[Comments]])&lt;&gt;0, priority(Main[[#This Row],[Comments]]),"")</f>
        <v/>
      </c>
      <c r="B1223" s="63" t="s">
        <v>3345</v>
      </c>
      <c r="C1223" s="148" t="s">
        <v>148</v>
      </c>
      <c r="D1223" s="113" t="s">
        <v>3346</v>
      </c>
      <c r="E1223" s="129">
        <v>40967.389756944445</v>
      </c>
      <c r="F1223" s="129">
        <v>41128</v>
      </c>
      <c r="G1223" s="69">
        <f>IF(stdProdLT(Main[[#This Row],[Comments]])=0.1,"N/A",IF(stdProdLT(Main[[#This Row],[Comments]])=0,"",stdProdLT(Main[[#This Row],[Comments]])))</f>
        <v>168</v>
      </c>
      <c r="H1223" s="138" t="str">
        <f>IF(Main[[#This Row],[In Stock Date]]="N/A", "N/A",IF(AND(Main[[#This Row],[In Stock Date]]&lt;&gt;"",Main[[#This Row],[Revised Due Date]]&lt;&gt;"",Main[[#This Row],[In Stock Date]]&lt;&gt;""),Main[[#This Row],[In Stock Date]]-Main[[#This Row],[Revised Due Date]],""))</f>
        <v/>
      </c>
      <c r="I1223" s="139" t="s">
        <v>4</v>
      </c>
      <c r="J1223" s="139" t="s">
        <v>4</v>
      </c>
      <c r="K1223" s="140" t="s">
        <v>4</v>
      </c>
      <c r="L1223" s="129"/>
      <c r="M1223" s="114" t="str">
        <f>IF(Main[[#This Row],[Tech Start Date]]&lt;1/1/1990,"",IF(Main[[#This Row],[Class]]="C",WORKDAY(Main[[#This Row],[Tech Start Date]],9),IF(Main[[#This Row],[Class]]="B", WORKDAY(Main[[#This Row],[Tech Start Date]],6),IF(Main[[#This Row],[Class]]="A",WORKDAY(Main[[#This Row],[Tech Start Date]],2),""))))</f>
        <v/>
      </c>
      <c r="N1223" s="114" t="str">
        <f>IF(Main[[#This Row],[Tech Start Date]]&lt;1/1/1990,"",IF(Main[[#This Row],[Class]]="C",WORKDAY(Main[[#This Row],[Tech Start Date]],19),IF(Main[[#This Row],[Class]]="B", WORKDAY(Main[[#This Row],[Tech Start Date]],12),IF(Main[[#This Row],[Class]]="A",WORKDAY(Main[[#This Row],[Tech Start Date]],4),""))))</f>
        <v/>
      </c>
      <c r="O1223" s="114" t="str">
        <f>IF(Main[[#This Row],[Tech Start Date]]&lt;1/1/1990,"",IF(Main[[#This Row],[Class]]="C",WORKDAY(Main[[#This Row],[Tech Start Date]],23),IF(Main[[#This Row],[Class]]="B", WORKDAY(Main[[#This Row],[Tech Start Date]],15),IF(Main[[#This Row],[Class]]="A",WORKDAY(Main[[#This Row],[Tech Start Date]],5),""))))</f>
        <v/>
      </c>
      <c r="P1223" s="114" t="str">
        <f>IF(Main[[#This Row],[Tech Start Date]]&lt;1/1/1990,"",IF(Main[[#This Row],[Class]]="C",WORKDAY(Main[[#This Row],[Tech Start Date]],28),IF(Main[[#This Row],[Class]]="B", WORKDAY(Main[[#This Row],[Tech Start Date]],19),IF(Main[[#This Row],[Class]]="A",WORKDAY(Main[[#This Row],[Tech Start Date]],9),""))))</f>
        <v/>
      </c>
      <c r="Q1223" s="129"/>
      <c r="R1223" s="129"/>
      <c r="S1223" s="139" t="s">
        <v>11</v>
      </c>
      <c r="T1223" s="115" t="s">
        <v>3686</v>
      </c>
      <c r="U1223" s="139" t="s">
        <v>694</v>
      </c>
      <c r="V1223" s="139" t="s">
        <v>1917</v>
      </c>
      <c r="W1223" s="139" t="s">
        <v>1922</v>
      </c>
      <c r="X1223" s="139" t="s">
        <v>2893</v>
      </c>
      <c r="Y1223" s="112" t="s">
        <v>3055</v>
      </c>
      <c r="Z1223" s="112" t="s">
        <v>4</v>
      </c>
      <c r="AA1223" s="139" t="s">
        <v>2893</v>
      </c>
    </row>
    <row r="1224" spans="1:27" ht="17.25" customHeight="1">
      <c r="A1224" s="69" t="str">
        <f>IF(priority(Main[[#This Row],[Comments]])&lt;&gt;0, priority(Main[[#This Row],[Comments]]),"")</f>
        <v/>
      </c>
      <c r="B1224" s="63" t="s">
        <v>1201</v>
      </c>
      <c r="C1224" s="148" t="s">
        <v>4</v>
      </c>
      <c r="D1224" s="113" t="s">
        <v>3687</v>
      </c>
      <c r="E1224" s="129">
        <v>40667.612881944442</v>
      </c>
      <c r="F1224" s="129"/>
      <c r="G1224" s="69" t="str">
        <f>IF(stdProdLT(Main[[#This Row],[Comments]])=0.1,"N/A",IF(stdProdLT(Main[[#This Row],[Comments]])=0,"",stdProdLT(Main[[#This Row],[Comments]])))</f>
        <v/>
      </c>
      <c r="H1224" s="138" t="str">
        <f>IF(Main[[#This Row],[In Stock Date]]="N/A", "N/A",IF(AND(Main[[#This Row],[In Stock Date]]&lt;&gt;"",Main[[#This Row],[Revised Due Date]]&lt;&gt;"",Main[[#This Row],[In Stock Date]]&lt;&gt;""),Main[[#This Row],[In Stock Date]]-Main[[#This Row],[Revised Due Date]],""))</f>
        <v/>
      </c>
      <c r="I1224" s="139" t="s">
        <v>4</v>
      </c>
      <c r="J1224" s="139" t="s">
        <v>4</v>
      </c>
      <c r="K1224" s="139" t="s">
        <v>4</v>
      </c>
      <c r="L1224" s="129"/>
      <c r="M1224" s="114" t="str">
        <f>IF(Main[[#This Row],[Tech Start Date]]&lt;1/1/1990,"",IF(Main[[#This Row],[Class]]="C",WORKDAY(Main[[#This Row],[Tech Start Date]],9),IF(Main[[#This Row],[Class]]="B", WORKDAY(Main[[#This Row],[Tech Start Date]],6),IF(Main[[#This Row],[Class]]="A",WORKDAY(Main[[#This Row],[Tech Start Date]],2),""))))</f>
        <v/>
      </c>
      <c r="N1224" s="114" t="str">
        <f>IF(Main[[#This Row],[Tech Start Date]]&lt;1/1/1990,"",IF(Main[[#This Row],[Class]]="C",WORKDAY(Main[[#This Row],[Tech Start Date]],19),IF(Main[[#This Row],[Class]]="B", WORKDAY(Main[[#This Row],[Tech Start Date]],12),IF(Main[[#This Row],[Class]]="A",WORKDAY(Main[[#This Row],[Tech Start Date]],4),""))))</f>
        <v/>
      </c>
      <c r="O1224" s="114" t="str">
        <f>IF(Main[[#This Row],[Tech Start Date]]&lt;1/1/1990,"",IF(Main[[#This Row],[Class]]="C",WORKDAY(Main[[#This Row],[Tech Start Date]],23),IF(Main[[#This Row],[Class]]="B", WORKDAY(Main[[#This Row],[Tech Start Date]],15),IF(Main[[#This Row],[Class]]="A",WORKDAY(Main[[#This Row],[Tech Start Date]],5),""))))</f>
        <v/>
      </c>
      <c r="P1224" s="114" t="str">
        <f>IF(Main[[#This Row],[Tech Start Date]]&lt;1/1/1990,"",IF(Main[[#This Row],[Class]]="C",WORKDAY(Main[[#This Row],[Tech Start Date]],28),IF(Main[[#This Row],[Class]]="B", WORKDAY(Main[[#This Row],[Tech Start Date]],19),IF(Main[[#This Row],[Class]]="A",WORKDAY(Main[[#This Row],[Tech Start Date]],9),""))))</f>
        <v/>
      </c>
      <c r="Q1224" s="129">
        <v>40858</v>
      </c>
      <c r="R1224" s="129"/>
      <c r="S1224" s="139" t="s">
        <v>17</v>
      </c>
      <c r="T1224" s="115" t="s">
        <v>4</v>
      </c>
      <c r="U1224" s="139" t="s">
        <v>7</v>
      </c>
      <c r="V1224" s="139" t="s">
        <v>1914</v>
      </c>
      <c r="W1224" s="139" t="s">
        <v>1919</v>
      </c>
      <c r="X1224" s="139" t="s">
        <v>50</v>
      </c>
      <c r="Y1224" s="112" t="s">
        <v>2959</v>
      </c>
      <c r="Z1224" s="112" t="s">
        <v>4</v>
      </c>
      <c r="AA1224" s="139" t="s">
        <v>2828</v>
      </c>
    </row>
    <row r="1225" spans="1:27" ht="17.25" customHeight="1">
      <c r="A1225" s="69" t="str">
        <f>IF(priority(Main[[#This Row],[Comments]])&lt;&gt;0, priority(Main[[#This Row],[Comments]]),"")</f>
        <v/>
      </c>
      <c r="B1225" s="63" t="s">
        <v>3688</v>
      </c>
      <c r="C1225" s="148" t="s">
        <v>4</v>
      </c>
      <c r="D1225" s="113" t="s">
        <v>3689</v>
      </c>
      <c r="E1225" s="129">
        <v>40960.145115740743</v>
      </c>
      <c r="F1225" s="129"/>
      <c r="G1225" s="69" t="str">
        <f>IF(stdProdLT(Main[[#This Row],[Comments]])=0.1,"N/A",IF(stdProdLT(Main[[#This Row],[Comments]])=0,"",stdProdLT(Main[[#This Row],[Comments]])))</f>
        <v/>
      </c>
      <c r="H1225" s="138" t="str">
        <f>IF(Main[[#This Row],[In Stock Date]]="N/A", "N/A",IF(AND(Main[[#This Row],[In Stock Date]]&lt;&gt;"",Main[[#This Row],[Revised Due Date]]&lt;&gt;"",Main[[#This Row],[In Stock Date]]&lt;&gt;""),Main[[#This Row],[In Stock Date]]-Main[[#This Row],[Revised Due Date]],""))</f>
        <v/>
      </c>
      <c r="I1225" s="139" t="s">
        <v>912</v>
      </c>
      <c r="J1225" s="139" t="s">
        <v>52</v>
      </c>
      <c r="K1225" s="139" t="s">
        <v>4</v>
      </c>
      <c r="L1225" s="129"/>
      <c r="M1225" s="114" t="str">
        <f>IF(Main[[#This Row],[Tech Start Date]]&lt;1/1/1990,"",IF(Main[[#This Row],[Class]]="C",WORKDAY(Main[[#This Row],[Tech Start Date]],9),IF(Main[[#This Row],[Class]]="B", WORKDAY(Main[[#This Row],[Tech Start Date]],6),IF(Main[[#This Row],[Class]]="A",WORKDAY(Main[[#This Row],[Tech Start Date]],2),""))))</f>
        <v/>
      </c>
      <c r="N1225" s="114" t="str">
        <f>IF(Main[[#This Row],[Tech Start Date]]&lt;1/1/1990,"",IF(Main[[#This Row],[Class]]="C",WORKDAY(Main[[#This Row],[Tech Start Date]],19),IF(Main[[#This Row],[Class]]="B", WORKDAY(Main[[#This Row],[Tech Start Date]],12),IF(Main[[#This Row],[Class]]="A",WORKDAY(Main[[#This Row],[Tech Start Date]],4),""))))</f>
        <v/>
      </c>
      <c r="O1225" s="114" t="str">
        <f>IF(Main[[#This Row],[Tech Start Date]]&lt;1/1/1990,"",IF(Main[[#This Row],[Class]]="C",WORKDAY(Main[[#This Row],[Tech Start Date]],23),IF(Main[[#This Row],[Class]]="B", WORKDAY(Main[[#This Row],[Tech Start Date]],15),IF(Main[[#This Row],[Class]]="A",WORKDAY(Main[[#This Row],[Tech Start Date]],5),""))))</f>
        <v/>
      </c>
      <c r="P1225" s="114" t="str">
        <f>IF(Main[[#This Row],[Tech Start Date]]&lt;1/1/1990,"",IF(Main[[#This Row],[Class]]="C",WORKDAY(Main[[#This Row],[Tech Start Date]],28),IF(Main[[#This Row],[Class]]="B", WORKDAY(Main[[#This Row],[Tech Start Date]],19),IF(Main[[#This Row],[Class]]="A",WORKDAY(Main[[#This Row],[Tech Start Date]],9),""))))</f>
        <v/>
      </c>
      <c r="Q1225" s="129">
        <v>40989</v>
      </c>
      <c r="R1225" s="129"/>
      <c r="S1225" s="139" t="s">
        <v>6</v>
      </c>
      <c r="T1225" s="115" t="s">
        <v>4</v>
      </c>
      <c r="U1225" s="139" t="s">
        <v>29</v>
      </c>
      <c r="V1225" s="139" t="s">
        <v>1914</v>
      </c>
      <c r="W1225" s="139" t="s">
        <v>4</v>
      </c>
      <c r="X1225" s="139" t="s">
        <v>2822</v>
      </c>
      <c r="Y1225" s="112" t="s">
        <v>2938</v>
      </c>
      <c r="Z1225" s="112" t="s">
        <v>129</v>
      </c>
      <c r="AA1225" s="139" t="s">
        <v>2822</v>
      </c>
    </row>
    <row r="1226" spans="1:27" ht="17.25" customHeight="1">
      <c r="A1226" s="69" t="str">
        <f>IF(priority(Main[[#This Row],[Comments]])&lt;&gt;0, priority(Main[[#This Row],[Comments]]),"")</f>
        <v/>
      </c>
      <c r="B1226" s="63" t="s">
        <v>2734</v>
      </c>
      <c r="C1226" s="148" t="s">
        <v>4</v>
      </c>
      <c r="D1226" s="113" t="s">
        <v>3353</v>
      </c>
      <c r="E1226" s="129">
        <v>40891.136469907404</v>
      </c>
      <c r="F1226" s="129"/>
      <c r="G1226" s="69" t="str">
        <f>IF(stdProdLT(Main[[#This Row],[Comments]])=0.1,"N/A",IF(stdProdLT(Main[[#This Row],[Comments]])=0,"",stdProdLT(Main[[#This Row],[Comments]])))</f>
        <v/>
      </c>
      <c r="H1226" s="138" t="str">
        <f>IF(Main[[#This Row],[In Stock Date]]="N/A", "N/A",IF(AND(Main[[#This Row],[In Stock Date]]&lt;&gt;"",Main[[#This Row],[Revised Due Date]]&lt;&gt;"",Main[[#This Row],[In Stock Date]]&lt;&gt;""),Main[[#This Row],[In Stock Date]]-Main[[#This Row],[Revised Due Date]],""))</f>
        <v/>
      </c>
      <c r="I1226" s="139" t="s">
        <v>69</v>
      </c>
      <c r="J1226" s="139" t="s">
        <v>70</v>
      </c>
      <c r="K1226" s="139" t="s">
        <v>1923</v>
      </c>
      <c r="L1226" s="129"/>
      <c r="M1226" s="114" t="str">
        <f>IF(Main[[#This Row],[Tech Start Date]]&lt;1/1/1990,"",IF(Main[[#This Row],[Class]]="C",WORKDAY(Main[[#This Row],[Tech Start Date]],9),IF(Main[[#This Row],[Class]]="B", WORKDAY(Main[[#This Row],[Tech Start Date]],6),IF(Main[[#This Row],[Class]]="A",WORKDAY(Main[[#This Row],[Tech Start Date]],2),""))))</f>
        <v/>
      </c>
      <c r="N1226" s="114" t="str">
        <f>IF(Main[[#This Row],[Tech Start Date]]&lt;1/1/1990,"",IF(Main[[#This Row],[Class]]="C",WORKDAY(Main[[#This Row],[Tech Start Date]],19),IF(Main[[#This Row],[Class]]="B", WORKDAY(Main[[#This Row],[Tech Start Date]],12),IF(Main[[#This Row],[Class]]="A",WORKDAY(Main[[#This Row],[Tech Start Date]],4),""))))</f>
        <v/>
      </c>
      <c r="O1226" s="114" t="str">
        <f>IF(Main[[#This Row],[Tech Start Date]]&lt;1/1/1990,"",IF(Main[[#This Row],[Class]]="C",WORKDAY(Main[[#This Row],[Tech Start Date]],23),IF(Main[[#This Row],[Class]]="B", WORKDAY(Main[[#This Row],[Tech Start Date]],15),IF(Main[[#This Row],[Class]]="A",WORKDAY(Main[[#This Row],[Tech Start Date]],5),""))))</f>
        <v/>
      </c>
      <c r="P1226" s="114" t="str">
        <f>IF(Main[[#This Row],[Tech Start Date]]&lt;1/1/1990,"",IF(Main[[#This Row],[Class]]="C",WORKDAY(Main[[#This Row],[Tech Start Date]],28),IF(Main[[#This Row],[Class]]="B", WORKDAY(Main[[#This Row],[Tech Start Date]],19),IF(Main[[#This Row],[Class]]="A",WORKDAY(Main[[#This Row],[Tech Start Date]],9),""))))</f>
        <v/>
      </c>
      <c r="Q1226" s="129">
        <v>40914</v>
      </c>
      <c r="R1226" s="129"/>
      <c r="S1226" s="139" t="s">
        <v>6</v>
      </c>
      <c r="T1226" s="115" t="s">
        <v>4</v>
      </c>
      <c r="U1226" s="139" t="s">
        <v>29</v>
      </c>
      <c r="V1226" s="139" t="s">
        <v>1917</v>
      </c>
      <c r="W1226" s="139" t="s">
        <v>1918</v>
      </c>
      <c r="X1226" s="139" t="s">
        <v>2851</v>
      </c>
      <c r="Y1226" s="112" t="s">
        <v>2986</v>
      </c>
      <c r="Z1226" s="112" t="s">
        <v>30</v>
      </c>
      <c r="AA1226" s="139" t="s">
        <v>2851</v>
      </c>
    </row>
    <row r="1227" spans="1:27" ht="17.25" customHeight="1">
      <c r="A1227" s="69" t="str">
        <f>IF(priority(Main[[#This Row],[Comments]])&lt;&gt;0, priority(Main[[#This Row],[Comments]]),"")</f>
        <v/>
      </c>
      <c r="B1227" s="63" t="s">
        <v>2558</v>
      </c>
      <c r="C1227" s="148" t="s">
        <v>4</v>
      </c>
      <c r="D1227" s="113" t="s">
        <v>2559</v>
      </c>
      <c r="E1227" s="129">
        <v>40835.766481481478</v>
      </c>
      <c r="F1227" s="129"/>
      <c r="G1227" s="69" t="str">
        <f>IF(stdProdLT(Main[[#This Row],[Comments]])=0.1,"N/A",IF(stdProdLT(Main[[#This Row],[Comments]])=0,"",stdProdLT(Main[[#This Row],[Comments]])))</f>
        <v/>
      </c>
      <c r="H1227" s="138" t="str">
        <f>IF(Main[[#This Row],[In Stock Date]]="N/A", "N/A",IF(AND(Main[[#This Row],[In Stock Date]]&lt;&gt;"",Main[[#This Row],[Revised Due Date]]&lt;&gt;"",Main[[#This Row],[In Stock Date]]&lt;&gt;""),Main[[#This Row],[In Stock Date]]-Main[[#This Row],[Revised Due Date]],""))</f>
        <v/>
      </c>
      <c r="I1227" s="139" t="s">
        <v>4</v>
      </c>
      <c r="J1227" s="139" t="s">
        <v>4</v>
      </c>
      <c r="K1227" s="139" t="s">
        <v>4</v>
      </c>
      <c r="L1227" s="129"/>
      <c r="M1227" s="114" t="str">
        <f>IF(Main[[#This Row],[Tech Start Date]]&lt;1/1/1990,"",IF(Main[[#This Row],[Class]]="C",WORKDAY(Main[[#This Row],[Tech Start Date]],9),IF(Main[[#This Row],[Class]]="B", WORKDAY(Main[[#This Row],[Tech Start Date]],6),IF(Main[[#This Row],[Class]]="A",WORKDAY(Main[[#This Row],[Tech Start Date]],2),""))))</f>
        <v/>
      </c>
      <c r="N1227" s="114" t="str">
        <f>IF(Main[[#This Row],[Tech Start Date]]&lt;1/1/1990,"",IF(Main[[#This Row],[Class]]="C",WORKDAY(Main[[#This Row],[Tech Start Date]],19),IF(Main[[#This Row],[Class]]="B", WORKDAY(Main[[#This Row],[Tech Start Date]],12),IF(Main[[#This Row],[Class]]="A",WORKDAY(Main[[#This Row],[Tech Start Date]],4),""))))</f>
        <v/>
      </c>
      <c r="O1227" s="114" t="str">
        <f>IF(Main[[#This Row],[Tech Start Date]]&lt;1/1/1990,"",IF(Main[[#This Row],[Class]]="C",WORKDAY(Main[[#This Row],[Tech Start Date]],23),IF(Main[[#This Row],[Class]]="B", WORKDAY(Main[[#This Row],[Tech Start Date]],15),IF(Main[[#This Row],[Class]]="A",WORKDAY(Main[[#This Row],[Tech Start Date]],5),""))))</f>
        <v/>
      </c>
      <c r="P1227" s="114" t="str">
        <f>IF(Main[[#This Row],[Tech Start Date]]&lt;1/1/1990,"",IF(Main[[#This Row],[Class]]="C",WORKDAY(Main[[#This Row],[Tech Start Date]],28),IF(Main[[#This Row],[Class]]="B", WORKDAY(Main[[#This Row],[Tech Start Date]],19),IF(Main[[#This Row],[Class]]="A",WORKDAY(Main[[#This Row],[Tech Start Date]],9),""))))</f>
        <v/>
      </c>
      <c r="Q1227" s="129">
        <v>40858</v>
      </c>
      <c r="R1227" s="129"/>
      <c r="S1227" s="139" t="s">
        <v>6</v>
      </c>
      <c r="T1227" s="115" t="s">
        <v>4</v>
      </c>
      <c r="U1227" s="139" t="s">
        <v>7</v>
      </c>
      <c r="V1227" s="139" t="s">
        <v>1917</v>
      </c>
      <c r="W1227" s="139" t="s">
        <v>4</v>
      </c>
      <c r="X1227" s="139" t="s">
        <v>2819</v>
      </c>
      <c r="Y1227" s="112" t="s">
        <v>2932</v>
      </c>
      <c r="Z1227" s="112" t="s">
        <v>4</v>
      </c>
      <c r="AA1227" s="139" t="s">
        <v>2819</v>
      </c>
    </row>
    <row r="1228" spans="1:27" ht="17.25" customHeight="1">
      <c r="A1228" s="69" t="str">
        <f>IF(priority(Main[[#This Row],[Comments]])&lt;&gt;0, priority(Main[[#This Row],[Comments]]),"")</f>
        <v/>
      </c>
      <c r="B1228" s="63" t="s">
        <v>2560</v>
      </c>
      <c r="C1228" s="148" t="s">
        <v>4</v>
      </c>
      <c r="D1228" s="113" t="s">
        <v>2561</v>
      </c>
      <c r="E1228" s="129"/>
      <c r="F1228" s="129"/>
      <c r="G1228" s="69" t="str">
        <f>IF(stdProdLT(Main[[#This Row],[Comments]])=0.1,"N/A",IF(stdProdLT(Main[[#This Row],[Comments]])=0,"",stdProdLT(Main[[#This Row],[Comments]])))</f>
        <v/>
      </c>
      <c r="H1228" s="138" t="str">
        <f>IF(Main[[#This Row],[In Stock Date]]="N/A", "N/A",IF(AND(Main[[#This Row],[In Stock Date]]&lt;&gt;"",Main[[#This Row],[Revised Due Date]]&lt;&gt;"",Main[[#This Row],[In Stock Date]]&lt;&gt;""),Main[[#This Row],[In Stock Date]]-Main[[#This Row],[Revised Due Date]],""))</f>
        <v/>
      </c>
      <c r="I1228" s="139" t="s">
        <v>4</v>
      </c>
      <c r="J1228" s="139" t="s">
        <v>4</v>
      </c>
      <c r="K1228" s="140" t="s">
        <v>4</v>
      </c>
      <c r="L1228" s="129"/>
      <c r="M1228" s="114" t="str">
        <f>IF(Main[[#This Row],[Tech Start Date]]&lt;1/1/1990,"",IF(Main[[#This Row],[Class]]="C",WORKDAY(Main[[#This Row],[Tech Start Date]],9),IF(Main[[#This Row],[Class]]="B", WORKDAY(Main[[#This Row],[Tech Start Date]],6),IF(Main[[#This Row],[Class]]="A",WORKDAY(Main[[#This Row],[Tech Start Date]],2),""))))</f>
        <v/>
      </c>
      <c r="N1228" s="114" t="str">
        <f>IF(Main[[#This Row],[Tech Start Date]]&lt;1/1/1990,"",IF(Main[[#This Row],[Class]]="C",WORKDAY(Main[[#This Row],[Tech Start Date]],19),IF(Main[[#This Row],[Class]]="B", WORKDAY(Main[[#This Row],[Tech Start Date]],12),IF(Main[[#This Row],[Class]]="A",WORKDAY(Main[[#This Row],[Tech Start Date]],4),""))))</f>
        <v/>
      </c>
      <c r="O1228" s="114" t="str">
        <f>IF(Main[[#This Row],[Tech Start Date]]&lt;1/1/1990,"",IF(Main[[#This Row],[Class]]="C",WORKDAY(Main[[#This Row],[Tech Start Date]],23),IF(Main[[#This Row],[Class]]="B", WORKDAY(Main[[#This Row],[Tech Start Date]],15),IF(Main[[#This Row],[Class]]="A",WORKDAY(Main[[#This Row],[Tech Start Date]],5),""))))</f>
        <v/>
      </c>
      <c r="P1228" s="114" t="str">
        <f>IF(Main[[#This Row],[Tech Start Date]]&lt;1/1/1990,"",IF(Main[[#This Row],[Class]]="C",WORKDAY(Main[[#This Row],[Tech Start Date]],28),IF(Main[[#This Row],[Class]]="B", WORKDAY(Main[[#This Row],[Tech Start Date]],19),IF(Main[[#This Row],[Class]]="A",WORKDAY(Main[[#This Row],[Tech Start Date]],9),""))))</f>
        <v/>
      </c>
      <c r="Q1228" s="129"/>
      <c r="R1228" s="129"/>
      <c r="S1228" s="139" t="s">
        <v>11</v>
      </c>
      <c r="T1228" s="115" t="s">
        <v>4</v>
      </c>
      <c r="U1228" s="139" t="s">
        <v>14</v>
      </c>
      <c r="V1228" s="139" t="s">
        <v>1915</v>
      </c>
      <c r="W1228" s="139" t="s">
        <v>4</v>
      </c>
      <c r="X1228" s="139" t="s">
        <v>2249</v>
      </c>
      <c r="Y1228" s="112" t="s">
        <v>4</v>
      </c>
      <c r="Z1228" s="112" t="s">
        <v>4</v>
      </c>
      <c r="AA1228" s="139" t="s">
        <v>4</v>
      </c>
    </row>
    <row r="1229" spans="1:27" ht="17.25" customHeight="1">
      <c r="A1229" s="69" t="str">
        <f>IF(priority(Main[[#This Row],[Comments]])&lt;&gt;0, priority(Main[[#This Row],[Comments]]),"")</f>
        <v/>
      </c>
      <c r="B1229" s="63" t="s">
        <v>1698</v>
      </c>
      <c r="C1229" s="148" t="s">
        <v>4</v>
      </c>
      <c r="D1229" s="113" t="s">
        <v>2113</v>
      </c>
      <c r="E1229" s="129"/>
      <c r="F1229" s="129"/>
      <c r="G1229" s="69" t="str">
        <f>IF(stdProdLT(Main[[#This Row],[Comments]])=0.1,"N/A",IF(stdProdLT(Main[[#This Row],[Comments]])=0,"",stdProdLT(Main[[#This Row],[Comments]])))</f>
        <v/>
      </c>
      <c r="H1229" s="138" t="str">
        <f>IF(Main[[#This Row],[In Stock Date]]="N/A", "N/A",IF(AND(Main[[#This Row],[In Stock Date]]&lt;&gt;"",Main[[#This Row],[Revised Due Date]]&lt;&gt;"",Main[[#This Row],[In Stock Date]]&lt;&gt;""),Main[[#This Row],[In Stock Date]]-Main[[#This Row],[Revised Due Date]],""))</f>
        <v/>
      </c>
      <c r="I1229" s="139" t="s">
        <v>69</v>
      </c>
      <c r="J1229" s="139" t="s">
        <v>70</v>
      </c>
      <c r="K1229" s="140" t="s">
        <v>1923</v>
      </c>
      <c r="L1229" s="129"/>
      <c r="M1229" s="114" t="str">
        <f>IF(Main[[#This Row],[Tech Start Date]]&lt;1/1/1990,"",IF(Main[[#This Row],[Class]]="C",WORKDAY(Main[[#This Row],[Tech Start Date]],9),IF(Main[[#This Row],[Class]]="B", WORKDAY(Main[[#This Row],[Tech Start Date]],6),IF(Main[[#This Row],[Class]]="A",WORKDAY(Main[[#This Row],[Tech Start Date]],2),""))))</f>
        <v/>
      </c>
      <c r="N1229" s="114" t="str">
        <f>IF(Main[[#This Row],[Tech Start Date]]&lt;1/1/1990,"",IF(Main[[#This Row],[Class]]="C",WORKDAY(Main[[#This Row],[Tech Start Date]],19),IF(Main[[#This Row],[Class]]="B", WORKDAY(Main[[#This Row],[Tech Start Date]],12),IF(Main[[#This Row],[Class]]="A",WORKDAY(Main[[#This Row],[Tech Start Date]],4),""))))</f>
        <v/>
      </c>
      <c r="O1229" s="114" t="str">
        <f>IF(Main[[#This Row],[Tech Start Date]]&lt;1/1/1990,"",IF(Main[[#This Row],[Class]]="C",WORKDAY(Main[[#This Row],[Tech Start Date]],23),IF(Main[[#This Row],[Class]]="B", WORKDAY(Main[[#This Row],[Tech Start Date]],15),IF(Main[[#This Row],[Class]]="A",WORKDAY(Main[[#This Row],[Tech Start Date]],5),""))))</f>
        <v/>
      </c>
      <c r="P1229" s="114" t="str">
        <f>IF(Main[[#This Row],[Tech Start Date]]&lt;1/1/1990,"",IF(Main[[#This Row],[Class]]="C",WORKDAY(Main[[#This Row],[Tech Start Date]],28),IF(Main[[#This Row],[Class]]="B", WORKDAY(Main[[#This Row],[Tech Start Date]],19),IF(Main[[#This Row],[Class]]="A",WORKDAY(Main[[#This Row],[Tech Start Date]],9),""))))</f>
        <v/>
      </c>
      <c r="Q1229" s="129">
        <v>40816</v>
      </c>
      <c r="R1229" s="129"/>
      <c r="S1229" s="139" t="s">
        <v>6</v>
      </c>
      <c r="T1229" s="115" t="s">
        <v>4</v>
      </c>
      <c r="U1229" s="139" t="s">
        <v>14</v>
      </c>
      <c r="V1229" s="139" t="s">
        <v>1917</v>
      </c>
      <c r="W1229" s="139" t="s">
        <v>1919</v>
      </c>
      <c r="X1229" s="139" t="s">
        <v>530</v>
      </c>
      <c r="Y1229" s="112" t="s">
        <v>4</v>
      </c>
      <c r="Z1229" s="112" t="s">
        <v>30</v>
      </c>
      <c r="AA1229" s="139" t="s">
        <v>530</v>
      </c>
    </row>
    <row r="1230" spans="1:27" ht="17.25" customHeight="1">
      <c r="A1230" s="69" t="str">
        <f>IF(priority(Main[[#This Row],[Comments]])&lt;&gt;0, priority(Main[[#This Row],[Comments]]),"")</f>
        <v/>
      </c>
      <c r="B1230" s="63" t="s">
        <v>3508</v>
      </c>
      <c r="C1230" s="148" t="s">
        <v>4</v>
      </c>
      <c r="D1230" s="113" t="s">
        <v>3690</v>
      </c>
      <c r="E1230" s="129">
        <v>40942.690023148149</v>
      </c>
      <c r="F1230" s="129"/>
      <c r="G1230" s="69" t="str">
        <f>IF(stdProdLT(Main[[#This Row],[Comments]])=0.1,"N/A",IF(stdProdLT(Main[[#This Row],[Comments]])=0,"",stdProdLT(Main[[#This Row],[Comments]])))</f>
        <v/>
      </c>
      <c r="H1230" s="138" t="str">
        <f>IF(Main[[#This Row],[In Stock Date]]="N/A", "N/A",IF(AND(Main[[#This Row],[In Stock Date]]&lt;&gt;"",Main[[#This Row],[Revised Due Date]]&lt;&gt;"",Main[[#This Row],[In Stock Date]]&lt;&gt;""),Main[[#This Row],[In Stock Date]]-Main[[#This Row],[Revised Due Date]],""))</f>
        <v/>
      </c>
      <c r="I1230" s="139" t="s">
        <v>69</v>
      </c>
      <c r="J1230" s="139" t="s">
        <v>70</v>
      </c>
      <c r="K1230" s="139" t="s">
        <v>1923</v>
      </c>
      <c r="L1230" s="129"/>
      <c r="M1230" s="114" t="str">
        <f>IF(Main[[#This Row],[Tech Start Date]]&lt;1/1/1990,"",IF(Main[[#This Row],[Class]]="C",WORKDAY(Main[[#This Row],[Tech Start Date]],9),IF(Main[[#This Row],[Class]]="B", WORKDAY(Main[[#This Row],[Tech Start Date]],6),IF(Main[[#This Row],[Class]]="A",WORKDAY(Main[[#This Row],[Tech Start Date]],2),""))))</f>
        <v/>
      </c>
      <c r="N1230" s="114" t="str">
        <f>IF(Main[[#This Row],[Tech Start Date]]&lt;1/1/1990,"",IF(Main[[#This Row],[Class]]="C",WORKDAY(Main[[#This Row],[Tech Start Date]],19),IF(Main[[#This Row],[Class]]="B", WORKDAY(Main[[#This Row],[Tech Start Date]],12),IF(Main[[#This Row],[Class]]="A",WORKDAY(Main[[#This Row],[Tech Start Date]],4),""))))</f>
        <v/>
      </c>
      <c r="O1230" s="114" t="str">
        <f>IF(Main[[#This Row],[Tech Start Date]]&lt;1/1/1990,"",IF(Main[[#This Row],[Class]]="C",WORKDAY(Main[[#This Row],[Tech Start Date]],23),IF(Main[[#This Row],[Class]]="B", WORKDAY(Main[[#This Row],[Tech Start Date]],15),IF(Main[[#This Row],[Class]]="A",WORKDAY(Main[[#This Row],[Tech Start Date]],5),""))))</f>
        <v/>
      </c>
      <c r="P1230" s="114" t="str">
        <f>IF(Main[[#This Row],[Tech Start Date]]&lt;1/1/1990,"",IF(Main[[#This Row],[Class]]="C",WORKDAY(Main[[#This Row],[Tech Start Date]],28),IF(Main[[#This Row],[Class]]="B", WORKDAY(Main[[#This Row],[Tech Start Date]],19),IF(Main[[#This Row],[Class]]="A",WORKDAY(Main[[#This Row],[Tech Start Date]],9),""))))</f>
        <v/>
      </c>
      <c r="Q1230" s="129">
        <v>40970</v>
      </c>
      <c r="R1230" s="129"/>
      <c r="S1230" s="139" t="s">
        <v>6</v>
      </c>
      <c r="T1230" s="115" t="s">
        <v>4</v>
      </c>
      <c r="U1230" s="139" t="s">
        <v>29</v>
      </c>
      <c r="V1230" s="139" t="s">
        <v>1917</v>
      </c>
      <c r="W1230" s="139" t="s">
        <v>1918</v>
      </c>
      <c r="X1230" s="139" t="s">
        <v>2819</v>
      </c>
      <c r="Y1230" s="112" t="s">
        <v>2932</v>
      </c>
      <c r="Z1230" s="112" t="s">
        <v>30</v>
      </c>
      <c r="AA1230" s="139" t="s">
        <v>2819</v>
      </c>
    </row>
    <row r="1231" spans="1:27" ht="17.25" customHeight="1">
      <c r="A1231" s="69" t="str">
        <f>IF(priority(Main[[#This Row],[Comments]])&lt;&gt;0, priority(Main[[#This Row],[Comments]]),"")</f>
        <v/>
      </c>
      <c r="B1231" s="63" t="s">
        <v>2287</v>
      </c>
      <c r="C1231" s="148" t="s">
        <v>4</v>
      </c>
      <c r="D1231" s="113" t="s">
        <v>2565</v>
      </c>
      <c r="E1231" s="129"/>
      <c r="F1231" s="129"/>
      <c r="G1231" s="69" t="str">
        <f>IF(stdProdLT(Main[[#This Row],[Comments]])=0.1,"N/A",IF(stdProdLT(Main[[#This Row],[Comments]])=0,"",stdProdLT(Main[[#This Row],[Comments]])))</f>
        <v/>
      </c>
      <c r="H1231" s="138" t="str">
        <f>IF(Main[[#This Row],[In Stock Date]]="N/A", "N/A",IF(AND(Main[[#This Row],[In Stock Date]]&lt;&gt;"",Main[[#This Row],[Revised Due Date]]&lt;&gt;"",Main[[#This Row],[In Stock Date]]&lt;&gt;""),Main[[#This Row],[In Stock Date]]-Main[[#This Row],[Revised Due Date]],""))</f>
        <v/>
      </c>
      <c r="I1231" s="139" t="s">
        <v>2208</v>
      </c>
      <c r="J1231" s="139" t="s">
        <v>75</v>
      </c>
      <c r="K1231" s="140" t="s">
        <v>1923</v>
      </c>
      <c r="L1231" s="129"/>
      <c r="M1231" s="114" t="str">
        <f>IF(Main[[#This Row],[Tech Start Date]]&lt;1/1/1990,"",IF(Main[[#This Row],[Class]]="C",WORKDAY(Main[[#This Row],[Tech Start Date]],9),IF(Main[[#This Row],[Class]]="B", WORKDAY(Main[[#This Row],[Tech Start Date]],6),IF(Main[[#This Row],[Class]]="A",WORKDAY(Main[[#This Row],[Tech Start Date]],2),""))))</f>
        <v/>
      </c>
      <c r="N1231" s="114" t="str">
        <f>IF(Main[[#This Row],[Tech Start Date]]&lt;1/1/1990,"",IF(Main[[#This Row],[Class]]="C",WORKDAY(Main[[#This Row],[Tech Start Date]],19),IF(Main[[#This Row],[Class]]="B", WORKDAY(Main[[#This Row],[Tech Start Date]],12),IF(Main[[#This Row],[Class]]="A",WORKDAY(Main[[#This Row],[Tech Start Date]],4),""))))</f>
        <v/>
      </c>
      <c r="O1231" s="114" t="str">
        <f>IF(Main[[#This Row],[Tech Start Date]]&lt;1/1/1990,"",IF(Main[[#This Row],[Class]]="C",WORKDAY(Main[[#This Row],[Tech Start Date]],23),IF(Main[[#This Row],[Class]]="B", WORKDAY(Main[[#This Row],[Tech Start Date]],15),IF(Main[[#This Row],[Class]]="A",WORKDAY(Main[[#This Row],[Tech Start Date]],5),""))))</f>
        <v/>
      </c>
      <c r="P1231" s="114" t="str">
        <f>IF(Main[[#This Row],[Tech Start Date]]&lt;1/1/1990,"",IF(Main[[#This Row],[Class]]="C",WORKDAY(Main[[#This Row],[Tech Start Date]],28),IF(Main[[#This Row],[Class]]="B", WORKDAY(Main[[#This Row],[Tech Start Date]],19),IF(Main[[#This Row],[Class]]="A",WORKDAY(Main[[#This Row],[Tech Start Date]],9),""))))</f>
        <v/>
      </c>
      <c r="Q1231" s="129"/>
      <c r="R1231" s="129"/>
      <c r="S1231" s="139" t="s">
        <v>6</v>
      </c>
      <c r="T1231" s="115" t="s">
        <v>4</v>
      </c>
      <c r="U1231" s="139" t="s">
        <v>14</v>
      </c>
      <c r="V1231" s="139" t="s">
        <v>1924</v>
      </c>
      <c r="W1231" s="139" t="s">
        <v>1918</v>
      </c>
      <c r="X1231" s="139" t="s">
        <v>2208</v>
      </c>
      <c r="Y1231" s="112" t="s">
        <v>3127</v>
      </c>
      <c r="Z1231" s="112" t="s">
        <v>306</v>
      </c>
      <c r="AA1231" s="139" t="s">
        <v>2208</v>
      </c>
    </row>
    <row r="1232" spans="1:27" ht="17.25" customHeight="1">
      <c r="A1232" s="69" t="str">
        <f>IF(priority(Main[[#This Row],[Comments]])&lt;&gt;0, priority(Main[[#This Row],[Comments]]),"")</f>
        <v/>
      </c>
      <c r="B1232" s="63" t="s">
        <v>1590</v>
      </c>
      <c r="C1232" s="148" t="s">
        <v>4</v>
      </c>
      <c r="D1232" s="113" t="s">
        <v>667</v>
      </c>
      <c r="E1232" s="129"/>
      <c r="F1232" s="129"/>
      <c r="G1232" s="69" t="str">
        <f>IF(stdProdLT(Main[[#This Row],[Comments]])=0.1,"N/A",IF(stdProdLT(Main[[#This Row],[Comments]])=0,"",stdProdLT(Main[[#This Row],[Comments]])))</f>
        <v/>
      </c>
      <c r="H1232" s="138" t="str">
        <f>IF(Main[[#This Row],[In Stock Date]]="N/A", "N/A",IF(AND(Main[[#This Row],[In Stock Date]]&lt;&gt;"",Main[[#This Row],[Revised Due Date]]&lt;&gt;"",Main[[#This Row],[In Stock Date]]&lt;&gt;""),Main[[#This Row],[In Stock Date]]-Main[[#This Row],[Revised Due Date]],""))</f>
        <v/>
      </c>
      <c r="I1232" s="139" t="s">
        <v>4</v>
      </c>
      <c r="J1232" s="139" t="s">
        <v>4</v>
      </c>
      <c r="K1232" s="139" t="s">
        <v>4</v>
      </c>
      <c r="L1232" s="129"/>
      <c r="M1232" s="114" t="str">
        <f>IF(Main[[#This Row],[Tech Start Date]]&lt;1/1/1990,"",IF(Main[[#This Row],[Class]]="C",WORKDAY(Main[[#This Row],[Tech Start Date]],9),IF(Main[[#This Row],[Class]]="B", WORKDAY(Main[[#This Row],[Tech Start Date]],6),IF(Main[[#This Row],[Class]]="A",WORKDAY(Main[[#This Row],[Tech Start Date]],2),""))))</f>
        <v/>
      </c>
      <c r="N1232" s="114" t="str">
        <f>IF(Main[[#This Row],[Tech Start Date]]&lt;1/1/1990,"",IF(Main[[#This Row],[Class]]="C",WORKDAY(Main[[#This Row],[Tech Start Date]],19),IF(Main[[#This Row],[Class]]="B", WORKDAY(Main[[#This Row],[Tech Start Date]],12),IF(Main[[#This Row],[Class]]="A",WORKDAY(Main[[#This Row],[Tech Start Date]],4),""))))</f>
        <v/>
      </c>
      <c r="O1232" s="114" t="str">
        <f>IF(Main[[#This Row],[Tech Start Date]]&lt;1/1/1990,"",IF(Main[[#This Row],[Class]]="C",WORKDAY(Main[[#This Row],[Tech Start Date]],23),IF(Main[[#This Row],[Class]]="B", WORKDAY(Main[[#This Row],[Tech Start Date]],15),IF(Main[[#This Row],[Class]]="A",WORKDAY(Main[[#This Row],[Tech Start Date]],5),""))))</f>
        <v/>
      </c>
      <c r="P1232" s="114" t="str">
        <f>IF(Main[[#This Row],[Tech Start Date]]&lt;1/1/1990,"",IF(Main[[#This Row],[Class]]="C",WORKDAY(Main[[#This Row],[Tech Start Date]],28),IF(Main[[#This Row],[Class]]="B", WORKDAY(Main[[#This Row],[Tech Start Date]],19),IF(Main[[#This Row],[Class]]="A",WORKDAY(Main[[#This Row],[Tech Start Date]],9),""))))</f>
        <v/>
      </c>
      <c r="Q1232" s="129"/>
      <c r="R1232" s="129"/>
      <c r="S1232" s="139" t="s">
        <v>6</v>
      </c>
      <c r="T1232" s="115" t="s">
        <v>4</v>
      </c>
      <c r="U1232" s="139" t="s">
        <v>14</v>
      </c>
      <c r="V1232" s="139" t="s">
        <v>1914</v>
      </c>
      <c r="W1232" s="139" t="s">
        <v>1922</v>
      </c>
      <c r="X1232" s="139" t="s">
        <v>2052</v>
      </c>
      <c r="Y1232" s="112" t="s">
        <v>3002</v>
      </c>
      <c r="Z1232" s="112" t="s">
        <v>4</v>
      </c>
      <c r="AA1232" s="139" t="s">
        <v>2052</v>
      </c>
    </row>
    <row r="1233" spans="1:27" ht="17.25" customHeight="1">
      <c r="A1233" s="69" t="str">
        <f>IF(priority(Main[[#This Row],[Comments]])&lt;&gt;0, priority(Main[[#This Row],[Comments]]),"")</f>
        <v/>
      </c>
      <c r="B1233" s="63" t="s">
        <v>2664</v>
      </c>
      <c r="C1233" s="148" t="s">
        <v>4</v>
      </c>
      <c r="D1233" s="113" t="s">
        <v>2665</v>
      </c>
      <c r="E1233" s="129"/>
      <c r="F1233" s="129"/>
      <c r="G1233" s="69" t="str">
        <f>IF(stdProdLT(Main[[#This Row],[Comments]])=0.1,"N/A",IF(stdProdLT(Main[[#This Row],[Comments]])=0,"",stdProdLT(Main[[#This Row],[Comments]])))</f>
        <v/>
      </c>
      <c r="H1233" s="138" t="str">
        <f>IF(Main[[#This Row],[In Stock Date]]="N/A", "N/A",IF(AND(Main[[#This Row],[In Stock Date]]&lt;&gt;"",Main[[#This Row],[Revised Due Date]]&lt;&gt;"",Main[[#This Row],[In Stock Date]]&lt;&gt;""),Main[[#This Row],[In Stock Date]]-Main[[#This Row],[Revised Due Date]],""))</f>
        <v/>
      </c>
      <c r="I1233" s="139" t="s">
        <v>4</v>
      </c>
      <c r="J1233" s="139" t="s">
        <v>4</v>
      </c>
      <c r="K1233" s="139" t="s">
        <v>4</v>
      </c>
      <c r="L1233" s="129"/>
      <c r="M1233" s="114" t="str">
        <f>IF(Main[[#This Row],[Tech Start Date]]&lt;1/1/1990,"",IF(Main[[#This Row],[Class]]="C",WORKDAY(Main[[#This Row],[Tech Start Date]],9),IF(Main[[#This Row],[Class]]="B", WORKDAY(Main[[#This Row],[Tech Start Date]],6),IF(Main[[#This Row],[Class]]="A",WORKDAY(Main[[#This Row],[Tech Start Date]],2),""))))</f>
        <v/>
      </c>
      <c r="N1233" s="114" t="str">
        <f>IF(Main[[#This Row],[Tech Start Date]]&lt;1/1/1990,"",IF(Main[[#This Row],[Class]]="C",WORKDAY(Main[[#This Row],[Tech Start Date]],19),IF(Main[[#This Row],[Class]]="B", WORKDAY(Main[[#This Row],[Tech Start Date]],12),IF(Main[[#This Row],[Class]]="A",WORKDAY(Main[[#This Row],[Tech Start Date]],4),""))))</f>
        <v/>
      </c>
      <c r="O1233" s="114" t="str">
        <f>IF(Main[[#This Row],[Tech Start Date]]&lt;1/1/1990,"",IF(Main[[#This Row],[Class]]="C",WORKDAY(Main[[#This Row],[Tech Start Date]],23),IF(Main[[#This Row],[Class]]="B", WORKDAY(Main[[#This Row],[Tech Start Date]],15),IF(Main[[#This Row],[Class]]="A",WORKDAY(Main[[#This Row],[Tech Start Date]],5),""))))</f>
        <v/>
      </c>
      <c r="P1233" s="114" t="str">
        <f>IF(Main[[#This Row],[Tech Start Date]]&lt;1/1/1990,"",IF(Main[[#This Row],[Class]]="C",WORKDAY(Main[[#This Row],[Tech Start Date]],28),IF(Main[[#This Row],[Class]]="B", WORKDAY(Main[[#This Row],[Tech Start Date]],19),IF(Main[[#This Row],[Class]]="A",WORKDAY(Main[[#This Row],[Tech Start Date]],9),""))))</f>
        <v/>
      </c>
      <c r="Q1233" s="129"/>
      <c r="R1233" s="129"/>
      <c r="S1233" s="139" t="s">
        <v>11</v>
      </c>
      <c r="T1233" s="115" t="s">
        <v>4</v>
      </c>
      <c r="U1233" s="139" t="s">
        <v>14</v>
      </c>
      <c r="V1233" s="139" t="s">
        <v>1924</v>
      </c>
      <c r="W1233" s="139" t="s">
        <v>1922</v>
      </c>
      <c r="X1233" s="139" t="s">
        <v>2857</v>
      </c>
      <c r="Y1233" s="112" t="s">
        <v>2998</v>
      </c>
      <c r="Z1233" s="112" t="s">
        <v>4</v>
      </c>
      <c r="AA1233" s="139" t="s">
        <v>2857</v>
      </c>
    </row>
    <row r="1234" spans="1:27" ht="17.25" customHeight="1">
      <c r="A1234" s="69" t="str">
        <f>IF(priority(Main[[#This Row],[Comments]])&lt;&gt;0, priority(Main[[#This Row],[Comments]]),"")</f>
        <v/>
      </c>
      <c r="B1234" s="63" t="s">
        <v>2367</v>
      </c>
      <c r="C1234" s="148" t="s">
        <v>4</v>
      </c>
      <c r="D1234" s="113" t="s">
        <v>2368</v>
      </c>
      <c r="E1234" s="129">
        <v>40856.690810185188</v>
      </c>
      <c r="F1234" s="129"/>
      <c r="G1234" s="69" t="str">
        <f>IF(stdProdLT(Main[[#This Row],[Comments]])=0.1,"N/A",IF(stdProdLT(Main[[#This Row],[Comments]])=0,"",stdProdLT(Main[[#This Row],[Comments]])))</f>
        <v/>
      </c>
      <c r="H1234" s="138" t="str">
        <f>IF(Main[[#This Row],[In Stock Date]]="N/A", "N/A",IF(AND(Main[[#This Row],[In Stock Date]]&lt;&gt;"",Main[[#This Row],[Revised Due Date]]&lt;&gt;"",Main[[#This Row],[In Stock Date]]&lt;&gt;""),Main[[#This Row],[In Stock Date]]-Main[[#This Row],[Revised Due Date]],""))</f>
        <v/>
      </c>
      <c r="I1234" s="139" t="s">
        <v>4</v>
      </c>
      <c r="J1234" s="139" t="s">
        <v>4</v>
      </c>
      <c r="K1234" s="139" t="s">
        <v>4</v>
      </c>
      <c r="L1234" s="129"/>
      <c r="M1234" s="114" t="str">
        <f>IF(Main[[#This Row],[Tech Start Date]]&lt;1/1/1990,"",IF(Main[[#This Row],[Class]]="C",WORKDAY(Main[[#This Row],[Tech Start Date]],9),IF(Main[[#This Row],[Class]]="B", WORKDAY(Main[[#This Row],[Tech Start Date]],6),IF(Main[[#This Row],[Class]]="A",WORKDAY(Main[[#This Row],[Tech Start Date]],2),""))))</f>
        <v/>
      </c>
      <c r="N1234" s="114" t="str">
        <f>IF(Main[[#This Row],[Tech Start Date]]&lt;1/1/1990,"",IF(Main[[#This Row],[Class]]="C",WORKDAY(Main[[#This Row],[Tech Start Date]],19),IF(Main[[#This Row],[Class]]="B", WORKDAY(Main[[#This Row],[Tech Start Date]],12),IF(Main[[#This Row],[Class]]="A",WORKDAY(Main[[#This Row],[Tech Start Date]],4),""))))</f>
        <v/>
      </c>
      <c r="O1234" s="114" t="str">
        <f>IF(Main[[#This Row],[Tech Start Date]]&lt;1/1/1990,"",IF(Main[[#This Row],[Class]]="C",WORKDAY(Main[[#This Row],[Tech Start Date]],23),IF(Main[[#This Row],[Class]]="B", WORKDAY(Main[[#This Row],[Tech Start Date]],15),IF(Main[[#This Row],[Class]]="A",WORKDAY(Main[[#This Row],[Tech Start Date]],5),""))))</f>
        <v/>
      </c>
      <c r="P1234" s="114" t="str">
        <f>IF(Main[[#This Row],[Tech Start Date]]&lt;1/1/1990,"",IF(Main[[#This Row],[Class]]="C",WORKDAY(Main[[#This Row],[Tech Start Date]],28),IF(Main[[#This Row],[Class]]="B", WORKDAY(Main[[#This Row],[Tech Start Date]],19),IF(Main[[#This Row],[Class]]="A",WORKDAY(Main[[#This Row],[Tech Start Date]],9),""))))</f>
        <v/>
      </c>
      <c r="Q1234" s="129"/>
      <c r="R1234" s="129"/>
      <c r="S1234" s="139" t="s">
        <v>6</v>
      </c>
      <c r="T1234" s="115" t="s">
        <v>4</v>
      </c>
      <c r="U1234" s="139" t="s">
        <v>7</v>
      </c>
      <c r="V1234" s="139" t="s">
        <v>1914</v>
      </c>
      <c r="W1234" s="139" t="s">
        <v>1918</v>
      </c>
      <c r="X1234" s="139" t="s">
        <v>2817</v>
      </c>
      <c r="Y1234" s="112" t="s">
        <v>3130</v>
      </c>
      <c r="Z1234" s="112" t="s">
        <v>4</v>
      </c>
      <c r="AA1234" s="139" t="s">
        <v>2817</v>
      </c>
    </row>
    <row r="1235" spans="1:27" ht="17.25" customHeight="1">
      <c r="A1235" s="69" t="str">
        <f>IF(priority(Main[[#This Row],[Comments]])&lt;&gt;0, priority(Main[[#This Row],[Comments]]),"")</f>
        <v/>
      </c>
      <c r="B1235" s="63" t="s">
        <v>3691</v>
      </c>
      <c r="C1235" s="148" t="s">
        <v>3692</v>
      </c>
      <c r="D1235" s="113" t="s">
        <v>3693</v>
      </c>
      <c r="E1235" s="129"/>
      <c r="F1235" s="129"/>
      <c r="G1235" s="69" t="str">
        <f>IF(stdProdLT(Main[[#This Row],[Comments]])=0.1,"N/A",IF(stdProdLT(Main[[#This Row],[Comments]])=0,"",stdProdLT(Main[[#This Row],[Comments]])))</f>
        <v/>
      </c>
      <c r="H1235" s="138" t="str">
        <f>IF(Main[[#This Row],[In Stock Date]]="N/A", "N/A",IF(AND(Main[[#This Row],[In Stock Date]]&lt;&gt;"",Main[[#This Row],[Revised Due Date]]&lt;&gt;"",Main[[#This Row],[In Stock Date]]&lt;&gt;""),Main[[#This Row],[In Stock Date]]-Main[[#This Row],[Revised Due Date]],""))</f>
        <v/>
      </c>
      <c r="I1235" s="139" t="s">
        <v>4</v>
      </c>
      <c r="J1235" s="139" t="s">
        <v>4</v>
      </c>
      <c r="K1235" s="139" t="s">
        <v>4</v>
      </c>
      <c r="L1235" s="129"/>
      <c r="M1235" s="114" t="str">
        <f>IF(Main[[#This Row],[Tech Start Date]]&lt;1/1/1990,"",IF(Main[[#This Row],[Class]]="C",WORKDAY(Main[[#This Row],[Tech Start Date]],9),IF(Main[[#This Row],[Class]]="B", WORKDAY(Main[[#This Row],[Tech Start Date]],6),IF(Main[[#This Row],[Class]]="A",WORKDAY(Main[[#This Row],[Tech Start Date]],2),""))))</f>
        <v/>
      </c>
      <c r="N1235" s="114" t="str">
        <f>IF(Main[[#This Row],[Tech Start Date]]&lt;1/1/1990,"",IF(Main[[#This Row],[Class]]="C",WORKDAY(Main[[#This Row],[Tech Start Date]],19),IF(Main[[#This Row],[Class]]="B", WORKDAY(Main[[#This Row],[Tech Start Date]],12),IF(Main[[#This Row],[Class]]="A",WORKDAY(Main[[#This Row],[Tech Start Date]],4),""))))</f>
        <v/>
      </c>
      <c r="O1235" s="114" t="str">
        <f>IF(Main[[#This Row],[Tech Start Date]]&lt;1/1/1990,"",IF(Main[[#This Row],[Class]]="C",WORKDAY(Main[[#This Row],[Tech Start Date]],23),IF(Main[[#This Row],[Class]]="B", WORKDAY(Main[[#This Row],[Tech Start Date]],15),IF(Main[[#This Row],[Class]]="A",WORKDAY(Main[[#This Row],[Tech Start Date]],5),""))))</f>
        <v/>
      </c>
      <c r="P1235" s="114" t="str">
        <f>IF(Main[[#This Row],[Tech Start Date]]&lt;1/1/1990,"",IF(Main[[#This Row],[Class]]="C",WORKDAY(Main[[#This Row],[Tech Start Date]],28),IF(Main[[#This Row],[Class]]="B", WORKDAY(Main[[#This Row],[Tech Start Date]],19),IF(Main[[#This Row],[Class]]="A",WORKDAY(Main[[#This Row],[Tech Start Date]],9),""))))</f>
        <v/>
      </c>
      <c r="Q1235" s="129">
        <v>40970</v>
      </c>
      <c r="R1235" s="129"/>
      <c r="S1235" s="139" t="s">
        <v>11</v>
      </c>
      <c r="T1235" s="115" t="s">
        <v>4</v>
      </c>
      <c r="U1235" s="139" t="s">
        <v>14</v>
      </c>
      <c r="V1235" s="139" t="s">
        <v>1915</v>
      </c>
      <c r="W1235" s="139" t="s">
        <v>1916</v>
      </c>
      <c r="X1235" s="139" t="s">
        <v>2816</v>
      </c>
      <c r="Y1235" s="112" t="s">
        <v>4</v>
      </c>
      <c r="Z1235" s="112" t="s">
        <v>4</v>
      </c>
      <c r="AA1235" s="139" t="s">
        <v>2816</v>
      </c>
    </row>
    <row r="1236" spans="1:27" ht="17.25" customHeight="1">
      <c r="A1236" s="69" t="str">
        <f>IF(priority(Main[[#This Row],[Comments]])&lt;&gt;0, priority(Main[[#This Row],[Comments]]),"")</f>
        <v/>
      </c>
      <c r="B1236" s="63" t="s">
        <v>3358</v>
      </c>
      <c r="C1236" s="148" t="s">
        <v>47</v>
      </c>
      <c r="D1236" s="113" t="s">
        <v>3359</v>
      </c>
      <c r="E1236" s="129">
        <v>40938.378252314818</v>
      </c>
      <c r="F1236" s="129"/>
      <c r="G1236" s="69" t="str">
        <f>IF(stdProdLT(Main[[#This Row],[Comments]])=0.1,"N/A",IF(stdProdLT(Main[[#This Row],[Comments]])=0,"",stdProdLT(Main[[#This Row],[Comments]])))</f>
        <v/>
      </c>
      <c r="H1236" s="138" t="str">
        <f>IF(Main[[#This Row],[In Stock Date]]="N/A", "N/A",IF(AND(Main[[#This Row],[In Stock Date]]&lt;&gt;"",Main[[#This Row],[Revised Due Date]]&lt;&gt;"",Main[[#This Row],[In Stock Date]]&lt;&gt;""),Main[[#This Row],[In Stock Date]]-Main[[#This Row],[Revised Due Date]],""))</f>
        <v/>
      </c>
      <c r="I1236" s="139" t="s">
        <v>4</v>
      </c>
      <c r="J1236" s="139" t="s">
        <v>4</v>
      </c>
      <c r="K1236" s="139" t="s">
        <v>4</v>
      </c>
      <c r="L1236" s="129"/>
      <c r="M1236" s="114" t="str">
        <f>IF(Main[[#This Row],[Tech Start Date]]&lt;1/1/1990,"",IF(Main[[#This Row],[Class]]="C",WORKDAY(Main[[#This Row],[Tech Start Date]],9),IF(Main[[#This Row],[Class]]="B", WORKDAY(Main[[#This Row],[Tech Start Date]],6),IF(Main[[#This Row],[Class]]="A",WORKDAY(Main[[#This Row],[Tech Start Date]],2),""))))</f>
        <v/>
      </c>
      <c r="N1236" s="114" t="str">
        <f>IF(Main[[#This Row],[Tech Start Date]]&lt;1/1/1990,"",IF(Main[[#This Row],[Class]]="C",WORKDAY(Main[[#This Row],[Tech Start Date]],19),IF(Main[[#This Row],[Class]]="B", WORKDAY(Main[[#This Row],[Tech Start Date]],12),IF(Main[[#This Row],[Class]]="A",WORKDAY(Main[[#This Row],[Tech Start Date]],4),""))))</f>
        <v/>
      </c>
      <c r="O1236" s="114" t="str">
        <f>IF(Main[[#This Row],[Tech Start Date]]&lt;1/1/1990,"",IF(Main[[#This Row],[Class]]="C",WORKDAY(Main[[#This Row],[Tech Start Date]],23),IF(Main[[#This Row],[Class]]="B", WORKDAY(Main[[#This Row],[Tech Start Date]],15),IF(Main[[#This Row],[Class]]="A",WORKDAY(Main[[#This Row],[Tech Start Date]],5),""))))</f>
        <v/>
      </c>
      <c r="P1236" s="114" t="str">
        <f>IF(Main[[#This Row],[Tech Start Date]]&lt;1/1/1990,"",IF(Main[[#This Row],[Class]]="C",WORKDAY(Main[[#This Row],[Tech Start Date]],28),IF(Main[[#This Row],[Class]]="B", WORKDAY(Main[[#This Row],[Tech Start Date]],19),IF(Main[[#This Row],[Class]]="A",WORKDAY(Main[[#This Row],[Tech Start Date]],9),""))))</f>
        <v/>
      </c>
      <c r="Q1236" s="129">
        <v>40939</v>
      </c>
      <c r="R1236" s="129"/>
      <c r="S1236" s="139" t="s">
        <v>6</v>
      </c>
      <c r="T1236" s="115" t="s">
        <v>4</v>
      </c>
      <c r="U1236" s="139" t="s">
        <v>7</v>
      </c>
      <c r="V1236" s="139" t="s">
        <v>2283</v>
      </c>
      <c r="W1236" s="139" t="s">
        <v>4</v>
      </c>
      <c r="X1236" s="139" t="s">
        <v>2865</v>
      </c>
      <c r="Y1236" s="112" t="s">
        <v>3010</v>
      </c>
      <c r="Z1236" s="112" t="s">
        <v>4</v>
      </c>
      <c r="AA1236" s="139" t="s">
        <v>2865</v>
      </c>
    </row>
    <row r="1237" spans="1:27" ht="17.25" customHeight="1">
      <c r="A1237" s="69" t="str">
        <f>IF(priority(Main[[#This Row],[Comments]])&lt;&gt;0, priority(Main[[#This Row],[Comments]]),"")</f>
        <v/>
      </c>
      <c r="B1237" s="63" t="s">
        <v>3694</v>
      </c>
      <c r="C1237" s="148" t="s">
        <v>3546</v>
      </c>
      <c r="D1237" s="62" t="s">
        <v>3695</v>
      </c>
      <c r="E1237" s="129">
        <v>40967.587476851855</v>
      </c>
      <c r="F1237" s="129"/>
      <c r="G1237" s="69" t="str">
        <f>IF(stdProdLT(Main[[#This Row],[Comments]])=0.1,"N/A",IF(stdProdLT(Main[[#This Row],[Comments]])=0,"",stdProdLT(Main[[#This Row],[Comments]])))</f>
        <v/>
      </c>
      <c r="H1237" s="138" t="str">
        <f>IF(Main[[#This Row],[In Stock Date]]="N/A", "N/A",IF(AND(Main[[#This Row],[In Stock Date]]&lt;&gt;"",Main[[#This Row],[Revised Due Date]]&lt;&gt;"",Main[[#This Row],[In Stock Date]]&lt;&gt;""),Main[[#This Row],[In Stock Date]]-Main[[#This Row],[Revised Due Date]],""))</f>
        <v/>
      </c>
      <c r="I1237" s="139" t="s">
        <v>4</v>
      </c>
      <c r="J1237" s="139" t="s">
        <v>4</v>
      </c>
      <c r="K1237" s="139" t="s">
        <v>4</v>
      </c>
      <c r="L1237" s="129"/>
      <c r="M1237" s="114" t="str">
        <f>IF(Main[[#This Row],[Tech Start Date]]&lt;1/1/1990,"",IF(Main[[#This Row],[Class]]="C",WORKDAY(Main[[#This Row],[Tech Start Date]],9),IF(Main[[#This Row],[Class]]="B", WORKDAY(Main[[#This Row],[Tech Start Date]],6),IF(Main[[#This Row],[Class]]="A",WORKDAY(Main[[#This Row],[Tech Start Date]],2),""))))</f>
        <v/>
      </c>
      <c r="N1237" s="114" t="str">
        <f>IF(Main[[#This Row],[Tech Start Date]]&lt;1/1/1990,"",IF(Main[[#This Row],[Class]]="C",WORKDAY(Main[[#This Row],[Tech Start Date]],19),IF(Main[[#This Row],[Class]]="B", WORKDAY(Main[[#This Row],[Tech Start Date]],12),IF(Main[[#This Row],[Class]]="A",WORKDAY(Main[[#This Row],[Tech Start Date]],4),""))))</f>
        <v/>
      </c>
      <c r="O1237" s="114" t="str">
        <f>IF(Main[[#This Row],[Tech Start Date]]&lt;1/1/1990,"",IF(Main[[#This Row],[Class]]="C",WORKDAY(Main[[#This Row],[Tech Start Date]],23),IF(Main[[#This Row],[Class]]="B", WORKDAY(Main[[#This Row],[Tech Start Date]],15),IF(Main[[#This Row],[Class]]="A",WORKDAY(Main[[#This Row],[Tech Start Date]],5),""))))</f>
        <v/>
      </c>
      <c r="P1237" s="114" t="str">
        <f>IF(Main[[#This Row],[Tech Start Date]]&lt;1/1/1990,"",IF(Main[[#This Row],[Class]]="C",WORKDAY(Main[[#This Row],[Tech Start Date]],28),IF(Main[[#This Row],[Class]]="B", WORKDAY(Main[[#This Row],[Tech Start Date]],19),IF(Main[[#This Row],[Class]]="A",WORKDAY(Main[[#This Row],[Tech Start Date]],9),""))))</f>
        <v/>
      </c>
      <c r="Q1237" s="129"/>
      <c r="R1237" s="129"/>
      <c r="S1237" s="139" t="s">
        <v>11</v>
      </c>
      <c r="T1237" s="115" t="s">
        <v>4</v>
      </c>
      <c r="U1237" s="139" t="s">
        <v>7</v>
      </c>
      <c r="V1237" s="139" t="s">
        <v>1914</v>
      </c>
      <c r="W1237" s="139" t="s">
        <v>1922</v>
      </c>
      <c r="X1237" s="139" t="s">
        <v>3471</v>
      </c>
      <c r="Y1237" s="112" t="s">
        <v>3485</v>
      </c>
      <c r="Z1237" s="112" t="s">
        <v>4</v>
      </c>
      <c r="AA1237" s="139" t="s">
        <v>3471</v>
      </c>
    </row>
    <row r="1238" spans="1:27" ht="17.25" customHeight="1">
      <c r="A1238" s="69" t="str">
        <f>IF(priority(Main[[#This Row],[Comments]])&lt;&gt;0, priority(Main[[#This Row],[Comments]]),"")</f>
        <v/>
      </c>
      <c r="B1238" s="63" t="s">
        <v>2535</v>
      </c>
      <c r="C1238" s="148" t="s">
        <v>4</v>
      </c>
      <c r="D1238" s="113" t="s">
        <v>3696</v>
      </c>
      <c r="E1238" s="129">
        <v>40861.6484837963</v>
      </c>
      <c r="F1238" s="129"/>
      <c r="G1238" s="69" t="str">
        <f>IF(stdProdLT(Main[[#This Row],[Comments]])=0.1,"N/A",IF(stdProdLT(Main[[#This Row],[Comments]])=0,"",stdProdLT(Main[[#This Row],[Comments]])))</f>
        <v/>
      </c>
      <c r="H1238" s="138" t="str">
        <f>IF(Main[[#This Row],[In Stock Date]]="N/A", "N/A",IF(AND(Main[[#This Row],[In Stock Date]]&lt;&gt;"",Main[[#This Row],[Revised Due Date]]&lt;&gt;"",Main[[#This Row],[In Stock Date]]&lt;&gt;""),Main[[#This Row],[In Stock Date]]-Main[[#This Row],[Revised Due Date]],""))</f>
        <v/>
      </c>
      <c r="I1238" s="139" t="s">
        <v>4</v>
      </c>
      <c r="J1238" s="139" t="s">
        <v>4</v>
      </c>
      <c r="K1238" s="139" t="s">
        <v>4</v>
      </c>
      <c r="L1238" s="129"/>
      <c r="M1238" s="114" t="str">
        <f>IF(Main[[#This Row],[Tech Start Date]]&lt;1/1/1990,"",IF(Main[[#This Row],[Class]]="C",WORKDAY(Main[[#This Row],[Tech Start Date]],9),IF(Main[[#This Row],[Class]]="B", WORKDAY(Main[[#This Row],[Tech Start Date]],6),IF(Main[[#This Row],[Class]]="A",WORKDAY(Main[[#This Row],[Tech Start Date]],2),""))))</f>
        <v/>
      </c>
      <c r="N1238" s="114" t="str">
        <f>IF(Main[[#This Row],[Tech Start Date]]&lt;1/1/1990,"",IF(Main[[#This Row],[Class]]="C",WORKDAY(Main[[#This Row],[Tech Start Date]],19),IF(Main[[#This Row],[Class]]="B", WORKDAY(Main[[#This Row],[Tech Start Date]],12),IF(Main[[#This Row],[Class]]="A",WORKDAY(Main[[#This Row],[Tech Start Date]],4),""))))</f>
        <v/>
      </c>
      <c r="O1238" s="114" t="str">
        <f>IF(Main[[#This Row],[Tech Start Date]]&lt;1/1/1990,"",IF(Main[[#This Row],[Class]]="C",WORKDAY(Main[[#This Row],[Tech Start Date]],23),IF(Main[[#This Row],[Class]]="B", WORKDAY(Main[[#This Row],[Tech Start Date]],15),IF(Main[[#This Row],[Class]]="A",WORKDAY(Main[[#This Row],[Tech Start Date]],5),""))))</f>
        <v/>
      </c>
      <c r="P1238" s="114" t="str">
        <f>IF(Main[[#This Row],[Tech Start Date]]&lt;1/1/1990,"",IF(Main[[#This Row],[Class]]="C",WORKDAY(Main[[#This Row],[Tech Start Date]],28),IF(Main[[#This Row],[Class]]="B", WORKDAY(Main[[#This Row],[Tech Start Date]],19),IF(Main[[#This Row],[Class]]="A",WORKDAY(Main[[#This Row],[Tech Start Date]],9),""))))</f>
        <v/>
      </c>
      <c r="Q1238" s="129">
        <v>41372</v>
      </c>
      <c r="R1238" s="129"/>
      <c r="S1238" s="139" t="s">
        <v>17</v>
      </c>
      <c r="T1238" s="115" t="s">
        <v>4</v>
      </c>
      <c r="U1238" s="139" t="s">
        <v>29</v>
      </c>
      <c r="V1238" s="139" t="s">
        <v>1917</v>
      </c>
      <c r="W1238" s="139" t="s">
        <v>1919</v>
      </c>
      <c r="X1238" s="139" t="s">
        <v>652</v>
      </c>
      <c r="Y1238" s="112" t="s">
        <v>3126</v>
      </c>
      <c r="Z1238" s="112" t="s">
        <v>4</v>
      </c>
      <c r="AA1238" s="139" t="s">
        <v>652</v>
      </c>
    </row>
    <row r="1239" spans="1:27" ht="17.25" customHeight="1">
      <c r="A1239" s="69" t="str">
        <f>IF(priority(Main[[#This Row],[Comments]])&lt;&gt;0, priority(Main[[#This Row],[Comments]]),"")</f>
        <v/>
      </c>
      <c r="B1239" s="63" t="s">
        <v>3486</v>
      </c>
      <c r="C1239" s="148" t="s">
        <v>4</v>
      </c>
      <c r="D1239" s="113" t="s">
        <v>3487</v>
      </c>
      <c r="E1239" s="129">
        <v>40941.350555555553</v>
      </c>
      <c r="F1239" s="129"/>
      <c r="G1239" s="69" t="str">
        <f>IF(stdProdLT(Main[[#This Row],[Comments]])=0.1,"N/A",IF(stdProdLT(Main[[#This Row],[Comments]])=0,"",stdProdLT(Main[[#This Row],[Comments]])))</f>
        <v/>
      </c>
      <c r="H1239" s="138" t="str">
        <f>IF(Main[[#This Row],[In Stock Date]]="N/A", "N/A",IF(AND(Main[[#This Row],[In Stock Date]]&lt;&gt;"",Main[[#This Row],[Revised Due Date]]&lt;&gt;"",Main[[#This Row],[In Stock Date]]&lt;&gt;""),Main[[#This Row],[In Stock Date]]-Main[[#This Row],[Revised Due Date]],""))</f>
        <v/>
      </c>
      <c r="I1239" s="139" t="s">
        <v>4</v>
      </c>
      <c r="J1239" s="139" t="s">
        <v>4</v>
      </c>
      <c r="K1239" s="139" t="s">
        <v>4</v>
      </c>
      <c r="L1239" s="129"/>
      <c r="M1239" s="114" t="str">
        <f>IF(Main[[#This Row],[Tech Start Date]]&lt;1/1/1990,"",IF(Main[[#This Row],[Class]]="C",WORKDAY(Main[[#This Row],[Tech Start Date]],9),IF(Main[[#This Row],[Class]]="B", WORKDAY(Main[[#This Row],[Tech Start Date]],6),IF(Main[[#This Row],[Class]]="A",WORKDAY(Main[[#This Row],[Tech Start Date]],2),""))))</f>
        <v/>
      </c>
      <c r="N1239" s="114" t="str">
        <f>IF(Main[[#This Row],[Tech Start Date]]&lt;1/1/1990,"",IF(Main[[#This Row],[Class]]="C",WORKDAY(Main[[#This Row],[Tech Start Date]],19),IF(Main[[#This Row],[Class]]="B", WORKDAY(Main[[#This Row],[Tech Start Date]],12),IF(Main[[#This Row],[Class]]="A",WORKDAY(Main[[#This Row],[Tech Start Date]],4),""))))</f>
        <v/>
      </c>
      <c r="O1239" s="114" t="str">
        <f>IF(Main[[#This Row],[Tech Start Date]]&lt;1/1/1990,"",IF(Main[[#This Row],[Class]]="C",WORKDAY(Main[[#This Row],[Tech Start Date]],23),IF(Main[[#This Row],[Class]]="B", WORKDAY(Main[[#This Row],[Tech Start Date]],15),IF(Main[[#This Row],[Class]]="A",WORKDAY(Main[[#This Row],[Tech Start Date]],5),""))))</f>
        <v/>
      </c>
      <c r="P1239" s="114" t="str">
        <f>IF(Main[[#This Row],[Tech Start Date]]&lt;1/1/1990,"",IF(Main[[#This Row],[Class]]="C",WORKDAY(Main[[#This Row],[Tech Start Date]],28),IF(Main[[#This Row],[Class]]="B", WORKDAY(Main[[#This Row],[Tech Start Date]],19),IF(Main[[#This Row],[Class]]="A",WORKDAY(Main[[#This Row],[Tech Start Date]],9),""))))</f>
        <v/>
      </c>
      <c r="Q1239" s="129"/>
      <c r="R1239" s="129"/>
      <c r="S1239" s="139" t="s">
        <v>6</v>
      </c>
      <c r="T1239" s="115" t="s">
        <v>4</v>
      </c>
      <c r="U1239" s="139" t="s">
        <v>29</v>
      </c>
      <c r="V1239" s="139" t="s">
        <v>1917</v>
      </c>
      <c r="W1239" s="139" t="s">
        <v>4</v>
      </c>
      <c r="X1239" s="139" t="s">
        <v>2822</v>
      </c>
      <c r="Y1239" s="112" t="s">
        <v>2938</v>
      </c>
      <c r="Z1239" s="112" t="s">
        <v>4</v>
      </c>
      <c r="AA1239" s="139" t="s">
        <v>2822</v>
      </c>
    </row>
    <row r="1240" spans="1:27" ht="17.25" customHeight="1">
      <c r="A1240" s="69" t="str">
        <f>IF(priority(Main[[#This Row],[Comments]])&lt;&gt;0, priority(Main[[#This Row],[Comments]]),"")</f>
        <v/>
      </c>
      <c r="B1240" s="63" t="s">
        <v>1582</v>
      </c>
      <c r="C1240" s="148" t="s">
        <v>4</v>
      </c>
      <c r="D1240" s="113" t="s">
        <v>2675</v>
      </c>
      <c r="E1240" s="129">
        <v>40455.90111111111</v>
      </c>
      <c r="F1240" s="129"/>
      <c r="G1240" s="69" t="str">
        <f>IF(stdProdLT(Main[[#This Row],[Comments]])=0.1,"N/A",IF(stdProdLT(Main[[#This Row],[Comments]])=0,"",stdProdLT(Main[[#This Row],[Comments]])))</f>
        <v/>
      </c>
      <c r="H1240" s="138" t="str">
        <f>IF(Main[[#This Row],[In Stock Date]]="N/A", "N/A",IF(AND(Main[[#This Row],[In Stock Date]]&lt;&gt;"",Main[[#This Row],[Revised Due Date]]&lt;&gt;"",Main[[#This Row],[In Stock Date]]&lt;&gt;""),Main[[#This Row],[In Stock Date]]-Main[[#This Row],[Revised Due Date]],""))</f>
        <v/>
      </c>
      <c r="I1240" s="139" t="s">
        <v>4</v>
      </c>
      <c r="J1240" s="139" t="s">
        <v>28</v>
      </c>
      <c r="K1240" s="139" t="s">
        <v>1926</v>
      </c>
      <c r="L1240" s="129"/>
      <c r="M1240" s="114" t="str">
        <f>IF(Main[[#This Row],[Tech Start Date]]&lt;1/1/1990,"",IF(Main[[#This Row],[Class]]="C",WORKDAY(Main[[#This Row],[Tech Start Date]],9),IF(Main[[#This Row],[Class]]="B", WORKDAY(Main[[#This Row],[Tech Start Date]],6),IF(Main[[#This Row],[Class]]="A",WORKDAY(Main[[#This Row],[Tech Start Date]],2),""))))</f>
        <v/>
      </c>
      <c r="N1240" s="114" t="str">
        <f>IF(Main[[#This Row],[Tech Start Date]]&lt;1/1/1990,"",IF(Main[[#This Row],[Class]]="C",WORKDAY(Main[[#This Row],[Tech Start Date]],19),IF(Main[[#This Row],[Class]]="B", WORKDAY(Main[[#This Row],[Tech Start Date]],12),IF(Main[[#This Row],[Class]]="A",WORKDAY(Main[[#This Row],[Tech Start Date]],4),""))))</f>
        <v/>
      </c>
      <c r="O1240" s="114" t="str">
        <f>IF(Main[[#This Row],[Tech Start Date]]&lt;1/1/1990,"",IF(Main[[#This Row],[Class]]="C",WORKDAY(Main[[#This Row],[Tech Start Date]],23),IF(Main[[#This Row],[Class]]="B", WORKDAY(Main[[#This Row],[Tech Start Date]],15),IF(Main[[#This Row],[Class]]="A",WORKDAY(Main[[#This Row],[Tech Start Date]],5),""))))</f>
        <v/>
      </c>
      <c r="P1240" s="114" t="str">
        <f>IF(Main[[#This Row],[Tech Start Date]]&lt;1/1/1990,"",IF(Main[[#This Row],[Class]]="C",WORKDAY(Main[[#This Row],[Tech Start Date]],28),IF(Main[[#This Row],[Class]]="B", WORKDAY(Main[[#This Row],[Tech Start Date]],19),IF(Main[[#This Row],[Class]]="A",WORKDAY(Main[[#This Row],[Tech Start Date]],9),""))))</f>
        <v/>
      </c>
      <c r="Q1240" s="129">
        <v>41060</v>
      </c>
      <c r="R1240" s="129"/>
      <c r="S1240" s="139" t="s">
        <v>17</v>
      </c>
      <c r="T1240" s="115" t="s">
        <v>4</v>
      </c>
      <c r="U1240" s="139" t="s">
        <v>7</v>
      </c>
      <c r="V1240" s="139" t="s">
        <v>1914</v>
      </c>
      <c r="W1240" s="139" t="s">
        <v>1916</v>
      </c>
      <c r="X1240" s="139" t="s">
        <v>129</v>
      </c>
      <c r="Y1240" s="112" t="s">
        <v>2933</v>
      </c>
      <c r="Z1240" s="112" t="s">
        <v>129</v>
      </c>
      <c r="AA1240" s="139" t="s">
        <v>129</v>
      </c>
    </row>
    <row r="1241" spans="1:27" ht="17.25" customHeight="1">
      <c r="A1241" s="69" t="str">
        <f>IF(priority(Main[[#This Row],[Comments]])&lt;&gt;0, priority(Main[[#This Row],[Comments]]),"")</f>
        <v/>
      </c>
      <c r="B1241" s="63" t="s">
        <v>3697</v>
      </c>
      <c r="C1241" s="148" t="s">
        <v>4</v>
      </c>
      <c r="D1241" s="113" t="s">
        <v>3698</v>
      </c>
      <c r="E1241" s="129">
        <v>40962.794108796297</v>
      </c>
      <c r="F1241" s="129"/>
      <c r="G1241" s="69" t="str">
        <f>IF(stdProdLT(Main[[#This Row],[Comments]])=0.1,"N/A",IF(stdProdLT(Main[[#This Row],[Comments]])=0,"",stdProdLT(Main[[#This Row],[Comments]])))</f>
        <v/>
      </c>
      <c r="H1241" s="138" t="str">
        <f>IF(Main[[#This Row],[In Stock Date]]="N/A", "N/A",IF(AND(Main[[#This Row],[In Stock Date]]&lt;&gt;"",Main[[#This Row],[Revised Due Date]]&lt;&gt;"",Main[[#This Row],[In Stock Date]]&lt;&gt;""),Main[[#This Row],[In Stock Date]]-Main[[#This Row],[Revised Due Date]],""))</f>
        <v/>
      </c>
      <c r="I1241" s="139" t="s">
        <v>2051</v>
      </c>
      <c r="J1241" s="139" t="s">
        <v>28</v>
      </c>
      <c r="K1241" s="140" t="s">
        <v>1923</v>
      </c>
      <c r="L1241" s="129"/>
      <c r="M1241" s="114" t="str">
        <f>IF(Main[[#This Row],[Tech Start Date]]&lt;1/1/1990,"",IF(Main[[#This Row],[Class]]="C",WORKDAY(Main[[#This Row],[Tech Start Date]],9),IF(Main[[#This Row],[Class]]="B", WORKDAY(Main[[#This Row],[Tech Start Date]],6),IF(Main[[#This Row],[Class]]="A",WORKDAY(Main[[#This Row],[Tech Start Date]],2),""))))</f>
        <v/>
      </c>
      <c r="N1241" s="114" t="str">
        <f>IF(Main[[#This Row],[Tech Start Date]]&lt;1/1/1990,"",IF(Main[[#This Row],[Class]]="C",WORKDAY(Main[[#This Row],[Tech Start Date]],19),IF(Main[[#This Row],[Class]]="B", WORKDAY(Main[[#This Row],[Tech Start Date]],12),IF(Main[[#This Row],[Class]]="A",WORKDAY(Main[[#This Row],[Tech Start Date]],4),""))))</f>
        <v/>
      </c>
      <c r="O1241" s="114" t="str">
        <f>IF(Main[[#This Row],[Tech Start Date]]&lt;1/1/1990,"",IF(Main[[#This Row],[Class]]="C",WORKDAY(Main[[#This Row],[Tech Start Date]],23),IF(Main[[#This Row],[Class]]="B", WORKDAY(Main[[#This Row],[Tech Start Date]],15),IF(Main[[#This Row],[Class]]="A",WORKDAY(Main[[#This Row],[Tech Start Date]],5),""))))</f>
        <v/>
      </c>
      <c r="P1241" s="114" t="str">
        <f>IF(Main[[#This Row],[Tech Start Date]]&lt;1/1/1990,"",IF(Main[[#This Row],[Class]]="C",WORKDAY(Main[[#This Row],[Tech Start Date]],28),IF(Main[[#This Row],[Class]]="B", WORKDAY(Main[[#This Row],[Tech Start Date]],19),IF(Main[[#This Row],[Class]]="A",WORKDAY(Main[[#This Row],[Tech Start Date]],9),""))))</f>
        <v/>
      </c>
      <c r="Q1241" s="129">
        <v>40999</v>
      </c>
      <c r="R1241" s="129"/>
      <c r="S1241" s="139" t="s">
        <v>6</v>
      </c>
      <c r="T1241" s="115" t="s">
        <v>4</v>
      </c>
      <c r="U1241" s="139" t="s">
        <v>29</v>
      </c>
      <c r="V1241" s="139" t="s">
        <v>1917</v>
      </c>
      <c r="W1241" s="139" t="s">
        <v>1918</v>
      </c>
      <c r="X1241" s="139" t="s">
        <v>30</v>
      </c>
      <c r="Y1241" s="112" t="s">
        <v>3699</v>
      </c>
      <c r="Z1241" s="112" t="s">
        <v>415</v>
      </c>
      <c r="AA1241" s="139" t="s">
        <v>3447</v>
      </c>
    </row>
    <row r="1242" spans="1:27" ht="17.25" customHeight="1">
      <c r="A1242" s="69" t="str">
        <f>IF(priority(Main[[#This Row],[Comments]])&lt;&gt;0, priority(Main[[#This Row],[Comments]]),"")</f>
        <v/>
      </c>
      <c r="B1242" s="63" t="s">
        <v>2551</v>
      </c>
      <c r="C1242" s="148" t="s">
        <v>4</v>
      </c>
      <c r="D1242" s="113" t="s">
        <v>3282</v>
      </c>
      <c r="E1242" s="129">
        <v>40876.276597222219</v>
      </c>
      <c r="F1242" s="129"/>
      <c r="G1242" s="69" t="str">
        <f>IF(stdProdLT(Main[[#This Row],[Comments]])=0.1,"N/A",IF(stdProdLT(Main[[#This Row],[Comments]])=0,"",stdProdLT(Main[[#This Row],[Comments]])))</f>
        <v/>
      </c>
      <c r="H1242" s="138" t="str">
        <f>IF(Main[[#This Row],[In Stock Date]]="N/A", "N/A",IF(AND(Main[[#This Row],[In Stock Date]]&lt;&gt;"",Main[[#This Row],[Revised Due Date]]&lt;&gt;"",Main[[#This Row],[In Stock Date]]&lt;&gt;""),Main[[#This Row],[In Stock Date]]-Main[[#This Row],[Revised Due Date]],""))</f>
        <v/>
      </c>
      <c r="I1242" s="139" t="s">
        <v>69</v>
      </c>
      <c r="J1242" s="139" t="s">
        <v>70</v>
      </c>
      <c r="K1242" s="140" t="s">
        <v>1923</v>
      </c>
      <c r="L1242" s="129"/>
      <c r="M1242" s="114" t="str">
        <f>IF(Main[[#This Row],[Tech Start Date]]&lt;1/1/1990,"",IF(Main[[#This Row],[Class]]="C",WORKDAY(Main[[#This Row],[Tech Start Date]],9),IF(Main[[#This Row],[Class]]="B", WORKDAY(Main[[#This Row],[Tech Start Date]],6),IF(Main[[#This Row],[Class]]="A",WORKDAY(Main[[#This Row],[Tech Start Date]],2),""))))</f>
        <v/>
      </c>
      <c r="N1242" s="114" t="str">
        <f>IF(Main[[#This Row],[Tech Start Date]]&lt;1/1/1990,"",IF(Main[[#This Row],[Class]]="C",WORKDAY(Main[[#This Row],[Tech Start Date]],19),IF(Main[[#This Row],[Class]]="B", WORKDAY(Main[[#This Row],[Tech Start Date]],12),IF(Main[[#This Row],[Class]]="A",WORKDAY(Main[[#This Row],[Tech Start Date]],4),""))))</f>
        <v/>
      </c>
      <c r="O1242" s="114" t="str">
        <f>IF(Main[[#This Row],[Tech Start Date]]&lt;1/1/1990,"",IF(Main[[#This Row],[Class]]="C",WORKDAY(Main[[#This Row],[Tech Start Date]],23),IF(Main[[#This Row],[Class]]="B", WORKDAY(Main[[#This Row],[Tech Start Date]],15),IF(Main[[#This Row],[Class]]="A",WORKDAY(Main[[#This Row],[Tech Start Date]],5),""))))</f>
        <v/>
      </c>
      <c r="P1242" s="114" t="str">
        <f>IF(Main[[#This Row],[Tech Start Date]]&lt;1/1/1990,"",IF(Main[[#This Row],[Class]]="C",WORKDAY(Main[[#This Row],[Tech Start Date]],28),IF(Main[[#This Row],[Class]]="B", WORKDAY(Main[[#This Row],[Tech Start Date]],19),IF(Main[[#This Row],[Class]]="A",WORKDAY(Main[[#This Row],[Tech Start Date]],9),""))))</f>
        <v/>
      </c>
      <c r="Q1242" s="129">
        <v>40907</v>
      </c>
      <c r="R1242" s="129"/>
      <c r="S1242" s="139" t="s">
        <v>6</v>
      </c>
      <c r="T1242" s="115" t="s">
        <v>4</v>
      </c>
      <c r="U1242" s="139" t="s">
        <v>29</v>
      </c>
      <c r="V1242" s="139" t="s">
        <v>1924</v>
      </c>
      <c r="W1242" s="139" t="s">
        <v>1918</v>
      </c>
      <c r="X1242" s="139" t="s">
        <v>2818</v>
      </c>
      <c r="Y1242" s="112" t="s">
        <v>2929</v>
      </c>
      <c r="Z1242" s="112" t="s">
        <v>30</v>
      </c>
      <c r="AA1242" s="139" t="s">
        <v>2818</v>
      </c>
    </row>
    <row r="1243" spans="1:27" ht="17.25" customHeight="1">
      <c r="A1243" s="69" t="str">
        <f>IF(priority(Main[[#This Row],[Comments]])&lt;&gt;0, priority(Main[[#This Row],[Comments]]),"")</f>
        <v/>
      </c>
      <c r="B1243" s="63" t="s">
        <v>1824</v>
      </c>
      <c r="C1243" s="148" t="s">
        <v>47</v>
      </c>
      <c r="D1243" s="113" t="s">
        <v>875</v>
      </c>
      <c r="E1243" s="129"/>
      <c r="F1243" s="129"/>
      <c r="G1243" s="69" t="str">
        <f>IF(stdProdLT(Main[[#This Row],[Comments]])=0.1,"N/A",IF(stdProdLT(Main[[#This Row],[Comments]])=0,"",stdProdLT(Main[[#This Row],[Comments]])))</f>
        <v/>
      </c>
      <c r="H1243" s="138" t="str">
        <f>IF(Main[[#This Row],[In Stock Date]]="N/A", "N/A",IF(AND(Main[[#This Row],[In Stock Date]]&lt;&gt;"",Main[[#This Row],[Revised Due Date]]&lt;&gt;"",Main[[#This Row],[In Stock Date]]&lt;&gt;""),Main[[#This Row],[In Stock Date]]-Main[[#This Row],[Revised Due Date]],""))</f>
        <v/>
      </c>
      <c r="I1243" s="139" t="s">
        <v>4</v>
      </c>
      <c r="J1243" s="139" t="s">
        <v>4</v>
      </c>
      <c r="K1243" s="139" t="s">
        <v>1926</v>
      </c>
      <c r="L1243" s="129"/>
      <c r="M1243" s="114" t="str">
        <f>IF(Main[[#This Row],[Tech Start Date]]&lt;1/1/1990,"",IF(Main[[#This Row],[Class]]="C",WORKDAY(Main[[#This Row],[Tech Start Date]],9),IF(Main[[#This Row],[Class]]="B", WORKDAY(Main[[#This Row],[Tech Start Date]],6),IF(Main[[#This Row],[Class]]="A",WORKDAY(Main[[#This Row],[Tech Start Date]],2),""))))</f>
        <v/>
      </c>
      <c r="N1243" s="114" t="str">
        <f>IF(Main[[#This Row],[Tech Start Date]]&lt;1/1/1990,"",IF(Main[[#This Row],[Class]]="C",WORKDAY(Main[[#This Row],[Tech Start Date]],19),IF(Main[[#This Row],[Class]]="B", WORKDAY(Main[[#This Row],[Tech Start Date]],12),IF(Main[[#This Row],[Class]]="A",WORKDAY(Main[[#This Row],[Tech Start Date]],4),""))))</f>
        <v/>
      </c>
      <c r="O1243" s="114" t="str">
        <f>IF(Main[[#This Row],[Tech Start Date]]&lt;1/1/1990,"",IF(Main[[#This Row],[Class]]="C",WORKDAY(Main[[#This Row],[Tech Start Date]],23),IF(Main[[#This Row],[Class]]="B", WORKDAY(Main[[#This Row],[Tech Start Date]],15),IF(Main[[#This Row],[Class]]="A",WORKDAY(Main[[#This Row],[Tech Start Date]],5),""))))</f>
        <v/>
      </c>
      <c r="P1243" s="114" t="str">
        <f>IF(Main[[#This Row],[Tech Start Date]]&lt;1/1/1990,"",IF(Main[[#This Row],[Class]]="C",WORKDAY(Main[[#This Row],[Tech Start Date]],28),IF(Main[[#This Row],[Class]]="B", WORKDAY(Main[[#This Row],[Tech Start Date]],19),IF(Main[[#This Row],[Class]]="A",WORKDAY(Main[[#This Row],[Tech Start Date]],9),""))))</f>
        <v/>
      </c>
      <c r="Q1243" s="129"/>
      <c r="R1243" s="129">
        <v>40359</v>
      </c>
      <c r="S1243" s="139" t="s">
        <v>17</v>
      </c>
      <c r="T1243" s="115" t="s">
        <v>4</v>
      </c>
      <c r="U1243" s="139" t="s">
        <v>14</v>
      </c>
      <c r="V1243" s="139" t="s">
        <v>1914</v>
      </c>
      <c r="W1243" s="139" t="s">
        <v>1919</v>
      </c>
      <c r="X1243" s="139" t="s">
        <v>2821</v>
      </c>
      <c r="Y1243" s="112" t="s">
        <v>2936</v>
      </c>
      <c r="Z1243" s="112" t="s">
        <v>4</v>
      </c>
      <c r="AA1243" s="139" t="s">
        <v>2821</v>
      </c>
    </row>
    <row r="1244" spans="1:27" ht="17.25" customHeight="1">
      <c r="A1244" s="69" t="str">
        <f>IF(priority(Main[[#This Row],[Comments]])&lt;&gt;0, priority(Main[[#This Row],[Comments]]),"")</f>
        <v/>
      </c>
      <c r="B1244" s="63" t="s">
        <v>1634</v>
      </c>
      <c r="C1244" s="148" t="s">
        <v>4</v>
      </c>
      <c r="D1244" s="113" t="s">
        <v>706</v>
      </c>
      <c r="E1244" s="129"/>
      <c r="F1244" s="129"/>
      <c r="G1244" s="69" t="str">
        <f>IF(stdProdLT(Main[[#This Row],[Comments]])=0.1,"N/A",IF(stdProdLT(Main[[#This Row],[Comments]])=0,"",stdProdLT(Main[[#This Row],[Comments]])))</f>
        <v/>
      </c>
      <c r="H1244" s="138" t="str">
        <f>IF(Main[[#This Row],[In Stock Date]]="N/A", "N/A",IF(AND(Main[[#This Row],[In Stock Date]]&lt;&gt;"",Main[[#This Row],[Revised Due Date]]&lt;&gt;"",Main[[#This Row],[In Stock Date]]&lt;&gt;""),Main[[#This Row],[In Stock Date]]-Main[[#This Row],[Revised Due Date]],""))</f>
        <v/>
      </c>
      <c r="I1244" s="139" t="s">
        <v>4</v>
      </c>
      <c r="J1244" s="139" t="s">
        <v>28</v>
      </c>
      <c r="K1244" s="139" t="s">
        <v>1923</v>
      </c>
      <c r="L1244" s="129"/>
      <c r="M1244" s="114" t="str">
        <f>IF(Main[[#This Row],[Tech Start Date]]&lt;1/1/1990,"",IF(Main[[#This Row],[Class]]="C",WORKDAY(Main[[#This Row],[Tech Start Date]],9),IF(Main[[#This Row],[Class]]="B", WORKDAY(Main[[#This Row],[Tech Start Date]],6),IF(Main[[#This Row],[Class]]="A",WORKDAY(Main[[#This Row],[Tech Start Date]],2),""))))</f>
        <v/>
      </c>
      <c r="N1244" s="114" t="str">
        <f>IF(Main[[#This Row],[Tech Start Date]]&lt;1/1/1990,"",IF(Main[[#This Row],[Class]]="C",WORKDAY(Main[[#This Row],[Tech Start Date]],19),IF(Main[[#This Row],[Class]]="B", WORKDAY(Main[[#This Row],[Tech Start Date]],12),IF(Main[[#This Row],[Class]]="A",WORKDAY(Main[[#This Row],[Tech Start Date]],4),""))))</f>
        <v/>
      </c>
      <c r="O1244" s="114" t="str">
        <f>IF(Main[[#This Row],[Tech Start Date]]&lt;1/1/1990,"",IF(Main[[#This Row],[Class]]="C",WORKDAY(Main[[#This Row],[Tech Start Date]],23),IF(Main[[#This Row],[Class]]="B", WORKDAY(Main[[#This Row],[Tech Start Date]],15),IF(Main[[#This Row],[Class]]="A",WORKDAY(Main[[#This Row],[Tech Start Date]],5),""))))</f>
        <v/>
      </c>
      <c r="P1244" s="114" t="str">
        <f>IF(Main[[#This Row],[Tech Start Date]]&lt;1/1/1990,"",IF(Main[[#This Row],[Class]]="C",WORKDAY(Main[[#This Row],[Tech Start Date]],28),IF(Main[[#This Row],[Class]]="B", WORKDAY(Main[[#This Row],[Tech Start Date]],19),IF(Main[[#This Row],[Class]]="A",WORKDAY(Main[[#This Row],[Tech Start Date]],9),""))))</f>
        <v/>
      </c>
      <c r="Q1244" s="129"/>
      <c r="R1244" s="129"/>
      <c r="S1244" s="139" t="s">
        <v>6</v>
      </c>
      <c r="T1244" s="115" t="s">
        <v>4</v>
      </c>
      <c r="U1244" s="139" t="s">
        <v>14</v>
      </c>
      <c r="V1244" s="139" t="s">
        <v>1914</v>
      </c>
      <c r="W1244" s="139" t="s">
        <v>1918</v>
      </c>
      <c r="X1244" s="139" t="s">
        <v>306</v>
      </c>
      <c r="Y1244" s="112" t="s">
        <v>3133</v>
      </c>
      <c r="Z1244" s="112" t="s">
        <v>129</v>
      </c>
      <c r="AA1244" s="139" t="s">
        <v>3457</v>
      </c>
    </row>
    <row r="1245" spans="1:27" ht="17.25" customHeight="1">
      <c r="A1245" s="69" t="str">
        <f>IF(priority(Main[[#This Row],[Comments]])&lt;&gt;0, priority(Main[[#This Row],[Comments]]),"")</f>
        <v/>
      </c>
      <c r="B1245" s="63" t="s">
        <v>3701</v>
      </c>
      <c r="C1245" s="148" t="s">
        <v>4</v>
      </c>
      <c r="D1245" s="113" t="s">
        <v>3702</v>
      </c>
      <c r="E1245" s="129"/>
      <c r="F1245" s="129"/>
      <c r="G1245" s="69" t="str">
        <f>IF(stdProdLT(Main[[#This Row],[Comments]])=0.1,"N/A",IF(stdProdLT(Main[[#This Row],[Comments]])=0,"",stdProdLT(Main[[#This Row],[Comments]])))</f>
        <v/>
      </c>
      <c r="H1245" s="138" t="str">
        <f>IF(Main[[#This Row],[In Stock Date]]="N/A", "N/A",IF(AND(Main[[#This Row],[In Stock Date]]&lt;&gt;"",Main[[#This Row],[Revised Due Date]]&lt;&gt;"",Main[[#This Row],[In Stock Date]]&lt;&gt;""),Main[[#This Row],[In Stock Date]]-Main[[#This Row],[Revised Due Date]],""))</f>
        <v/>
      </c>
      <c r="I1245" s="139" t="s">
        <v>4</v>
      </c>
      <c r="J1245" s="139" t="s">
        <v>28</v>
      </c>
      <c r="K1245" s="139" t="s">
        <v>4</v>
      </c>
      <c r="L1245" s="129"/>
      <c r="M1245" s="114" t="str">
        <f>IF(Main[[#This Row],[Tech Start Date]]&lt;1/1/1990,"",IF(Main[[#This Row],[Class]]="C",WORKDAY(Main[[#This Row],[Tech Start Date]],9),IF(Main[[#This Row],[Class]]="B", WORKDAY(Main[[#This Row],[Tech Start Date]],6),IF(Main[[#This Row],[Class]]="A",WORKDAY(Main[[#This Row],[Tech Start Date]],2),""))))</f>
        <v/>
      </c>
      <c r="N1245" s="114" t="str">
        <f>IF(Main[[#This Row],[Tech Start Date]]&lt;1/1/1990,"",IF(Main[[#This Row],[Class]]="C",WORKDAY(Main[[#This Row],[Tech Start Date]],19),IF(Main[[#This Row],[Class]]="B", WORKDAY(Main[[#This Row],[Tech Start Date]],12),IF(Main[[#This Row],[Class]]="A",WORKDAY(Main[[#This Row],[Tech Start Date]],4),""))))</f>
        <v/>
      </c>
      <c r="O1245" s="114" t="str">
        <f>IF(Main[[#This Row],[Tech Start Date]]&lt;1/1/1990,"",IF(Main[[#This Row],[Class]]="C",WORKDAY(Main[[#This Row],[Tech Start Date]],23),IF(Main[[#This Row],[Class]]="B", WORKDAY(Main[[#This Row],[Tech Start Date]],15),IF(Main[[#This Row],[Class]]="A",WORKDAY(Main[[#This Row],[Tech Start Date]],5),""))))</f>
        <v/>
      </c>
      <c r="P1245" s="114" t="str">
        <f>IF(Main[[#This Row],[Tech Start Date]]&lt;1/1/1990,"",IF(Main[[#This Row],[Class]]="C",WORKDAY(Main[[#This Row],[Tech Start Date]],28),IF(Main[[#This Row],[Class]]="B", WORKDAY(Main[[#This Row],[Tech Start Date]],19),IF(Main[[#This Row],[Class]]="A",WORKDAY(Main[[#This Row],[Tech Start Date]],9),""))))</f>
        <v/>
      </c>
      <c r="Q1245" s="129">
        <v>40724</v>
      </c>
      <c r="R1245" s="129"/>
      <c r="S1245" s="139" t="s">
        <v>17</v>
      </c>
      <c r="T1245" s="115" t="s">
        <v>2463</v>
      </c>
      <c r="U1245" s="139" t="s">
        <v>12</v>
      </c>
      <c r="V1245" s="139" t="s">
        <v>1914</v>
      </c>
      <c r="W1245" s="139" t="s">
        <v>1919</v>
      </c>
      <c r="X1245" s="139" t="s">
        <v>129</v>
      </c>
      <c r="Y1245" s="112" t="s">
        <v>2933</v>
      </c>
      <c r="Z1245" s="112" t="s">
        <v>129</v>
      </c>
      <c r="AA1245" s="139" t="s">
        <v>129</v>
      </c>
    </row>
    <row r="1246" spans="1:27" ht="17.25" customHeight="1">
      <c r="A1246" s="69" t="str">
        <f>IF(priority(Main[[#This Row],[Comments]])&lt;&gt;0, priority(Main[[#This Row],[Comments]]),"")</f>
        <v/>
      </c>
      <c r="B1246" s="63" t="s">
        <v>3707</v>
      </c>
      <c r="C1246" s="148" t="s">
        <v>3708</v>
      </c>
      <c r="D1246" s="62" t="s">
        <v>3709</v>
      </c>
      <c r="E1246" s="129">
        <v>40967.774861111109</v>
      </c>
      <c r="F1246" s="129"/>
      <c r="G1246" s="69">
        <f>IF(stdProdLT(Main[[#This Row],[Comments]])=0.1,"N/A",IF(stdProdLT(Main[[#This Row],[Comments]])=0,"",stdProdLT(Main[[#This Row],[Comments]])))</f>
        <v>126</v>
      </c>
      <c r="H1246" s="138" t="str">
        <f>IF(Main[[#This Row],[In Stock Date]]="N/A", "N/A",IF(AND(Main[[#This Row],[In Stock Date]]&lt;&gt;"",Main[[#This Row],[Revised Due Date]]&lt;&gt;"",Main[[#This Row],[In Stock Date]]&lt;&gt;""),Main[[#This Row],[In Stock Date]]-Main[[#This Row],[Revised Due Date]],""))</f>
        <v/>
      </c>
      <c r="I1246" s="139" t="s">
        <v>4</v>
      </c>
      <c r="J1246" s="139" t="s">
        <v>4</v>
      </c>
      <c r="K1246" s="139" t="s">
        <v>4</v>
      </c>
      <c r="L1246" s="129"/>
      <c r="M1246" s="114" t="str">
        <f>IF(Main[[#This Row],[Tech Start Date]]&lt;1/1/1990,"",IF(Main[[#This Row],[Class]]="C",WORKDAY(Main[[#This Row],[Tech Start Date]],9),IF(Main[[#This Row],[Class]]="B", WORKDAY(Main[[#This Row],[Tech Start Date]],6),IF(Main[[#This Row],[Class]]="A",WORKDAY(Main[[#This Row],[Tech Start Date]],2),""))))</f>
        <v/>
      </c>
      <c r="N1246" s="114" t="str">
        <f>IF(Main[[#This Row],[Tech Start Date]]&lt;1/1/1990,"",IF(Main[[#This Row],[Class]]="C",WORKDAY(Main[[#This Row],[Tech Start Date]],19),IF(Main[[#This Row],[Class]]="B", WORKDAY(Main[[#This Row],[Tech Start Date]],12),IF(Main[[#This Row],[Class]]="A",WORKDAY(Main[[#This Row],[Tech Start Date]],4),""))))</f>
        <v/>
      </c>
      <c r="O1246" s="114" t="str">
        <f>IF(Main[[#This Row],[Tech Start Date]]&lt;1/1/1990,"",IF(Main[[#This Row],[Class]]="C",WORKDAY(Main[[#This Row],[Tech Start Date]],23),IF(Main[[#This Row],[Class]]="B", WORKDAY(Main[[#This Row],[Tech Start Date]],15),IF(Main[[#This Row],[Class]]="A",WORKDAY(Main[[#This Row],[Tech Start Date]],5),""))))</f>
        <v/>
      </c>
      <c r="P1246" s="114" t="str">
        <f>IF(Main[[#This Row],[Tech Start Date]]&lt;1/1/1990,"",IF(Main[[#This Row],[Class]]="C",WORKDAY(Main[[#This Row],[Tech Start Date]],28),IF(Main[[#This Row],[Class]]="B", WORKDAY(Main[[#This Row],[Tech Start Date]],19),IF(Main[[#This Row],[Class]]="A",WORKDAY(Main[[#This Row],[Tech Start Date]],9),""))))</f>
        <v/>
      </c>
      <c r="Q1246" s="129"/>
      <c r="R1246" s="129"/>
      <c r="S1246" s="139" t="s">
        <v>11</v>
      </c>
      <c r="T1246" s="115" t="s">
        <v>3710</v>
      </c>
      <c r="U1246" s="139" t="s">
        <v>7</v>
      </c>
      <c r="V1246" s="139" t="s">
        <v>1914</v>
      </c>
      <c r="W1246" s="139" t="s">
        <v>1922</v>
      </c>
      <c r="X1246" s="139" t="s">
        <v>50</v>
      </c>
      <c r="Y1246" s="112" t="s">
        <v>3711</v>
      </c>
      <c r="Z1246" s="112" t="s">
        <v>4</v>
      </c>
      <c r="AA1246" s="139" t="s">
        <v>3463</v>
      </c>
    </row>
    <row r="1247" spans="1:27" ht="17.25" customHeight="1">
      <c r="A1247" s="69" t="str">
        <f>IF(priority(Main[[#This Row],[Comments]])&lt;&gt;0, priority(Main[[#This Row],[Comments]]),"")</f>
        <v/>
      </c>
      <c r="B1247" s="63" t="s">
        <v>3190</v>
      </c>
      <c r="C1247" s="148" t="s">
        <v>4</v>
      </c>
      <c r="D1247" s="113" t="s">
        <v>3703</v>
      </c>
      <c r="E1247" s="129">
        <v>40921.403067129628</v>
      </c>
      <c r="F1247" s="129"/>
      <c r="G1247" s="69" t="str">
        <f>IF(stdProdLT(Main[[#This Row],[Comments]])=0.1,"N/A",IF(stdProdLT(Main[[#This Row],[Comments]])=0,"",stdProdLT(Main[[#This Row],[Comments]])))</f>
        <v/>
      </c>
      <c r="H1247" s="138" t="str">
        <f>IF(Main[[#This Row],[In Stock Date]]="N/A", "N/A",IF(AND(Main[[#This Row],[In Stock Date]]&lt;&gt;"",Main[[#This Row],[Revised Due Date]]&lt;&gt;"",Main[[#This Row],[In Stock Date]]&lt;&gt;""),Main[[#This Row],[In Stock Date]]-Main[[#This Row],[Revised Due Date]],""))</f>
        <v/>
      </c>
      <c r="I1247" s="139" t="s">
        <v>2051</v>
      </c>
      <c r="J1247" s="139" t="s">
        <v>28</v>
      </c>
      <c r="K1247" s="139" t="s">
        <v>1923</v>
      </c>
      <c r="L1247" s="129"/>
      <c r="M1247" s="114" t="str">
        <f>IF(Main[[#This Row],[Tech Start Date]]&lt;1/1/1990,"",IF(Main[[#This Row],[Class]]="C",WORKDAY(Main[[#This Row],[Tech Start Date]],9),IF(Main[[#This Row],[Class]]="B", WORKDAY(Main[[#This Row],[Tech Start Date]],6),IF(Main[[#This Row],[Class]]="A",WORKDAY(Main[[#This Row],[Tech Start Date]],2),""))))</f>
        <v/>
      </c>
      <c r="N1247" s="114" t="str">
        <f>IF(Main[[#This Row],[Tech Start Date]]&lt;1/1/1990,"",IF(Main[[#This Row],[Class]]="C",WORKDAY(Main[[#This Row],[Tech Start Date]],19),IF(Main[[#This Row],[Class]]="B", WORKDAY(Main[[#This Row],[Tech Start Date]],12),IF(Main[[#This Row],[Class]]="A",WORKDAY(Main[[#This Row],[Tech Start Date]],4),""))))</f>
        <v/>
      </c>
      <c r="O1247" s="114" t="str">
        <f>IF(Main[[#This Row],[Tech Start Date]]&lt;1/1/1990,"",IF(Main[[#This Row],[Class]]="C",WORKDAY(Main[[#This Row],[Tech Start Date]],23),IF(Main[[#This Row],[Class]]="B", WORKDAY(Main[[#This Row],[Tech Start Date]],15),IF(Main[[#This Row],[Class]]="A",WORKDAY(Main[[#This Row],[Tech Start Date]],5),""))))</f>
        <v/>
      </c>
      <c r="P1247" s="114" t="str">
        <f>IF(Main[[#This Row],[Tech Start Date]]&lt;1/1/1990,"",IF(Main[[#This Row],[Class]]="C",WORKDAY(Main[[#This Row],[Tech Start Date]],28),IF(Main[[#This Row],[Class]]="B", WORKDAY(Main[[#This Row],[Tech Start Date]],19),IF(Main[[#This Row],[Class]]="A",WORKDAY(Main[[#This Row],[Tech Start Date]],9),""))))</f>
        <v/>
      </c>
      <c r="Q1247" s="129"/>
      <c r="R1247" s="129"/>
      <c r="S1247" s="139" t="s">
        <v>6</v>
      </c>
      <c r="T1247" s="115" t="s">
        <v>4</v>
      </c>
      <c r="U1247" s="139" t="s">
        <v>29</v>
      </c>
      <c r="V1247" s="139" t="s">
        <v>1917</v>
      </c>
      <c r="W1247" s="139" t="s">
        <v>1922</v>
      </c>
      <c r="X1247" s="139" t="s">
        <v>306</v>
      </c>
      <c r="Y1247" s="112" t="s">
        <v>4</v>
      </c>
      <c r="Z1247" s="112" t="s">
        <v>30</v>
      </c>
      <c r="AA1247" s="139" t="s">
        <v>4</v>
      </c>
    </row>
    <row r="1248" spans="1:27" ht="17.25" customHeight="1">
      <c r="A1248" s="69" t="str">
        <f>IF(priority(Main[[#This Row],[Comments]])&lt;&gt;0, priority(Main[[#This Row],[Comments]]),"")</f>
        <v/>
      </c>
      <c r="B1248" s="63" t="s">
        <v>3704</v>
      </c>
      <c r="C1248" s="148" t="s">
        <v>3605</v>
      </c>
      <c r="D1248" s="113" t="s">
        <v>3705</v>
      </c>
      <c r="E1248" s="129">
        <v>40960.202187499999</v>
      </c>
      <c r="F1248" s="129">
        <v>41146</v>
      </c>
      <c r="G1248" s="69">
        <f>IF(stdProdLT(Main[[#This Row],[Comments]])=0.1,"N/A",IF(stdProdLT(Main[[#This Row],[Comments]])=0,"",stdProdLT(Main[[#This Row],[Comments]])))</f>
        <v>126</v>
      </c>
      <c r="H1248" s="138" t="str">
        <f>IF(Main[[#This Row],[In Stock Date]]="N/A", "N/A",IF(AND(Main[[#This Row],[In Stock Date]]&lt;&gt;"",Main[[#This Row],[Revised Due Date]]&lt;&gt;"",Main[[#This Row],[In Stock Date]]&lt;&gt;""),Main[[#This Row],[In Stock Date]]-Main[[#This Row],[Revised Due Date]],""))</f>
        <v/>
      </c>
      <c r="I1248" s="139" t="s">
        <v>4</v>
      </c>
      <c r="J1248" s="139" t="s">
        <v>4</v>
      </c>
      <c r="K1248" s="139" t="s">
        <v>4</v>
      </c>
      <c r="L1248" s="129"/>
      <c r="M1248" s="114" t="str">
        <f>IF(Main[[#This Row],[Tech Start Date]]&lt;1/1/1990,"",IF(Main[[#This Row],[Class]]="C",WORKDAY(Main[[#This Row],[Tech Start Date]],9),IF(Main[[#This Row],[Class]]="B", WORKDAY(Main[[#This Row],[Tech Start Date]],6),IF(Main[[#This Row],[Class]]="A",WORKDAY(Main[[#This Row],[Tech Start Date]],2),""))))</f>
        <v/>
      </c>
      <c r="N1248" s="114" t="str">
        <f>IF(Main[[#This Row],[Tech Start Date]]&lt;1/1/1990,"",IF(Main[[#This Row],[Class]]="C",WORKDAY(Main[[#This Row],[Tech Start Date]],19),IF(Main[[#This Row],[Class]]="B", WORKDAY(Main[[#This Row],[Tech Start Date]],12),IF(Main[[#This Row],[Class]]="A",WORKDAY(Main[[#This Row],[Tech Start Date]],4),""))))</f>
        <v/>
      </c>
      <c r="O1248" s="114" t="str">
        <f>IF(Main[[#This Row],[Tech Start Date]]&lt;1/1/1990,"",IF(Main[[#This Row],[Class]]="C",WORKDAY(Main[[#This Row],[Tech Start Date]],23),IF(Main[[#This Row],[Class]]="B", WORKDAY(Main[[#This Row],[Tech Start Date]],15),IF(Main[[#This Row],[Class]]="A",WORKDAY(Main[[#This Row],[Tech Start Date]],5),""))))</f>
        <v/>
      </c>
      <c r="P1248" s="114" t="str">
        <f>IF(Main[[#This Row],[Tech Start Date]]&lt;1/1/1990,"",IF(Main[[#This Row],[Class]]="C",WORKDAY(Main[[#This Row],[Tech Start Date]],28),IF(Main[[#This Row],[Class]]="B", WORKDAY(Main[[#This Row],[Tech Start Date]],19),IF(Main[[#This Row],[Class]]="A",WORKDAY(Main[[#This Row],[Tech Start Date]],9),""))))</f>
        <v/>
      </c>
      <c r="Q1248" s="129"/>
      <c r="R1248" s="129"/>
      <c r="S1248" s="139" t="s">
        <v>11</v>
      </c>
      <c r="T1248" s="115" t="s">
        <v>3706</v>
      </c>
      <c r="U1248" s="139" t="s">
        <v>694</v>
      </c>
      <c r="V1248" s="139" t="s">
        <v>1917</v>
      </c>
      <c r="W1248" s="139" t="s">
        <v>1919</v>
      </c>
      <c r="X1248" s="139" t="s">
        <v>2893</v>
      </c>
      <c r="Y1248" s="112" t="s">
        <v>3055</v>
      </c>
      <c r="Z1248" s="112" t="s">
        <v>4</v>
      </c>
      <c r="AA1248" s="139" t="s">
        <v>2893</v>
      </c>
    </row>
    <row r="1249" spans="1:27" ht="17.25" customHeight="1">
      <c r="A1249" s="69" t="str">
        <f>IF(priority(Main[[#This Row],[Comments]])&lt;&gt;0, priority(Main[[#This Row],[Comments]]),"")</f>
        <v/>
      </c>
      <c r="B1249" s="63" t="s">
        <v>3960</v>
      </c>
      <c r="C1249" s="148" t="s">
        <v>3961</v>
      </c>
      <c r="D1249" s="62" t="s">
        <v>3962</v>
      </c>
      <c r="E1249" s="129">
        <v>40968.159571759257</v>
      </c>
      <c r="F1249" s="129">
        <v>41153</v>
      </c>
      <c r="G1249" s="69" t="str">
        <f>IF(stdProdLT(Main[[#This Row],[Comments]])=0.1,"N/A",IF(stdProdLT(Main[[#This Row],[Comments]])=0,"",stdProdLT(Main[[#This Row],[Comments]])))</f>
        <v/>
      </c>
      <c r="H1249" s="138" t="str">
        <f>IF(Main[[#This Row],[In Stock Date]]="N/A", "N/A",IF(AND(Main[[#This Row],[In Stock Date]]&lt;&gt;"",Main[[#This Row],[Revised Due Date]]&lt;&gt;"",Main[[#This Row],[In Stock Date]]&lt;&gt;""),Main[[#This Row],[In Stock Date]]-Main[[#This Row],[Revised Due Date]],""))</f>
        <v/>
      </c>
      <c r="I1249" s="139" t="s">
        <v>4</v>
      </c>
      <c r="J1249" s="139" t="s">
        <v>4</v>
      </c>
      <c r="K1249" s="140" t="s">
        <v>4</v>
      </c>
      <c r="L1249" s="129"/>
      <c r="M1249" s="114" t="str">
        <f>IF(Main[[#This Row],[Tech Start Date]]&lt;1/1/1990,"",IF(Main[[#This Row],[Class]]="C",WORKDAY(Main[[#This Row],[Tech Start Date]],9),IF(Main[[#This Row],[Class]]="B", WORKDAY(Main[[#This Row],[Tech Start Date]],6),IF(Main[[#This Row],[Class]]="A",WORKDAY(Main[[#This Row],[Tech Start Date]],2),""))))</f>
        <v/>
      </c>
      <c r="N1249" s="114" t="str">
        <f>IF(Main[[#This Row],[Tech Start Date]]&lt;1/1/1990,"",IF(Main[[#This Row],[Class]]="C",WORKDAY(Main[[#This Row],[Tech Start Date]],19),IF(Main[[#This Row],[Class]]="B", WORKDAY(Main[[#This Row],[Tech Start Date]],12),IF(Main[[#This Row],[Class]]="A",WORKDAY(Main[[#This Row],[Tech Start Date]],4),""))))</f>
        <v/>
      </c>
      <c r="O1249" s="114" t="str">
        <f>IF(Main[[#This Row],[Tech Start Date]]&lt;1/1/1990,"",IF(Main[[#This Row],[Class]]="C",WORKDAY(Main[[#This Row],[Tech Start Date]],23),IF(Main[[#This Row],[Class]]="B", WORKDAY(Main[[#This Row],[Tech Start Date]],15),IF(Main[[#This Row],[Class]]="A",WORKDAY(Main[[#This Row],[Tech Start Date]],5),""))))</f>
        <v/>
      </c>
      <c r="P1249" s="114" t="str">
        <f>IF(Main[[#This Row],[Tech Start Date]]&lt;1/1/1990,"",IF(Main[[#This Row],[Class]]="C",WORKDAY(Main[[#This Row],[Tech Start Date]],28),IF(Main[[#This Row],[Class]]="B", WORKDAY(Main[[#This Row],[Tech Start Date]],19),IF(Main[[#This Row],[Class]]="A",WORKDAY(Main[[#This Row],[Tech Start Date]],9),""))))</f>
        <v/>
      </c>
      <c r="Q1249" s="129">
        <v>41000</v>
      </c>
      <c r="R1249" s="129"/>
      <c r="S1249" s="139" t="s">
        <v>11</v>
      </c>
      <c r="T1249" s="115" t="s">
        <v>4</v>
      </c>
      <c r="U1249" s="139" t="s">
        <v>7</v>
      </c>
      <c r="V1249" s="139" t="s">
        <v>1914</v>
      </c>
      <c r="W1249" s="139" t="s">
        <v>1925</v>
      </c>
      <c r="X1249" s="139" t="s">
        <v>2845</v>
      </c>
      <c r="Y1249" s="112" t="s">
        <v>3902</v>
      </c>
      <c r="Z1249" s="112" t="s">
        <v>4</v>
      </c>
      <c r="AA1249" s="139" t="s">
        <v>2845</v>
      </c>
    </row>
    <row r="1250" spans="1:27" ht="17.25" customHeight="1">
      <c r="A1250" s="69" t="str">
        <f>IF(priority(Main[[#This Row],[Comments]])&lt;&gt;0, priority(Main[[#This Row],[Comments]]),"")</f>
        <v/>
      </c>
      <c r="B1250" s="63" t="s">
        <v>3963</v>
      </c>
      <c r="C1250" s="148" t="s">
        <v>4</v>
      </c>
      <c r="D1250" s="113" t="s">
        <v>3964</v>
      </c>
      <c r="E1250" s="129">
        <v>40968.322743055556</v>
      </c>
      <c r="F1250" s="129"/>
      <c r="G1250" s="69" t="str">
        <f>IF(stdProdLT(Main[[#This Row],[Comments]])=0.1,"N/A",IF(stdProdLT(Main[[#This Row],[Comments]])=0,"",stdProdLT(Main[[#This Row],[Comments]])))</f>
        <v/>
      </c>
      <c r="H1250" s="138" t="str">
        <f>IF(Main[[#This Row],[In Stock Date]]="N/A", "N/A",IF(AND(Main[[#This Row],[In Stock Date]]&lt;&gt;"",Main[[#This Row],[Revised Due Date]]&lt;&gt;"",Main[[#This Row],[In Stock Date]]&lt;&gt;""),Main[[#This Row],[In Stock Date]]-Main[[#This Row],[Revised Due Date]],""))</f>
        <v/>
      </c>
      <c r="I1250" s="139" t="s">
        <v>912</v>
      </c>
      <c r="J1250" s="139" t="s">
        <v>52</v>
      </c>
      <c r="K1250" s="139" t="s">
        <v>4</v>
      </c>
      <c r="L1250" s="129"/>
      <c r="M1250" s="114" t="str">
        <f>IF(Main[[#This Row],[Tech Start Date]]&lt;1/1/1990,"",IF(Main[[#This Row],[Class]]="C",WORKDAY(Main[[#This Row],[Tech Start Date]],9),IF(Main[[#This Row],[Class]]="B", WORKDAY(Main[[#This Row],[Tech Start Date]],6),IF(Main[[#This Row],[Class]]="A",WORKDAY(Main[[#This Row],[Tech Start Date]],2),""))))</f>
        <v/>
      </c>
      <c r="N1250" s="114" t="str">
        <f>IF(Main[[#This Row],[Tech Start Date]]&lt;1/1/1990,"",IF(Main[[#This Row],[Class]]="C",WORKDAY(Main[[#This Row],[Tech Start Date]],19),IF(Main[[#This Row],[Class]]="B", WORKDAY(Main[[#This Row],[Tech Start Date]],12),IF(Main[[#This Row],[Class]]="A",WORKDAY(Main[[#This Row],[Tech Start Date]],4),""))))</f>
        <v/>
      </c>
      <c r="O1250" s="114" t="str">
        <f>IF(Main[[#This Row],[Tech Start Date]]&lt;1/1/1990,"",IF(Main[[#This Row],[Class]]="C",WORKDAY(Main[[#This Row],[Tech Start Date]],23),IF(Main[[#This Row],[Class]]="B", WORKDAY(Main[[#This Row],[Tech Start Date]],15),IF(Main[[#This Row],[Class]]="A",WORKDAY(Main[[#This Row],[Tech Start Date]],5),""))))</f>
        <v/>
      </c>
      <c r="P1250" s="114" t="str">
        <f>IF(Main[[#This Row],[Tech Start Date]]&lt;1/1/1990,"",IF(Main[[#This Row],[Class]]="C",WORKDAY(Main[[#This Row],[Tech Start Date]],28),IF(Main[[#This Row],[Class]]="B", WORKDAY(Main[[#This Row],[Tech Start Date]],19),IF(Main[[#This Row],[Class]]="A",WORKDAY(Main[[#This Row],[Tech Start Date]],9),""))))</f>
        <v/>
      </c>
      <c r="Q1250" s="129">
        <v>40997</v>
      </c>
      <c r="R1250" s="129"/>
      <c r="S1250" s="139" t="s">
        <v>6</v>
      </c>
      <c r="T1250" s="115" t="s">
        <v>4</v>
      </c>
      <c r="U1250" s="139" t="s">
        <v>29</v>
      </c>
      <c r="V1250" s="139" t="s">
        <v>1914</v>
      </c>
      <c r="W1250" s="139" t="s">
        <v>4</v>
      </c>
      <c r="X1250" s="139" t="s">
        <v>2822</v>
      </c>
      <c r="Y1250" s="112" t="s">
        <v>2938</v>
      </c>
      <c r="Z1250" s="112" t="s">
        <v>129</v>
      </c>
      <c r="AA1250" s="139" t="s">
        <v>2822</v>
      </c>
    </row>
    <row r="1251" spans="1:27" ht="17.25" customHeight="1">
      <c r="A1251" s="69" t="str">
        <f>IF(priority(Main[[#This Row],[Comments]])&lt;&gt;0, priority(Main[[#This Row],[Comments]]),"")</f>
        <v/>
      </c>
      <c r="B1251" s="63" t="s">
        <v>3666</v>
      </c>
      <c r="C1251" s="148" t="s">
        <v>4</v>
      </c>
      <c r="D1251" s="113" t="s">
        <v>3965</v>
      </c>
      <c r="E1251" s="129">
        <v>40967.673217592594</v>
      </c>
      <c r="F1251" s="129"/>
      <c r="G1251" s="69" t="str">
        <f>IF(stdProdLT(Main[[#This Row],[Comments]])=0.1,"N/A",IF(stdProdLT(Main[[#This Row],[Comments]])=0,"",stdProdLT(Main[[#This Row],[Comments]])))</f>
        <v/>
      </c>
      <c r="H1251" s="138" t="str">
        <f>IF(Main[[#This Row],[In Stock Date]]="N/A", "N/A",IF(AND(Main[[#This Row],[In Stock Date]]&lt;&gt;"",Main[[#This Row],[Revised Due Date]]&lt;&gt;"",Main[[#This Row],[In Stock Date]]&lt;&gt;""),Main[[#This Row],[In Stock Date]]-Main[[#This Row],[Revised Due Date]],""))</f>
        <v/>
      </c>
      <c r="I1251" s="139" t="s">
        <v>4</v>
      </c>
      <c r="J1251" s="139" t="s">
        <v>21</v>
      </c>
      <c r="K1251" s="139" t="s">
        <v>4</v>
      </c>
      <c r="L1251" s="129"/>
      <c r="M1251" s="114" t="str">
        <f>IF(Main[[#This Row],[Tech Start Date]]&lt;1/1/1990,"",IF(Main[[#This Row],[Class]]="C",WORKDAY(Main[[#This Row],[Tech Start Date]],9),IF(Main[[#This Row],[Class]]="B", WORKDAY(Main[[#This Row],[Tech Start Date]],6),IF(Main[[#This Row],[Class]]="A",WORKDAY(Main[[#This Row],[Tech Start Date]],2),""))))</f>
        <v/>
      </c>
      <c r="N1251" s="114" t="str">
        <f>IF(Main[[#This Row],[Tech Start Date]]&lt;1/1/1990,"",IF(Main[[#This Row],[Class]]="C",WORKDAY(Main[[#This Row],[Tech Start Date]],19),IF(Main[[#This Row],[Class]]="B", WORKDAY(Main[[#This Row],[Tech Start Date]],12),IF(Main[[#This Row],[Class]]="A",WORKDAY(Main[[#This Row],[Tech Start Date]],4),""))))</f>
        <v/>
      </c>
      <c r="O1251" s="114" t="str">
        <f>IF(Main[[#This Row],[Tech Start Date]]&lt;1/1/1990,"",IF(Main[[#This Row],[Class]]="C",WORKDAY(Main[[#This Row],[Tech Start Date]],23),IF(Main[[#This Row],[Class]]="B", WORKDAY(Main[[#This Row],[Tech Start Date]],15),IF(Main[[#This Row],[Class]]="A",WORKDAY(Main[[#This Row],[Tech Start Date]],5),""))))</f>
        <v/>
      </c>
      <c r="P1251" s="114" t="str">
        <f>IF(Main[[#This Row],[Tech Start Date]]&lt;1/1/1990,"",IF(Main[[#This Row],[Class]]="C",WORKDAY(Main[[#This Row],[Tech Start Date]],28),IF(Main[[#This Row],[Class]]="B", WORKDAY(Main[[#This Row],[Tech Start Date]],19),IF(Main[[#This Row],[Class]]="A",WORKDAY(Main[[#This Row],[Tech Start Date]],9),""))))</f>
        <v/>
      </c>
      <c r="Q1251" s="129">
        <v>40732</v>
      </c>
      <c r="R1251" s="129"/>
      <c r="S1251" s="139" t="s">
        <v>6</v>
      </c>
      <c r="T1251" s="115" t="s">
        <v>4</v>
      </c>
      <c r="U1251" s="139" t="s">
        <v>7</v>
      </c>
      <c r="V1251" s="139" t="s">
        <v>1914</v>
      </c>
      <c r="W1251" s="139" t="s">
        <v>1918</v>
      </c>
      <c r="X1251" s="139" t="s">
        <v>399</v>
      </c>
      <c r="Y1251" s="112" t="s">
        <v>3116</v>
      </c>
      <c r="Z1251" s="112" t="s">
        <v>877</v>
      </c>
      <c r="AA1251" s="139" t="s">
        <v>3390</v>
      </c>
    </row>
    <row r="1252" spans="1:27" ht="17.25" customHeight="1">
      <c r="A1252" s="69" t="str">
        <f>IF(priority(Main[[#This Row],[Comments]])&lt;&gt;0, priority(Main[[#This Row],[Comments]]),"")</f>
        <v/>
      </c>
      <c r="B1252" s="63" t="s">
        <v>2286</v>
      </c>
      <c r="C1252" s="148" t="s">
        <v>4</v>
      </c>
      <c r="D1252" s="113" t="s">
        <v>2733</v>
      </c>
      <c r="E1252" s="129">
        <v>40814.080497685187</v>
      </c>
      <c r="F1252" s="129"/>
      <c r="G1252" s="69" t="str">
        <f>IF(stdProdLT(Main[[#This Row],[Comments]])=0.1,"N/A",IF(stdProdLT(Main[[#This Row],[Comments]])=0,"",stdProdLT(Main[[#This Row],[Comments]])))</f>
        <v/>
      </c>
      <c r="H1252" s="138" t="str">
        <f>IF(Main[[#This Row],[In Stock Date]]="N/A", "N/A",IF(AND(Main[[#This Row],[In Stock Date]]&lt;&gt;"",Main[[#This Row],[Revised Due Date]]&lt;&gt;"",Main[[#This Row],[In Stock Date]]&lt;&gt;""),Main[[#This Row],[In Stock Date]]-Main[[#This Row],[Revised Due Date]],""))</f>
        <v/>
      </c>
      <c r="I1252" s="139" t="s">
        <v>370</v>
      </c>
      <c r="J1252" s="139" t="s">
        <v>28</v>
      </c>
      <c r="K1252" s="139" t="s">
        <v>1923</v>
      </c>
      <c r="L1252" s="129"/>
      <c r="M1252" s="114" t="str">
        <f>IF(Main[[#This Row],[Tech Start Date]]&lt;1/1/1990,"",IF(Main[[#This Row],[Class]]="C",WORKDAY(Main[[#This Row],[Tech Start Date]],9),IF(Main[[#This Row],[Class]]="B", WORKDAY(Main[[#This Row],[Tech Start Date]],6),IF(Main[[#This Row],[Class]]="A",WORKDAY(Main[[#This Row],[Tech Start Date]],2),""))))</f>
        <v/>
      </c>
      <c r="N1252" s="114" t="str">
        <f>IF(Main[[#This Row],[Tech Start Date]]&lt;1/1/1990,"",IF(Main[[#This Row],[Class]]="C",WORKDAY(Main[[#This Row],[Tech Start Date]],19),IF(Main[[#This Row],[Class]]="B", WORKDAY(Main[[#This Row],[Tech Start Date]],12),IF(Main[[#This Row],[Class]]="A",WORKDAY(Main[[#This Row],[Tech Start Date]],4),""))))</f>
        <v/>
      </c>
      <c r="O1252" s="114" t="str">
        <f>IF(Main[[#This Row],[Tech Start Date]]&lt;1/1/1990,"",IF(Main[[#This Row],[Class]]="C",WORKDAY(Main[[#This Row],[Tech Start Date]],23),IF(Main[[#This Row],[Class]]="B", WORKDAY(Main[[#This Row],[Tech Start Date]],15),IF(Main[[#This Row],[Class]]="A",WORKDAY(Main[[#This Row],[Tech Start Date]],5),""))))</f>
        <v/>
      </c>
      <c r="P1252" s="114" t="str">
        <f>IF(Main[[#This Row],[Tech Start Date]]&lt;1/1/1990,"",IF(Main[[#This Row],[Class]]="C",WORKDAY(Main[[#This Row],[Tech Start Date]],28),IF(Main[[#This Row],[Class]]="B", WORKDAY(Main[[#This Row],[Tech Start Date]],19),IF(Main[[#This Row],[Class]]="A",WORKDAY(Main[[#This Row],[Tech Start Date]],9),""))))</f>
        <v/>
      </c>
      <c r="Q1252" s="129">
        <v>40905</v>
      </c>
      <c r="R1252" s="129"/>
      <c r="S1252" s="139" t="s">
        <v>6</v>
      </c>
      <c r="T1252" s="115" t="s">
        <v>4</v>
      </c>
      <c r="U1252" s="139" t="s">
        <v>29</v>
      </c>
      <c r="V1252" s="139" t="s">
        <v>1917</v>
      </c>
      <c r="W1252" s="139" t="s">
        <v>1918</v>
      </c>
      <c r="X1252" s="139" t="s">
        <v>2895</v>
      </c>
      <c r="Y1252" s="112" t="s">
        <v>3060</v>
      </c>
      <c r="Z1252" s="112" t="s">
        <v>30</v>
      </c>
      <c r="AA1252" s="139" t="s">
        <v>2895</v>
      </c>
    </row>
    <row r="1253" spans="1:27" ht="17.25" customHeight="1">
      <c r="A1253" s="69" t="str">
        <f>IF(priority(Main[[#This Row],[Comments]])&lt;&gt;0, priority(Main[[#This Row],[Comments]]),"")</f>
        <v/>
      </c>
      <c r="B1253" s="63" t="s">
        <v>1856</v>
      </c>
      <c r="C1253" s="148" t="s">
        <v>95</v>
      </c>
      <c r="D1253" s="113" t="s">
        <v>913</v>
      </c>
      <c r="E1253" s="129">
        <v>40428.412002314813</v>
      </c>
      <c r="F1253" s="129"/>
      <c r="G1253" s="69" t="str">
        <f>IF(stdProdLT(Main[[#This Row],[Comments]])=0.1,"N/A",IF(stdProdLT(Main[[#This Row],[Comments]])=0,"",stdProdLT(Main[[#This Row],[Comments]])))</f>
        <v/>
      </c>
      <c r="H1253" s="138" t="str">
        <f>IF(Main[[#This Row],[In Stock Date]]="N/A", "N/A",IF(AND(Main[[#This Row],[In Stock Date]]&lt;&gt;"",Main[[#This Row],[Revised Due Date]]&lt;&gt;"",Main[[#This Row],[In Stock Date]]&lt;&gt;""),Main[[#This Row],[In Stock Date]]-Main[[#This Row],[Revised Due Date]],""))</f>
        <v/>
      </c>
      <c r="I1253" s="139" t="s">
        <v>415</v>
      </c>
      <c r="J1253" s="139" t="s">
        <v>28</v>
      </c>
      <c r="K1253" s="139" t="s">
        <v>1926</v>
      </c>
      <c r="L1253" s="129"/>
      <c r="M1253" s="114" t="str">
        <f>IF(Main[[#This Row],[Tech Start Date]]&lt;1/1/1990,"",IF(Main[[#This Row],[Class]]="C",WORKDAY(Main[[#This Row],[Tech Start Date]],9),IF(Main[[#This Row],[Class]]="B", WORKDAY(Main[[#This Row],[Tech Start Date]],6),IF(Main[[#This Row],[Class]]="A",WORKDAY(Main[[#This Row],[Tech Start Date]],2),""))))</f>
        <v/>
      </c>
      <c r="N1253" s="114" t="str">
        <f>IF(Main[[#This Row],[Tech Start Date]]&lt;1/1/1990,"",IF(Main[[#This Row],[Class]]="C",WORKDAY(Main[[#This Row],[Tech Start Date]],19),IF(Main[[#This Row],[Class]]="B", WORKDAY(Main[[#This Row],[Tech Start Date]],12),IF(Main[[#This Row],[Class]]="A",WORKDAY(Main[[#This Row],[Tech Start Date]],4),""))))</f>
        <v/>
      </c>
      <c r="O1253" s="114" t="str">
        <f>IF(Main[[#This Row],[Tech Start Date]]&lt;1/1/1990,"",IF(Main[[#This Row],[Class]]="C",WORKDAY(Main[[#This Row],[Tech Start Date]],23),IF(Main[[#This Row],[Class]]="B", WORKDAY(Main[[#This Row],[Tech Start Date]],15),IF(Main[[#This Row],[Class]]="A",WORKDAY(Main[[#This Row],[Tech Start Date]],5),""))))</f>
        <v/>
      </c>
      <c r="P1253" s="114" t="str">
        <f>IF(Main[[#This Row],[Tech Start Date]]&lt;1/1/1990,"",IF(Main[[#This Row],[Class]]="C",WORKDAY(Main[[#This Row],[Tech Start Date]],28),IF(Main[[#This Row],[Class]]="B", WORKDAY(Main[[#This Row],[Tech Start Date]],19),IF(Main[[#This Row],[Class]]="A",WORKDAY(Main[[#This Row],[Tech Start Date]],9),""))))</f>
        <v/>
      </c>
      <c r="Q1253" s="129">
        <v>40574</v>
      </c>
      <c r="R1253" s="129">
        <v>41046</v>
      </c>
      <c r="S1253" s="139" t="s">
        <v>17</v>
      </c>
      <c r="T1253" s="115" t="s">
        <v>4</v>
      </c>
      <c r="U1253" s="139" t="s">
        <v>29</v>
      </c>
      <c r="V1253" s="139" t="s">
        <v>1917</v>
      </c>
      <c r="W1253" s="139" t="s">
        <v>1920</v>
      </c>
      <c r="X1253" s="139" t="s">
        <v>415</v>
      </c>
      <c r="Y1253" s="112" t="s">
        <v>2975</v>
      </c>
      <c r="Z1253" s="112" t="s">
        <v>968</v>
      </c>
      <c r="AA1253" s="139" t="s">
        <v>415</v>
      </c>
    </row>
    <row r="1254" spans="1:27" ht="17.25" customHeight="1">
      <c r="A1254" s="69" t="str">
        <f>IF(priority(Main[[#This Row],[Comments]])&lt;&gt;0, priority(Main[[#This Row],[Comments]]),"")</f>
        <v/>
      </c>
      <c r="B1254" s="63" t="s">
        <v>3286</v>
      </c>
      <c r="C1254" s="148" t="s">
        <v>4</v>
      </c>
      <c r="D1254" s="113" t="s">
        <v>3287</v>
      </c>
      <c r="E1254" s="129">
        <v>40931.434317129628</v>
      </c>
      <c r="F1254" s="129"/>
      <c r="G1254" s="69" t="str">
        <f>IF(stdProdLT(Main[[#This Row],[Comments]])=0.1,"N/A",IF(stdProdLT(Main[[#This Row],[Comments]])=0,"",stdProdLT(Main[[#This Row],[Comments]])))</f>
        <v/>
      </c>
      <c r="H1254" s="138" t="str">
        <f>IF(Main[[#This Row],[In Stock Date]]="N/A", "N/A",IF(AND(Main[[#This Row],[In Stock Date]]&lt;&gt;"",Main[[#This Row],[Revised Due Date]]&lt;&gt;"",Main[[#This Row],[In Stock Date]]&lt;&gt;""),Main[[#This Row],[In Stock Date]]-Main[[#This Row],[Revised Due Date]],""))</f>
        <v/>
      </c>
      <c r="I1254" s="139" t="s">
        <v>4</v>
      </c>
      <c r="J1254" s="139" t="s">
        <v>4</v>
      </c>
      <c r="K1254" s="139" t="s">
        <v>4</v>
      </c>
      <c r="L1254" s="129"/>
      <c r="M1254" s="114" t="str">
        <f>IF(Main[[#This Row],[Tech Start Date]]&lt;1/1/1990,"",IF(Main[[#This Row],[Class]]="C",WORKDAY(Main[[#This Row],[Tech Start Date]],9),IF(Main[[#This Row],[Class]]="B", WORKDAY(Main[[#This Row],[Tech Start Date]],6),IF(Main[[#This Row],[Class]]="A",WORKDAY(Main[[#This Row],[Tech Start Date]],2),""))))</f>
        <v/>
      </c>
      <c r="N1254" s="114" t="str">
        <f>IF(Main[[#This Row],[Tech Start Date]]&lt;1/1/1990,"",IF(Main[[#This Row],[Class]]="C",WORKDAY(Main[[#This Row],[Tech Start Date]],19),IF(Main[[#This Row],[Class]]="B", WORKDAY(Main[[#This Row],[Tech Start Date]],12),IF(Main[[#This Row],[Class]]="A",WORKDAY(Main[[#This Row],[Tech Start Date]],4),""))))</f>
        <v/>
      </c>
      <c r="O1254" s="114" t="str">
        <f>IF(Main[[#This Row],[Tech Start Date]]&lt;1/1/1990,"",IF(Main[[#This Row],[Class]]="C",WORKDAY(Main[[#This Row],[Tech Start Date]],23),IF(Main[[#This Row],[Class]]="B", WORKDAY(Main[[#This Row],[Tech Start Date]],15),IF(Main[[#This Row],[Class]]="A",WORKDAY(Main[[#This Row],[Tech Start Date]],5),""))))</f>
        <v/>
      </c>
      <c r="P1254" s="114" t="str">
        <f>IF(Main[[#This Row],[Tech Start Date]]&lt;1/1/1990,"",IF(Main[[#This Row],[Class]]="C",WORKDAY(Main[[#This Row],[Tech Start Date]],28),IF(Main[[#This Row],[Class]]="B", WORKDAY(Main[[#This Row],[Tech Start Date]],19),IF(Main[[#This Row],[Class]]="A",WORKDAY(Main[[#This Row],[Tech Start Date]],9),""))))</f>
        <v/>
      </c>
      <c r="Q1254" s="129"/>
      <c r="R1254" s="129"/>
      <c r="S1254" s="139" t="s">
        <v>6</v>
      </c>
      <c r="T1254" s="115" t="s">
        <v>4</v>
      </c>
      <c r="U1254" s="139" t="s">
        <v>7</v>
      </c>
      <c r="V1254" s="139" t="s">
        <v>1914</v>
      </c>
      <c r="W1254" s="139" t="s">
        <v>1918</v>
      </c>
      <c r="X1254" s="139" t="s">
        <v>2902</v>
      </c>
      <c r="Y1254" s="112" t="s">
        <v>3081</v>
      </c>
      <c r="Z1254" s="112" t="s">
        <v>4</v>
      </c>
      <c r="AA1254" s="139" t="s">
        <v>2902</v>
      </c>
    </row>
    <row r="1255" spans="1:27" ht="17.25" customHeight="1">
      <c r="A1255" s="69" t="str">
        <f>IF(priority(Main[[#This Row],[Comments]])&lt;&gt;0, priority(Main[[#This Row],[Comments]]),"")</f>
        <v/>
      </c>
      <c r="B1255" s="63" t="s">
        <v>1108</v>
      </c>
      <c r="C1255" s="148" t="s">
        <v>4</v>
      </c>
      <c r="D1255" s="113" t="s">
        <v>154</v>
      </c>
      <c r="E1255" s="129"/>
      <c r="F1255" s="129"/>
      <c r="G1255" s="69" t="str">
        <f>IF(stdProdLT(Main[[#This Row],[Comments]])=0.1,"N/A",IF(stdProdLT(Main[[#This Row],[Comments]])=0,"",stdProdLT(Main[[#This Row],[Comments]])))</f>
        <v/>
      </c>
      <c r="H1255" s="138" t="str">
        <f>IF(Main[[#This Row],[In Stock Date]]="N/A", "N/A",IF(AND(Main[[#This Row],[In Stock Date]]&lt;&gt;"",Main[[#This Row],[Revised Due Date]]&lt;&gt;"",Main[[#This Row],[In Stock Date]]&lt;&gt;""),Main[[#This Row],[In Stock Date]]-Main[[#This Row],[Revised Due Date]],""))</f>
        <v/>
      </c>
      <c r="I1255" s="139" t="s">
        <v>4</v>
      </c>
      <c r="J1255" s="139" t="s">
        <v>4</v>
      </c>
      <c r="K1255" s="139" t="s">
        <v>4</v>
      </c>
      <c r="L1255" s="129"/>
      <c r="M1255" s="114" t="str">
        <f>IF(Main[[#This Row],[Tech Start Date]]&lt;1/1/1990,"",IF(Main[[#This Row],[Class]]="C",WORKDAY(Main[[#This Row],[Tech Start Date]],9),IF(Main[[#This Row],[Class]]="B", WORKDAY(Main[[#This Row],[Tech Start Date]],6),IF(Main[[#This Row],[Class]]="A",WORKDAY(Main[[#This Row],[Tech Start Date]],2),""))))</f>
        <v/>
      </c>
      <c r="N1255" s="114" t="str">
        <f>IF(Main[[#This Row],[Tech Start Date]]&lt;1/1/1990,"",IF(Main[[#This Row],[Class]]="C",WORKDAY(Main[[#This Row],[Tech Start Date]],19),IF(Main[[#This Row],[Class]]="B", WORKDAY(Main[[#This Row],[Tech Start Date]],12),IF(Main[[#This Row],[Class]]="A",WORKDAY(Main[[#This Row],[Tech Start Date]],4),""))))</f>
        <v/>
      </c>
      <c r="O1255" s="114" t="str">
        <f>IF(Main[[#This Row],[Tech Start Date]]&lt;1/1/1990,"",IF(Main[[#This Row],[Class]]="C",WORKDAY(Main[[#This Row],[Tech Start Date]],23),IF(Main[[#This Row],[Class]]="B", WORKDAY(Main[[#This Row],[Tech Start Date]],15),IF(Main[[#This Row],[Class]]="A",WORKDAY(Main[[#This Row],[Tech Start Date]],5),""))))</f>
        <v/>
      </c>
      <c r="P1255" s="114" t="str">
        <f>IF(Main[[#This Row],[Tech Start Date]]&lt;1/1/1990,"",IF(Main[[#This Row],[Class]]="C",WORKDAY(Main[[#This Row],[Tech Start Date]],28),IF(Main[[#This Row],[Class]]="B", WORKDAY(Main[[#This Row],[Tech Start Date]],19),IF(Main[[#This Row],[Class]]="A",WORKDAY(Main[[#This Row],[Tech Start Date]],9),""))))</f>
        <v/>
      </c>
      <c r="Q1255" s="129">
        <v>40619</v>
      </c>
      <c r="R1255" s="129"/>
      <c r="S1255" s="139" t="s">
        <v>49</v>
      </c>
      <c r="T1255" s="115" t="s">
        <v>4</v>
      </c>
      <c r="U1255" s="139" t="s">
        <v>14</v>
      </c>
      <c r="V1255" s="139" t="s">
        <v>1917</v>
      </c>
      <c r="W1255" s="139" t="s">
        <v>1922</v>
      </c>
      <c r="X1255" s="139" t="s">
        <v>50</v>
      </c>
      <c r="Y1255" s="112" t="s">
        <v>2996</v>
      </c>
      <c r="Z1255" s="112" t="s">
        <v>4</v>
      </c>
      <c r="AA1255" s="139" t="s">
        <v>2872</v>
      </c>
    </row>
    <row r="1256" spans="1:27" ht="17.25" customHeight="1">
      <c r="A1256" s="69" t="str">
        <f>IF(priority(Main[[#This Row],[Comments]])&lt;&gt;0, priority(Main[[#This Row],[Comments]]),"")</f>
        <v/>
      </c>
      <c r="B1256" s="63" t="s">
        <v>3347</v>
      </c>
      <c r="C1256" s="148" t="s">
        <v>4</v>
      </c>
      <c r="D1256" s="113" t="s">
        <v>3712</v>
      </c>
      <c r="E1256" s="129">
        <v>40939.297210648147</v>
      </c>
      <c r="F1256" s="129"/>
      <c r="G1256" s="69" t="str">
        <f>IF(stdProdLT(Main[[#This Row],[Comments]])=0.1,"N/A",IF(stdProdLT(Main[[#This Row],[Comments]])=0,"",stdProdLT(Main[[#This Row],[Comments]])))</f>
        <v/>
      </c>
      <c r="H1256" s="138" t="str">
        <f>IF(Main[[#This Row],[In Stock Date]]="N/A", "N/A",IF(AND(Main[[#This Row],[In Stock Date]]&lt;&gt;"",Main[[#This Row],[Revised Due Date]]&lt;&gt;"",Main[[#This Row],[In Stock Date]]&lt;&gt;""),Main[[#This Row],[In Stock Date]]-Main[[#This Row],[Revised Due Date]],""))</f>
        <v/>
      </c>
      <c r="I1256" s="139" t="s">
        <v>69</v>
      </c>
      <c r="J1256" s="139" t="s">
        <v>70</v>
      </c>
      <c r="K1256" s="140" t="s">
        <v>1923</v>
      </c>
      <c r="L1256" s="129"/>
      <c r="M1256" s="114" t="str">
        <f>IF(Main[[#This Row],[Tech Start Date]]&lt;1/1/1990,"",IF(Main[[#This Row],[Class]]="C",WORKDAY(Main[[#This Row],[Tech Start Date]],9),IF(Main[[#This Row],[Class]]="B", WORKDAY(Main[[#This Row],[Tech Start Date]],6),IF(Main[[#This Row],[Class]]="A",WORKDAY(Main[[#This Row],[Tech Start Date]],2),""))))</f>
        <v/>
      </c>
      <c r="N1256" s="114" t="str">
        <f>IF(Main[[#This Row],[Tech Start Date]]&lt;1/1/1990,"",IF(Main[[#This Row],[Class]]="C",WORKDAY(Main[[#This Row],[Tech Start Date]],19),IF(Main[[#This Row],[Class]]="B", WORKDAY(Main[[#This Row],[Tech Start Date]],12),IF(Main[[#This Row],[Class]]="A",WORKDAY(Main[[#This Row],[Tech Start Date]],4),""))))</f>
        <v/>
      </c>
      <c r="O1256" s="114" t="str">
        <f>IF(Main[[#This Row],[Tech Start Date]]&lt;1/1/1990,"",IF(Main[[#This Row],[Class]]="C",WORKDAY(Main[[#This Row],[Tech Start Date]],23),IF(Main[[#This Row],[Class]]="B", WORKDAY(Main[[#This Row],[Tech Start Date]],15),IF(Main[[#This Row],[Class]]="A",WORKDAY(Main[[#This Row],[Tech Start Date]],5),""))))</f>
        <v/>
      </c>
      <c r="P1256" s="114" t="str">
        <f>IF(Main[[#This Row],[Tech Start Date]]&lt;1/1/1990,"",IF(Main[[#This Row],[Class]]="C",WORKDAY(Main[[#This Row],[Tech Start Date]],28),IF(Main[[#This Row],[Class]]="B", WORKDAY(Main[[#This Row],[Tech Start Date]],19),IF(Main[[#This Row],[Class]]="A",WORKDAY(Main[[#This Row],[Tech Start Date]],9),""))))</f>
        <v/>
      </c>
      <c r="Q1256" s="129">
        <v>40968</v>
      </c>
      <c r="R1256" s="129"/>
      <c r="S1256" s="139" t="s">
        <v>6</v>
      </c>
      <c r="T1256" s="115" t="s">
        <v>4</v>
      </c>
      <c r="U1256" s="139" t="s">
        <v>29</v>
      </c>
      <c r="V1256" s="139" t="s">
        <v>1917</v>
      </c>
      <c r="W1256" s="139" t="s">
        <v>1918</v>
      </c>
      <c r="X1256" s="139" t="s">
        <v>2822</v>
      </c>
      <c r="Y1256" s="112" t="s">
        <v>2938</v>
      </c>
      <c r="Z1256" s="112" t="s">
        <v>30</v>
      </c>
      <c r="AA1256" s="139" t="s">
        <v>2822</v>
      </c>
    </row>
    <row r="1257" spans="1:27" ht="17.25" customHeight="1">
      <c r="A1257" s="69" t="str">
        <f>IF(priority(Main[[#This Row],[Comments]])&lt;&gt;0, priority(Main[[#This Row],[Comments]]),"")</f>
        <v/>
      </c>
      <c r="B1257" s="63" t="s">
        <v>2660</v>
      </c>
      <c r="C1257" s="148" t="s">
        <v>4</v>
      </c>
      <c r="D1257" s="113" t="s">
        <v>2661</v>
      </c>
      <c r="E1257" s="129"/>
      <c r="F1257" s="129"/>
      <c r="G1257" s="69" t="str">
        <f>IF(stdProdLT(Main[[#This Row],[Comments]])=0.1,"N/A",IF(stdProdLT(Main[[#This Row],[Comments]])=0,"",stdProdLT(Main[[#This Row],[Comments]])))</f>
        <v/>
      </c>
      <c r="H1257" s="138" t="str">
        <f>IF(Main[[#This Row],[In Stock Date]]="N/A", "N/A",IF(AND(Main[[#This Row],[In Stock Date]]&lt;&gt;"",Main[[#This Row],[Revised Due Date]]&lt;&gt;"",Main[[#This Row],[In Stock Date]]&lt;&gt;""),Main[[#This Row],[In Stock Date]]-Main[[#This Row],[Revised Due Date]],""))</f>
        <v/>
      </c>
      <c r="I1257" s="139" t="s">
        <v>4</v>
      </c>
      <c r="J1257" s="139" t="s">
        <v>4</v>
      </c>
      <c r="K1257" s="139" t="s">
        <v>4</v>
      </c>
      <c r="L1257" s="129"/>
      <c r="M1257" s="114" t="str">
        <f>IF(Main[[#This Row],[Tech Start Date]]&lt;1/1/1990,"",IF(Main[[#This Row],[Class]]="C",WORKDAY(Main[[#This Row],[Tech Start Date]],9),IF(Main[[#This Row],[Class]]="B", WORKDAY(Main[[#This Row],[Tech Start Date]],6),IF(Main[[#This Row],[Class]]="A",WORKDAY(Main[[#This Row],[Tech Start Date]],2),""))))</f>
        <v/>
      </c>
      <c r="N1257" s="114" t="str">
        <f>IF(Main[[#This Row],[Tech Start Date]]&lt;1/1/1990,"",IF(Main[[#This Row],[Class]]="C",WORKDAY(Main[[#This Row],[Tech Start Date]],19),IF(Main[[#This Row],[Class]]="B", WORKDAY(Main[[#This Row],[Tech Start Date]],12),IF(Main[[#This Row],[Class]]="A",WORKDAY(Main[[#This Row],[Tech Start Date]],4),""))))</f>
        <v/>
      </c>
      <c r="O1257" s="114" t="str">
        <f>IF(Main[[#This Row],[Tech Start Date]]&lt;1/1/1990,"",IF(Main[[#This Row],[Class]]="C",WORKDAY(Main[[#This Row],[Tech Start Date]],23),IF(Main[[#This Row],[Class]]="B", WORKDAY(Main[[#This Row],[Tech Start Date]],15),IF(Main[[#This Row],[Class]]="A",WORKDAY(Main[[#This Row],[Tech Start Date]],5),""))))</f>
        <v/>
      </c>
      <c r="P1257" s="114" t="str">
        <f>IF(Main[[#This Row],[Tech Start Date]]&lt;1/1/1990,"",IF(Main[[#This Row],[Class]]="C",WORKDAY(Main[[#This Row],[Tech Start Date]],28),IF(Main[[#This Row],[Class]]="B", WORKDAY(Main[[#This Row],[Tech Start Date]],19),IF(Main[[#This Row],[Class]]="A",WORKDAY(Main[[#This Row],[Tech Start Date]],9),""))))</f>
        <v/>
      </c>
      <c r="Q1257" s="129">
        <v>40884</v>
      </c>
      <c r="R1257" s="129"/>
      <c r="S1257" s="139" t="s">
        <v>4</v>
      </c>
      <c r="T1257" s="115" t="s">
        <v>4</v>
      </c>
      <c r="U1257" s="139" t="s">
        <v>14</v>
      </c>
      <c r="V1257" s="139" t="s">
        <v>1924</v>
      </c>
      <c r="W1257" s="139" t="s">
        <v>1922</v>
      </c>
      <c r="X1257" s="139" t="s">
        <v>2857</v>
      </c>
      <c r="Y1257" s="112" t="s">
        <v>2998</v>
      </c>
      <c r="Z1257" s="112" t="s">
        <v>4</v>
      </c>
      <c r="AA1257" s="139" t="s">
        <v>2857</v>
      </c>
    </row>
    <row r="1258" spans="1:27" ht="17.25" customHeight="1">
      <c r="A1258" s="69" t="str">
        <f>IF(priority(Main[[#This Row],[Comments]])&lt;&gt;0, priority(Main[[#This Row],[Comments]]),"")</f>
        <v/>
      </c>
      <c r="B1258" s="63" t="s">
        <v>2777</v>
      </c>
      <c r="C1258" s="148" t="s">
        <v>47</v>
      </c>
      <c r="D1258" s="113" t="s">
        <v>2778</v>
      </c>
      <c r="E1258" s="129"/>
      <c r="F1258" s="129"/>
      <c r="G1258" s="69" t="str">
        <f>IF(stdProdLT(Main[[#This Row],[Comments]])=0.1,"N/A",IF(stdProdLT(Main[[#This Row],[Comments]])=0,"",stdProdLT(Main[[#This Row],[Comments]])))</f>
        <v/>
      </c>
      <c r="H1258" s="138" t="str">
        <f>IF(Main[[#This Row],[In Stock Date]]="N/A", "N/A",IF(AND(Main[[#This Row],[In Stock Date]]&lt;&gt;"",Main[[#This Row],[Revised Due Date]]&lt;&gt;"",Main[[#This Row],[In Stock Date]]&lt;&gt;""),Main[[#This Row],[In Stock Date]]-Main[[#This Row],[Revised Due Date]],""))</f>
        <v/>
      </c>
      <c r="I1258" s="139" t="s">
        <v>4</v>
      </c>
      <c r="J1258" s="139" t="s">
        <v>4</v>
      </c>
      <c r="K1258" s="139" t="s">
        <v>4</v>
      </c>
      <c r="L1258" s="129"/>
      <c r="M1258" s="114" t="str">
        <f>IF(Main[[#This Row],[Tech Start Date]]&lt;1/1/1990,"",IF(Main[[#This Row],[Class]]="C",WORKDAY(Main[[#This Row],[Tech Start Date]],9),IF(Main[[#This Row],[Class]]="B", WORKDAY(Main[[#This Row],[Tech Start Date]],6),IF(Main[[#This Row],[Class]]="A",WORKDAY(Main[[#This Row],[Tech Start Date]],2),""))))</f>
        <v/>
      </c>
      <c r="N1258" s="114" t="str">
        <f>IF(Main[[#This Row],[Tech Start Date]]&lt;1/1/1990,"",IF(Main[[#This Row],[Class]]="C",WORKDAY(Main[[#This Row],[Tech Start Date]],19),IF(Main[[#This Row],[Class]]="B", WORKDAY(Main[[#This Row],[Tech Start Date]],12),IF(Main[[#This Row],[Class]]="A",WORKDAY(Main[[#This Row],[Tech Start Date]],4),""))))</f>
        <v/>
      </c>
      <c r="O1258" s="114" t="str">
        <f>IF(Main[[#This Row],[Tech Start Date]]&lt;1/1/1990,"",IF(Main[[#This Row],[Class]]="C",WORKDAY(Main[[#This Row],[Tech Start Date]],23),IF(Main[[#This Row],[Class]]="B", WORKDAY(Main[[#This Row],[Tech Start Date]],15),IF(Main[[#This Row],[Class]]="A",WORKDAY(Main[[#This Row],[Tech Start Date]],5),""))))</f>
        <v/>
      </c>
      <c r="P1258" s="114" t="str">
        <f>IF(Main[[#This Row],[Tech Start Date]]&lt;1/1/1990,"",IF(Main[[#This Row],[Class]]="C",WORKDAY(Main[[#This Row],[Tech Start Date]],28),IF(Main[[#This Row],[Class]]="B", WORKDAY(Main[[#This Row],[Tech Start Date]],19),IF(Main[[#This Row],[Class]]="A",WORKDAY(Main[[#This Row],[Tech Start Date]],9),""))))</f>
        <v/>
      </c>
      <c r="Q1258" s="129">
        <v>40907</v>
      </c>
      <c r="R1258" s="129"/>
      <c r="S1258" s="139" t="s">
        <v>6</v>
      </c>
      <c r="T1258" s="115" t="s">
        <v>4</v>
      </c>
      <c r="U1258" s="139" t="s">
        <v>12</v>
      </c>
      <c r="V1258" s="139" t="s">
        <v>1917</v>
      </c>
      <c r="W1258" s="139" t="s">
        <v>4</v>
      </c>
      <c r="X1258" s="139" t="s">
        <v>2865</v>
      </c>
      <c r="Y1258" s="112" t="s">
        <v>3010</v>
      </c>
      <c r="Z1258" s="112" t="s">
        <v>4</v>
      </c>
      <c r="AA1258" s="139" t="s">
        <v>2865</v>
      </c>
    </row>
    <row r="1259" spans="1:27" ht="17.25" customHeight="1">
      <c r="A1259" s="69" t="str">
        <f>IF(priority(Main[[#This Row],[Comments]])&lt;&gt;0, priority(Main[[#This Row],[Comments]]),"")</f>
        <v/>
      </c>
      <c r="B1259" s="63" t="s">
        <v>2700</v>
      </c>
      <c r="C1259" s="148" t="s">
        <v>4</v>
      </c>
      <c r="D1259" s="113" t="s">
        <v>3283</v>
      </c>
      <c r="E1259" s="129">
        <v>40917.540925925925</v>
      </c>
      <c r="F1259" s="129"/>
      <c r="G1259" s="69" t="str">
        <f>IF(stdProdLT(Main[[#This Row],[Comments]])=0.1,"N/A",IF(stdProdLT(Main[[#This Row],[Comments]])=0,"",stdProdLT(Main[[#This Row],[Comments]])))</f>
        <v/>
      </c>
      <c r="H1259" s="138" t="str">
        <f>IF(Main[[#This Row],[In Stock Date]]="N/A", "N/A",IF(AND(Main[[#This Row],[In Stock Date]]&lt;&gt;"",Main[[#This Row],[Revised Due Date]]&lt;&gt;"",Main[[#This Row],[In Stock Date]]&lt;&gt;""),Main[[#This Row],[In Stock Date]]-Main[[#This Row],[Revised Due Date]],""))</f>
        <v/>
      </c>
      <c r="I1259" s="139" t="s">
        <v>2051</v>
      </c>
      <c r="J1259" s="139" t="s">
        <v>21</v>
      </c>
      <c r="K1259" s="139" t="s">
        <v>1923</v>
      </c>
      <c r="L1259" s="129"/>
      <c r="M1259" s="114" t="str">
        <f>IF(Main[[#This Row],[Tech Start Date]]&lt;1/1/1990,"",IF(Main[[#This Row],[Class]]="C",WORKDAY(Main[[#This Row],[Tech Start Date]],9),IF(Main[[#This Row],[Class]]="B", WORKDAY(Main[[#This Row],[Tech Start Date]],6),IF(Main[[#This Row],[Class]]="A",WORKDAY(Main[[#This Row],[Tech Start Date]],2),""))))</f>
        <v/>
      </c>
      <c r="N1259" s="114" t="str">
        <f>IF(Main[[#This Row],[Tech Start Date]]&lt;1/1/1990,"",IF(Main[[#This Row],[Class]]="C",WORKDAY(Main[[#This Row],[Tech Start Date]],19),IF(Main[[#This Row],[Class]]="B", WORKDAY(Main[[#This Row],[Tech Start Date]],12),IF(Main[[#This Row],[Class]]="A",WORKDAY(Main[[#This Row],[Tech Start Date]],4),""))))</f>
        <v/>
      </c>
      <c r="O1259" s="114" t="str">
        <f>IF(Main[[#This Row],[Tech Start Date]]&lt;1/1/1990,"",IF(Main[[#This Row],[Class]]="C",WORKDAY(Main[[#This Row],[Tech Start Date]],23),IF(Main[[#This Row],[Class]]="B", WORKDAY(Main[[#This Row],[Tech Start Date]],15),IF(Main[[#This Row],[Class]]="A",WORKDAY(Main[[#This Row],[Tech Start Date]],5),""))))</f>
        <v/>
      </c>
      <c r="P1259" s="114" t="str">
        <f>IF(Main[[#This Row],[Tech Start Date]]&lt;1/1/1990,"",IF(Main[[#This Row],[Class]]="C",WORKDAY(Main[[#This Row],[Tech Start Date]],28),IF(Main[[#This Row],[Class]]="B", WORKDAY(Main[[#This Row],[Tech Start Date]],19),IF(Main[[#This Row],[Class]]="A",WORKDAY(Main[[#This Row],[Tech Start Date]],9),""))))</f>
        <v/>
      </c>
      <c r="Q1259" s="129">
        <v>40949</v>
      </c>
      <c r="R1259" s="129"/>
      <c r="S1259" s="139" t="s">
        <v>6</v>
      </c>
      <c r="T1259" s="115" t="s">
        <v>4</v>
      </c>
      <c r="U1259" s="139" t="s">
        <v>29</v>
      </c>
      <c r="V1259" s="139" t="s">
        <v>1917</v>
      </c>
      <c r="W1259" s="139" t="s">
        <v>1918</v>
      </c>
      <c r="X1259" s="139" t="s">
        <v>2819</v>
      </c>
      <c r="Y1259" s="112" t="s">
        <v>2932</v>
      </c>
      <c r="Z1259" s="112" t="s">
        <v>30</v>
      </c>
      <c r="AA1259" s="139" t="s">
        <v>2819</v>
      </c>
    </row>
    <row r="1260" spans="1:27" ht="17.25" customHeight="1">
      <c r="A1260" s="69" t="str">
        <f>IF(priority(Main[[#This Row],[Comments]])&lt;&gt;0, priority(Main[[#This Row],[Comments]]),"")</f>
        <v/>
      </c>
      <c r="B1260" s="63" t="s">
        <v>2590</v>
      </c>
      <c r="C1260" s="148" t="s">
        <v>31</v>
      </c>
      <c r="D1260" s="113" t="s">
        <v>3700</v>
      </c>
      <c r="E1260" s="129">
        <v>40820.728263888886</v>
      </c>
      <c r="F1260" s="129"/>
      <c r="G1260" s="69" t="str">
        <f>IF(stdProdLT(Main[[#This Row],[Comments]])=0.1,"N/A",IF(stdProdLT(Main[[#This Row],[Comments]])=0,"",stdProdLT(Main[[#This Row],[Comments]])))</f>
        <v/>
      </c>
      <c r="H1260" s="138" t="str">
        <f>IF(Main[[#This Row],[In Stock Date]]="N/A", "N/A",IF(AND(Main[[#This Row],[In Stock Date]]&lt;&gt;"",Main[[#This Row],[Revised Due Date]]&lt;&gt;"",Main[[#This Row],[In Stock Date]]&lt;&gt;""),Main[[#This Row],[In Stock Date]]-Main[[#This Row],[Revised Due Date]],""))</f>
        <v/>
      </c>
      <c r="I1260" s="139" t="s">
        <v>922</v>
      </c>
      <c r="J1260" s="139" t="s">
        <v>4</v>
      </c>
      <c r="K1260" s="139" t="s">
        <v>4</v>
      </c>
      <c r="L1260" s="129"/>
      <c r="M1260" s="114" t="str">
        <f>IF(Main[[#This Row],[Tech Start Date]]&lt;1/1/1990,"",IF(Main[[#This Row],[Class]]="C",WORKDAY(Main[[#This Row],[Tech Start Date]],9),IF(Main[[#This Row],[Class]]="B", WORKDAY(Main[[#This Row],[Tech Start Date]],6),IF(Main[[#This Row],[Class]]="A",WORKDAY(Main[[#This Row],[Tech Start Date]],2),""))))</f>
        <v/>
      </c>
      <c r="N1260" s="114" t="str">
        <f>IF(Main[[#This Row],[Tech Start Date]]&lt;1/1/1990,"",IF(Main[[#This Row],[Class]]="C",WORKDAY(Main[[#This Row],[Tech Start Date]],19),IF(Main[[#This Row],[Class]]="B", WORKDAY(Main[[#This Row],[Tech Start Date]],12),IF(Main[[#This Row],[Class]]="A",WORKDAY(Main[[#This Row],[Tech Start Date]],4),""))))</f>
        <v/>
      </c>
      <c r="O1260" s="114" t="str">
        <f>IF(Main[[#This Row],[Tech Start Date]]&lt;1/1/1990,"",IF(Main[[#This Row],[Class]]="C",WORKDAY(Main[[#This Row],[Tech Start Date]],23),IF(Main[[#This Row],[Class]]="B", WORKDAY(Main[[#This Row],[Tech Start Date]],15),IF(Main[[#This Row],[Class]]="A",WORKDAY(Main[[#This Row],[Tech Start Date]],5),""))))</f>
        <v/>
      </c>
      <c r="P1260" s="114" t="str">
        <f>IF(Main[[#This Row],[Tech Start Date]]&lt;1/1/1990,"",IF(Main[[#This Row],[Class]]="C",WORKDAY(Main[[#This Row],[Tech Start Date]],28),IF(Main[[#This Row],[Class]]="B", WORKDAY(Main[[#This Row],[Tech Start Date]],19),IF(Main[[#This Row],[Class]]="A",WORKDAY(Main[[#This Row],[Tech Start Date]],9),""))))</f>
        <v/>
      </c>
      <c r="Q1260" s="129">
        <v>40841</v>
      </c>
      <c r="R1260" s="129"/>
      <c r="S1260" s="139" t="s">
        <v>11</v>
      </c>
      <c r="T1260" s="115" t="s">
        <v>2591</v>
      </c>
      <c r="U1260" s="139" t="s">
        <v>7</v>
      </c>
      <c r="V1260" s="139" t="s">
        <v>1929</v>
      </c>
      <c r="W1260" s="139" t="s">
        <v>1922</v>
      </c>
      <c r="X1260" s="139" t="s">
        <v>2821</v>
      </c>
      <c r="Y1260" s="112" t="s">
        <v>2936</v>
      </c>
      <c r="Z1260" s="112" t="s">
        <v>4</v>
      </c>
      <c r="AA1260" s="139" t="s">
        <v>2821</v>
      </c>
    </row>
    <row r="1261" spans="1:27" ht="17.25" customHeight="1">
      <c r="A1261" s="69" t="str">
        <f>IF(priority(Main[[#This Row],[Comments]])&lt;&gt;0, priority(Main[[#This Row],[Comments]]),"")</f>
        <v/>
      </c>
      <c r="B1261" s="63" t="s">
        <v>1637</v>
      </c>
      <c r="C1261" s="148" t="s">
        <v>4</v>
      </c>
      <c r="D1261" s="113" t="s">
        <v>2570</v>
      </c>
      <c r="E1261" s="129"/>
      <c r="F1261" s="129"/>
      <c r="G1261" s="69" t="str">
        <f>IF(stdProdLT(Main[[#This Row],[Comments]])=0.1,"N/A",IF(stdProdLT(Main[[#This Row],[Comments]])=0,"",stdProdLT(Main[[#This Row],[Comments]])))</f>
        <v/>
      </c>
      <c r="H1261" s="138" t="str">
        <f>IF(Main[[#This Row],[In Stock Date]]="N/A", "N/A",IF(AND(Main[[#This Row],[In Stock Date]]&lt;&gt;"",Main[[#This Row],[Revised Due Date]]&lt;&gt;"",Main[[#This Row],[In Stock Date]]&lt;&gt;""),Main[[#This Row],[In Stock Date]]-Main[[#This Row],[Revised Due Date]],""))</f>
        <v/>
      </c>
      <c r="I1261" s="139" t="s">
        <v>4</v>
      </c>
      <c r="J1261" s="139" t="s">
        <v>28</v>
      </c>
      <c r="K1261" s="139" t="s">
        <v>1921</v>
      </c>
      <c r="L1261" s="129"/>
      <c r="M1261" s="114" t="str">
        <f>IF(Main[[#This Row],[Tech Start Date]]&lt;1/1/1990,"",IF(Main[[#This Row],[Class]]="C",WORKDAY(Main[[#This Row],[Tech Start Date]],9),IF(Main[[#This Row],[Class]]="B", WORKDAY(Main[[#This Row],[Tech Start Date]],6),IF(Main[[#This Row],[Class]]="A",WORKDAY(Main[[#This Row],[Tech Start Date]],2),""))))</f>
        <v/>
      </c>
      <c r="N1261" s="114" t="str">
        <f>IF(Main[[#This Row],[Tech Start Date]]&lt;1/1/1990,"",IF(Main[[#This Row],[Class]]="C",WORKDAY(Main[[#This Row],[Tech Start Date]],19),IF(Main[[#This Row],[Class]]="B", WORKDAY(Main[[#This Row],[Tech Start Date]],12),IF(Main[[#This Row],[Class]]="A",WORKDAY(Main[[#This Row],[Tech Start Date]],4),""))))</f>
        <v/>
      </c>
      <c r="O1261" s="114" t="str">
        <f>IF(Main[[#This Row],[Tech Start Date]]&lt;1/1/1990,"",IF(Main[[#This Row],[Class]]="C",WORKDAY(Main[[#This Row],[Tech Start Date]],23),IF(Main[[#This Row],[Class]]="B", WORKDAY(Main[[#This Row],[Tech Start Date]],15),IF(Main[[#This Row],[Class]]="A",WORKDAY(Main[[#This Row],[Tech Start Date]],5),""))))</f>
        <v/>
      </c>
      <c r="P1261" s="114" t="str">
        <f>IF(Main[[#This Row],[Tech Start Date]]&lt;1/1/1990,"",IF(Main[[#This Row],[Class]]="C",WORKDAY(Main[[#This Row],[Tech Start Date]],28),IF(Main[[#This Row],[Class]]="B", WORKDAY(Main[[#This Row],[Tech Start Date]],19),IF(Main[[#This Row],[Class]]="A",WORKDAY(Main[[#This Row],[Tech Start Date]],9),""))))</f>
        <v/>
      </c>
      <c r="Q1261" s="129">
        <v>40611</v>
      </c>
      <c r="R1261" s="129"/>
      <c r="S1261" s="139" t="s">
        <v>6</v>
      </c>
      <c r="T1261" s="115" t="s">
        <v>4</v>
      </c>
      <c r="U1261" s="139" t="s">
        <v>14</v>
      </c>
      <c r="V1261" s="139" t="s">
        <v>1914</v>
      </c>
      <c r="W1261" s="139" t="s">
        <v>1918</v>
      </c>
      <c r="X1261" s="139" t="s">
        <v>2821</v>
      </c>
      <c r="Y1261" s="112" t="s">
        <v>2936</v>
      </c>
      <c r="Z1261" s="112" t="s">
        <v>129</v>
      </c>
      <c r="AA1261" s="139" t="s">
        <v>2821</v>
      </c>
    </row>
    <row r="1262" spans="1:27" ht="17.25" customHeight="1">
      <c r="A1262" s="69" t="str">
        <f>IF(priority(Main[[#This Row],[Comments]])&lt;&gt;0, priority(Main[[#This Row],[Comments]]),"")</f>
        <v/>
      </c>
      <c r="B1262" s="63" t="s">
        <v>3713</v>
      </c>
      <c r="C1262" s="148" t="s">
        <v>4</v>
      </c>
      <c r="D1262" s="113" t="s">
        <v>3714</v>
      </c>
      <c r="E1262" s="129">
        <v>40954.564212962963</v>
      </c>
      <c r="F1262" s="129"/>
      <c r="G1262" s="69" t="str">
        <f>IF(stdProdLT(Main[[#This Row],[Comments]])=0.1,"N/A",IF(stdProdLT(Main[[#This Row],[Comments]])=0,"",stdProdLT(Main[[#This Row],[Comments]])))</f>
        <v/>
      </c>
      <c r="H1262" s="138" t="str">
        <f>IF(Main[[#This Row],[In Stock Date]]="N/A", "N/A",IF(AND(Main[[#This Row],[In Stock Date]]&lt;&gt;"",Main[[#This Row],[Revised Due Date]]&lt;&gt;"",Main[[#This Row],[In Stock Date]]&lt;&gt;""),Main[[#This Row],[In Stock Date]]-Main[[#This Row],[Revised Due Date]],""))</f>
        <v/>
      </c>
      <c r="I1262" s="139" t="s">
        <v>4</v>
      </c>
      <c r="J1262" s="139" t="s">
        <v>4</v>
      </c>
      <c r="K1262" s="139" t="s">
        <v>4</v>
      </c>
      <c r="L1262" s="129"/>
      <c r="M1262" s="114" t="str">
        <f>IF(Main[[#This Row],[Tech Start Date]]&lt;1/1/1990,"",IF(Main[[#This Row],[Class]]="C",WORKDAY(Main[[#This Row],[Tech Start Date]],9),IF(Main[[#This Row],[Class]]="B", WORKDAY(Main[[#This Row],[Tech Start Date]],6),IF(Main[[#This Row],[Class]]="A",WORKDAY(Main[[#This Row],[Tech Start Date]],2),""))))</f>
        <v/>
      </c>
      <c r="N1262" s="114" t="str">
        <f>IF(Main[[#This Row],[Tech Start Date]]&lt;1/1/1990,"",IF(Main[[#This Row],[Class]]="C",WORKDAY(Main[[#This Row],[Tech Start Date]],19),IF(Main[[#This Row],[Class]]="B", WORKDAY(Main[[#This Row],[Tech Start Date]],12),IF(Main[[#This Row],[Class]]="A",WORKDAY(Main[[#This Row],[Tech Start Date]],4),""))))</f>
        <v/>
      </c>
      <c r="O1262" s="114" t="str">
        <f>IF(Main[[#This Row],[Tech Start Date]]&lt;1/1/1990,"",IF(Main[[#This Row],[Class]]="C",WORKDAY(Main[[#This Row],[Tech Start Date]],23),IF(Main[[#This Row],[Class]]="B", WORKDAY(Main[[#This Row],[Tech Start Date]],15),IF(Main[[#This Row],[Class]]="A",WORKDAY(Main[[#This Row],[Tech Start Date]],5),""))))</f>
        <v/>
      </c>
      <c r="P1262" s="114" t="str">
        <f>IF(Main[[#This Row],[Tech Start Date]]&lt;1/1/1990,"",IF(Main[[#This Row],[Class]]="C",WORKDAY(Main[[#This Row],[Tech Start Date]],28),IF(Main[[#This Row],[Class]]="B", WORKDAY(Main[[#This Row],[Tech Start Date]],19),IF(Main[[#This Row],[Class]]="A",WORKDAY(Main[[#This Row],[Tech Start Date]],9),""))))</f>
        <v/>
      </c>
      <c r="Q1262" s="129"/>
      <c r="R1262" s="129"/>
      <c r="S1262" s="139" t="s">
        <v>17</v>
      </c>
      <c r="T1262" s="115" t="s">
        <v>4</v>
      </c>
      <c r="U1262" s="139" t="s">
        <v>7</v>
      </c>
      <c r="V1262" s="139" t="s">
        <v>1929</v>
      </c>
      <c r="W1262" s="139" t="s">
        <v>1922</v>
      </c>
      <c r="X1262" s="139" t="s">
        <v>2862</v>
      </c>
      <c r="Y1262" s="112" t="s">
        <v>3006</v>
      </c>
      <c r="Z1262" s="112" t="s">
        <v>4</v>
      </c>
      <c r="AA1262" s="139" t="s">
        <v>2862</v>
      </c>
    </row>
    <row r="1263" spans="1:27" ht="17.25" customHeight="1">
      <c r="A1263" s="69" t="str">
        <f>IF(priority(Main[[#This Row],[Comments]])&lt;&gt;0, priority(Main[[#This Row],[Comments]]),"")</f>
        <v/>
      </c>
      <c r="B1263" s="63" t="s">
        <v>3478</v>
      </c>
      <c r="C1263" s="148" t="s">
        <v>4</v>
      </c>
      <c r="D1263" s="113" t="s">
        <v>3479</v>
      </c>
      <c r="E1263" s="129"/>
      <c r="F1263" s="129"/>
      <c r="G1263" s="69" t="str">
        <f>IF(stdProdLT(Main[[#This Row],[Comments]])=0.1,"N/A",IF(stdProdLT(Main[[#This Row],[Comments]])=0,"",stdProdLT(Main[[#This Row],[Comments]])))</f>
        <v/>
      </c>
      <c r="H1263" s="138" t="str">
        <f>IF(Main[[#This Row],[In Stock Date]]="N/A", "N/A",IF(AND(Main[[#This Row],[In Stock Date]]&lt;&gt;"",Main[[#This Row],[Revised Due Date]]&lt;&gt;"",Main[[#This Row],[In Stock Date]]&lt;&gt;""),Main[[#This Row],[In Stock Date]]-Main[[#This Row],[Revised Due Date]],""))</f>
        <v/>
      </c>
      <c r="I1263" s="139" t="s">
        <v>4</v>
      </c>
      <c r="J1263" s="139" t="s">
        <v>4</v>
      </c>
      <c r="K1263" s="139" t="s">
        <v>4</v>
      </c>
      <c r="L1263" s="129"/>
      <c r="M1263" s="114" t="str">
        <f>IF(Main[[#This Row],[Tech Start Date]]&lt;1/1/1990,"",IF(Main[[#This Row],[Class]]="C",WORKDAY(Main[[#This Row],[Tech Start Date]],9),IF(Main[[#This Row],[Class]]="B", WORKDAY(Main[[#This Row],[Tech Start Date]],6),IF(Main[[#This Row],[Class]]="A",WORKDAY(Main[[#This Row],[Tech Start Date]],2),""))))</f>
        <v/>
      </c>
      <c r="N1263" s="114" t="str">
        <f>IF(Main[[#This Row],[Tech Start Date]]&lt;1/1/1990,"",IF(Main[[#This Row],[Class]]="C",WORKDAY(Main[[#This Row],[Tech Start Date]],19),IF(Main[[#This Row],[Class]]="B", WORKDAY(Main[[#This Row],[Tech Start Date]],12),IF(Main[[#This Row],[Class]]="A",WORKDAY(Main[[#This Row],[Tech Start Date]],4),""))))</f>
        <v/>
      </c>
      <c r="O1263" s="114" t="str">
        <f>IF(Main[[#This Row],[Tech Start Date]]&lt;1/1/1990,"",IF(Main[[#This Row],[Class]]="C",WORKDAY(Main[[#This Row],[Tech Start Date]],23),IF(Main[[#This Row],[Class]]="B", WORKDAY(Main[[#This Row],[Tech Start Date]],15),IF(Main[[#This Row],[Class]]="A",WORKDAY(Main[[#This Row],[Tech Start Date]],5),""))))</f>
        <v/>
      </c>
      <c r="P1263" s="114" t="str">
        <f>IF(Main[[#This Row],[Tech Start Date]]&lt;1/1/1990,"",IF(Main[[#This Row],[Class]]="C",WORKDAY(Main[[#This Row],[Tech Start Date]],28),IF(Main[[#This Row],[Class]]="B", WORKDAY(Main[[#This Row],[Tech Start Date]],19),IF(Main[[#This Row],[Class]]="A",WORKDAY(Main[[#This Row],[Tech Start Date]],9),""))))</f>
        <v/>
      </c>
      <c r="Q1263" s="129">
        <v>41001</v>
      </c>
      <c r="R1263" s="129"/>
      <c r="S1263" s="139" t="s">
        <v>6</v>
      </c>
      <c r="T1263" s="115" t="s">
        <v>4</v>
      </c>
      <c r="U1263" s="139" t="s">
        <v>14</v>
      </c>
      <c r="V1263" s="139" t="s">
        <v>1917</v>
      </c>
      <c r="W1263" s="139" t="s">
        <v>4</v>
      </c>
      <c r="X1263" s="139" t="s">
        <v>2822</v>
      </c>
      <c r="Y1263" s="112" t="s">
        <v>2938</v>
      </c>
      <c r="Z1263" s="112" t="s">
        <v>4</v>
      </c>
      <c r="AA1263" s="139" t="s">
        <v>2822</v>
      </c>
    </row>
    <row r="1264" spans="1:27" ht="17.25" customHeight="1">
      <c r="A1264" s="69" t="str">
        <f>IF(priority(Main[[#This Row],[Comments]])&lt;&gt;0, priority(Main[[#This Row],[Comments]]),"")</f>
        <v/>
      </c>
      <c r="B1264" s="63" t="s">
        <v>1662</v>
      </c>
      <c r="C1264" s="148" t="s">
        <v>4</v>
      </c>
      <c r="D1264" s="113" t="s">
        <v>3715</v>
      </c>
      <c r="E1264" s="129">
        <v>40528.434965277775</v>
      </c>
      <c r="F1264" s="129"/>
      <c r="G1264" s="69" t="str">
        <f>IF(stdProdLT(Main[[#This Row],[Comments]])=0.1,"N/A",IF(stdProdLT(Main[[#This Row],[Comments]])=0,"",stdProdLT(Main[[#This Row],[Comments]])))</f>
        <v/>
      </c>
      <c r="H1264" s="138" t="str">
        <f>IF(Main[[#This Row],[In Stock Date]]="N/A", "N/A",IF(AND(Main[[#This Row],[In Stock Date]]&lt;&gt;"",Main[[#This Row],[Revised Due Date]]&lt;&gt;"",Main[[#This Row],[In Stock Date]]&lt;&gt;""),Main[[#This Row],[In Stock Date]]-Main[[#This Row],[Revised Due Date]],""))</f>
        <v/>
      </c>
      <c r="I1264" s="139" t="s">
        <v>4</v>
      </c>
      <c r="J1264" s="139" t="s">
        <v>28</v>
      </c>
      <c r="K1264" s="139" t="s">
        <v>1926</v>
      </c>
      <c r="L1264" s="129"/>
      <c r="M1264" s="114" t="str">
        <f>IF(Main[[#This Row],[Tech Start Date]]&lt;1/1/1990,"",IF(Main[[#This Row],[Class]]="C",WORKDAY(Main[[#This Row],[Tech Start Date]],9),IF(Main[[#This Row],[Class]]="B", WORKDAY(Main[[#This Row],[Tech Start Date]],6),IF(Main[[#This Row],[Class]]="A",WORKDAY(Main[[#This Row],[Tech Start Date]],2),""))))</f>
        <v/>
      </c>
      <c r="N1264" s="114" t="str">
        <f>IF(Main[[#This Row],[Tech Start Date]]&lt;1/1/1990,"",IF(Main[[#This Row],[Class]]="C",WORKDAY(Main[[#This Row],[Tech Start Date]],19),IF(Main[[#This Row],[Class]]="B", WORKDAY(Main[[#This Row],[Tech Start Date]],12),IF(Main[[#This Row],[Class]]="A",WORKDAY(Main[[#This Row],[Tech Start Date]],4),""))))</f>
        <v/>
      </c>
      <c r="O1264" s="114" t="str">
        <f>IF(Main[[#This Row],[Tech Start Date]]&lt;1/1/1990,"",IF(Main[[#This Row],[Class]]="C",WORKDAY(Main[[#This Row],[Tech Start Date]],23),IF(Main[[#This Row],[Class]]="B", WORKDAY(Main[[#This Row],[Tech Start Date]],15),IF(Main[[#This Row],[Class]]="A",WORKDAY(Main[[#This Row],[Tech Start Date]],5),""))))</f>
        <v/>
      </c>
      <c r="P1264" s="114" t="str">
        <f>IF(Main[[#This Row],[Tech Start Date]]&lt;1/1/1990,"",IF(Main[[#This Row],[Class]]="C",WORKDAY(Main[[#This Row],[Tech Start Date]],28),IF(Main[[#This Row],[Class]]="B", WORKDAY(Main[[#This Row],[Tech Start Date]],19),IF(Main[[#This Row],[Class]]="A",WORKDAY(Main[[#This Row],[Tech Start Date]],9),""))))</f>
        <v/>
      </c>
      <c r="Q1264" s="129">
        <v>41152</v>
      </c>
      <c r="R1264" s="129"/>
      <c r="S1264" s="139" t="s">
        <v>17</v>
      </c>
      <c r="T1264" s="115" t="s">
        <v>4</v>
      </c>
      <c r="U1264" s="139" t="s">
        <v>7</v>
      </c>
      <c r="V1264" s="139" t="s">
        <v>1914</v>
      </c>
      <c r="W1264" s="139" t="s">
        <v>1919</v>
      </c>
      <c r="X1264" s="139" t="s">
        <v>129</v>
      </c>
      <c r="Y1264" s="112" t="s">
        <v>3077</v>
      </c>
      <c r="Z1264" s="112" t="s">
        <v>129</v>
      </c>
      <c r="AA1264" s="139" t="s">
        <v>129</v>
      </c>
    </row>
    <row r="1265" spans="1:27" ht="17.25" customHeight="1">
      <c r="A1265" s="69" t="str">
        <f>IF(priority(Main[[#This Row],[Comments]])&lt;&gt;0, priority(Main[[#This Row],[Comments]]),"")</f>
        <v/>
      </c>
      <c r="B1265" s="63" t="s">
        <v>1658</v>
      </c>
      <c r="C1265" s="148" t="s">
        <v>122</v>
      </c>
      <c r="D1265" s="62" t="s">
        <v>2787</v>
      </c>
      <c r="E1265" s="129">
        <v>40959.441145833334</v>
      </c>
      <c r="F1265" s="129">
        <v>41244</v>
      </c>
      <c r="G1265" s="69">
        <f>IF(stdProdLT(Main[[#This Row],[Comments]])=0.1,"N/A",IF(stdProdLT(Main[[#This Row],[Comments]])=0,"",stdProdLT(Main[[#This Row],[Comments]])))</f>
        <v>126</v>
      </c>
      <c r="H1265" s="138" t="str">
        <f>IF(Main[[#This Row],[In Stock Date]]="N/A", "N/A",IF(AND(Main[[#This Row],[In Stock Date]]&lt;&gt;"",Main[[#This Row],[Revised Due Date]]&lt;&gt;"",Main[[#This Row],[In Stock Date]]&lt;&gt;""),Main[[#This Row],[In Stock Date]]-Main[[#This Row],[Revised Due Date]],""))</f>
        <v/>
      </c>
      <c r="I1265" s="139" t="s">
        <v>4</v>
      </c>
      <c r="J1265" s="139" t="s">
        <v>28</v>
      </c>
      <c r="K1265" s="139" t="s">
        <v>1927</v>
      </c>
      <c r="L1265" s="129"/>
      <c r="M1265" s="114" t="str">
        <f>IF(Main[[#This Row],[Tech Start Date]]&lt;1/1/1990,"",IF(Main[[#This Row],[Class]]="C",WORKDAY(Main[[#This Row],[Tech Start Date]],9),IF(Main[[#This Row],[Class]]="B", WORKDAY(Main[[#This Row],[Tech Start Date]],6),IF(Main[[#This Row],[Class]]="A",WORKDAY(Main[[#This Row],[Tech Start Date]],2),""))))</f>
        <v/>
      </c>
      <c r="N1265" s="114" t="str">
        <f>IF(Main[[#This Row],[Tech Start Date]]&lt;1/1/1990,"",IF(Main[[#This Row],[Class]]="C",WORKDAY(Main[[#This Row],[Tech Start Date]],19),IF(Main[[#This Row],[Class]]="B", WORKDAY(Main[[#This Row],[Tech Start Date]],12),IF(Main[[#This Row],[Class]]="A",WORKDAY(Main[[#This Row],[Tech Start Date]],4),""))))</f>
        <v/>
      </c>
      <c r="O1265" s="114" t="str">
        <f>IF(Main[[#This Row],[Tech Start Date]]&lt;1/1/1990,"",IF(Main[[#This Row],[Class]]="C",WORKDAY(Main[[#This Row],[Tech Start Date]],23),IF(Main[[#This Row],[Class]]="B", WORKDAY(Main[[#This Row],[Tech Start Date]],15),IF(Main[[#This Row],[Class]]="A",WORKDAY(Main[[#This Row],[Tech Start Date]],5),""))))</f>
        <v/>
      </c>
      <c r="P1265" s="114" t="str">
        <f>IF(Main[[#This Row],[Tech Start Date]]&lt;1/1/1990,"",IF(Main[[#This Row],[Class]]="C",WORKDAY(Main[[#This Row],[Tech Start Date]],28),IF(Main[[#This Row],[Class]]="B", WORKDAY(Main[[#This Row],[Tech Start Date]],19),IF(Main[[#This Row],[Class]]="A",WORKDAY(Main[[#This Row],[Tech Start Date]],9),""))))</f>
        <v/>
      </c>
      <c r="Q1265" s="129">
        <v>40711</v>
      </c>
      <c r="R1265" s="129"/>
      <c r="S1265" s="139" t="s">
        <v>11</v>
      </c>
      <c r="T1265" s="115" t="s">
        <v>3716</v>
      </c>
      <c r="U1265" s="139" t="s">
        <v>694</v>
      </c>
      <c r="V1265" s="139" t="s">
        <v>1914</v>
      </c>
      <c r="W1265" s="139" t="s">
        <v>1916</v>
      </c>
      <c r="X1265" s="139" t="s">
        <v>2852</v>
      </c>
      <c r="Y1265" s="112" t="s">
        <v>3134</v>
      </c>
      <c r="Z1265" s="112" t="s">
        <v>129</v>
      </c>
      <c r="AA1265" s="139" t="s">
        <v>2852</v>
      </c>
    </row>
    <row r="1266" spans="1:27" ht="17.25" customHeight="1">
      <c r="A1266" s="69" t="str">
        <f>IF(priority(Main[[#This Row],[Comments]])&lt;&gt;0, priority(Main[[#This Row],[Comments]]),"")</f>
        <v/>
      </c>
      <c r="B1266" s="63" t="s">
        <v>1851</v>
      </c>
      <c r="C1266" s="148" t="s">
        <v>4</v>
      </c>
      <c r="D1266" s="113" t="s">
        <v>2812</v>
      </c>
      <c r="E1266" s="129">
        <v>40365.451284722221</v>
      </c>
      <c r="F1266" s="129"/>
      <c r="G1266" s="69" t="str">
        <f>IF(stdProdLT(Main[[#This Row],[Comments]])=0.1,"N/A",IF(stdProdLT(Main[[#This Row],[Comments]])=0,"",stdProdLT(Main[[#This Row],[Comments]])))</f>
        <v/>
      </c>
      <c r="H1266" s="138" t="str">
        <f>IF(Main[[#This Row],[In Stock Date]]="N/A", "N/A",IF(AND(Main[[#This Row],[In Stock Date]]&lt;&gt;"",Main[[#This Row],[Revised Due Date]]&lt;&gt;"",Main[[#This Row],[In Stock Date]]&lt;&gt;""),Main[[#This Row],[In Stock Date]]-Main[[#This Row],[Revised Due Date]],""))</f>
        <v/>
      </c>
      <c r="I1266" s="139" t="s">
        <v>907</v>
      </c>
      <c r="J1266" s="139" t="s">
        <v>28</v>
      </c>
      <c r="K1266" s="139" t="s">
        <v>1926</v>
      </c>
      <c r="L1266" s="129"/>
      <c r="M1266" s="114" t="str">
        <f>IF(Main[[#This Row],[Tech Start Date]]&lt;1/1/1990,"",IF(Main[[#This Row],[Class]]="C",WORKDAY(Main[[#This Row],[Tech Start Date]],9),IF(Main[[#This Row],[Class]]="B", WORKDAY(Main[[#This Row],[Tech Start Date]],6),IF(Main[[#This Row],[Class]]="A",WORKDAY(Main[[#This Row],[Tech Start Date]],2),""))))</f>
        <v/>
      </c>
      <c r="N1266" s="114" t="str">
        <f>IF(Main[[#This Row],[Tech Start Date]]&lt;1/1/1990,"",IF(Main[[#This Row],[Class]]="C",WORKDAY(Main[[#This Row],[Tech Start Date]],19),IF(Main[[#This Row],[Class]]="B", WORKDAY(Main[[#This Row],[Tech Start Date]],12),IF(Main[[#This Row],[Class]]="A",WORKDAY(Main[[#This Row],[Tech Start Date]],4),""))))</f>
        <v/>
      </c>
      <c r="O1266" s="114" t="str">
        <f>IF(Main[[#This Row],[Tech Start Date]]&lt;1/1/1990,"",IF(Main[[#This Row],[Class]]="C",WORKDAY(Main[[#This Row],[Tech Start Date]],23),IF(Main[[#This Row],[Class]]="B", WORKDAY(Main[[#This Row],[Tech Start Date]],15),IF(Main[[#This Row],[Class]]="A",WORKDAY(Main[[#This Row],[Tech Start Date]],5),""))))</f>
        <v/>
      </c>
      <c r="P1266" s="114" t="str">
        <f>IF(Main[[#This Row],[Tech Start Date]]&lt;1/1/1990,"",IF(Main[[#This Row],[Class]]="C",WORKDAY(Main[[#This Row],[Tech Start Date]],28),IF(Main[[#This Row],[Class]]="B", WORKDAY(Main[[#This Row],[Tech Start Date]],19),IF(Main[[#This Row],[Class]]="A",WORKDAY(Main[[#This Row],[Tech Start Date]],9),""))))</f>
        <v/>
      </c>
      <c r="Q1266" s="129">
        <v>40968</v>
      </c>
      <c r="R1266" s="129">
        <v>40939</v>
      </c>
      <c r="S1266" s="139" t="s">
        <v>17</v>
      </c>
      <c r="T1266" s="115" t="s">
        <v>2593</v>
      </c>
      <c r="U1266" s="139" t="s">
        <v>29</v>
      </c>
      <c r="V1266" s="139" t="s">
        <v>1914</v>
      </c>
      <c r="W1266" s="139" t="s">
        <v>1919</v>
      </c>
      <c r="X1266" s="139" t="s">
        <v>129</v>
      </c>
      <c r="Y1266" s="112" t="s">
        <v>4</v>
      </c>
      <c r="Z1266" s="112" t="s">
        <v>129</v>
      </c>
      <c r="AA1266" s="139" t="s">
        <v>2828</v>
      </c>
    </row>
    <row r="1267" spans="1:27" ht="17.25" customHeight="1">
      <c r="A1267" s="69" t="str">
        <f>IF(priority(Main[[#This Row],[Comments]])&lt;&gt;0, priority(Main[[#This Row],[Comments]]),"")</f>
        <v/>
      </c>
      <c r="B1267" s="63" t="s">
        <v>2473</v>
      </c>
      <c r="C1267" s="148" t="s">
        <v>4</v>
      </c>
      <c r="D1267" s="113" t="s">
        <v>2474</v>
      </c>
      <c r="E1267" s="129">
        <v>40849.40829861111</v>
      </c>
      <c r="F1267" s="129"/>
      <c r="G1267" s="69" t="str">
        <f>IF(stdProdLT(Main[[#This Row],[Comments]])=0.1,"N/A",IF(stdProdLT(Main[[#This Row],[Comments]])=0,"",stdProdLT(Main[[#This Row],[Comments]])))</f>
        <v/>
      </c>
      <c r="H1267" s="138" t="str">
        <f>IF(Main[[#This Row],[In Stock Date]]="N/A", "N/A",IF(AND(Main[[#This Row],[In Stock Date]]&lt;&gt;"",Main[[#This Row],[Revised Due Date]]&lt;&gt;"",Main[[#This Row],[In Stock Date]]&lt;&gt;""),Main[[#This Row],[In Stock Date]]-Main[[#This Row],[Revised Due Date]],""))</f>
        <v/>
      </c>
      <c r="I1267" s="139" t="s">
        <v>2044</v>
      </c>
      <c r="J1267" s="139" t="s">
        <v>21</v>
      </c>
      <c r="K1267" s="139" t="s">
        <v>1923</v>
      </c>
      <c r="L1267" s="129"/>
      <c r="M1267" s="114" t="str">
        <f>IF(Main[[#This Row],[Tech Start Date]]&lt;1/1/1990,"",IF(Main[[#This Row],[Class]]="C",WORKDAY(Main[[#This Row],[Tech Start Date]],9),IF(Main[[#This Row],[Class]]="B", WORKDAY(Main[[#This Row],[Tech Start Date]],6),IF(Main[[#This Row],[Class]]="A",WORKDAY(Main[[#This Row],[Tech Start Date]],2),""))))</f>
        <v/>
      </c>
      <c r="N1267" s="114" t="str">
        <f>IF(Main[[#This Row],[Tech Start Date]]&lt;1/1/1990,"",IF(Main[[#This Row],[Class]]="C",WORKDAY(Main[[#This Row],[Tech Start Date]],19),IF(Main[[#This Row],[Class]]="B", WORKDAY(Main[[#This Row],[Tech Start Date]],12),IF(Main[[#This Row],[Class]]="A",WORKDAY(Main[[#This Row],[Tech Start Date]],4),""))))</f>
        <v/>
      </c>
      <c r="O1267" s="114" t="str">
        <f>IF(Main[[#This Row],[Tech Start Date]]&lt;1/1/1990,"",IF(Main[[#This Row],[Class]]="C",WORKDAY(Main[[#This Row],[Tech Start Date]],23),IF(Main[[#This Row],[Class]]="B", WORKDAY(Main[[#This Row],[Tech Start Date]],15),IF(Main[[#This Row],[Class]]="A",WORKDAY(Main[[#This Row],[Tech Start Date]],5),""))))</f>
        <v/>
      </c>
      <c r="P1267" s="114" t="str">
        <f>IF(Main[[#This Row],[Tech Start Date]]&lt;1/1/1990,"",IF(Main[[#This Row],[Class]]="C",WORKDAY(Main[[#This Row],[Tech Start Date]],28),IF(Main[[#This Row],[Class]]="B", WORKDAY(Main[[#This Row],[Tech Start Date]],19),IF(Main[[#This Row],[Class]]="A",WORKDAY(Main[[#This Row],[Tech Start Date]],9),""))))</f>
        <v/>
      </c>
      <c r="Q1267" s="129">
        <v>40856</v>
      </c>
      <c r="R1267" s="129"/>
      <c r="S1267" s="139" t="s">
        <v>6</v>
      </c>
      <c r="T1267" s="115" t="s">
        <v>4</v>
      </c>
      <c r="U1267" s="139" t="s">
        <v>29</v>
      </c>
      <c r="V1267" s="139" t="s">
        <v>1917</v>
      </c>
      <c r="W1267" s="139" t="s">
        <v>1918</v>
      </c>
      <c r="X1267" s="139" t="s">
        <v>2903</v>
      </c>
      <c r="Y1267" s="112" t="s">
        <v>3083</v>
      </c>
      <c r="Z1267" s="112" t="s">
        <v>4</v>
      </c>
      <c r="AA1267" s="139" t="s">
        <v>2903</v>
      </c>
    </row>
    <row r="1268" spans="1:27" ht="17.25" customHeight="1">
      <c r="A1268" s="69" t="str">
        <f>IF(priority(Main[[#This Row],[Comments]])&lt;&gt;0, priority(Main[[#This Row],[Comments]]),"")</f>
        <v/>
      </c>
      <c r="B1268" s="63" t="s">
        <v>3996</v>
      </c>
      <c r="C1268" s="148" t="s">
        <v>3482</v>
      </c>
      <c r="D1268" s="113" t="s">
        <v>3997</v>
      </c>
      <c r="E1268" s="129">
        <v>40968.753009259257</v>
      </c>
      <c r="F1268" s="129">
        <v>41186</v>
      </c>
      <c r="G1268" s="69" t="str">
        <f>IF(stdProdLT(Main[[#This Row],[Comments]])=0.1,"N/A",IF(stdProdLT(Main[[#This Row],[Comments]])=0,"",stdProdLT(Main[[#This Row],[Comments]])))</f>
        <v/>
      </c>
      <c r="H1268" s="138" t="str">
        <f>IF(Main[[#This Row],[In Stock Date]]="N/A", "N/A",IF(AND(Main[[#This Row],[In Stock Date]]&lt;&gt;"",Main[[#This Row],[Revised Due Date]]&lt;&gt;"",Main[[#This Row],[In Stock Date]]&lt;&gt;""),Main[[#This Row],[In Stock Date]]-Main[[#This Row],[Revised Due Date]],""))</f>
        <v/>
      </c>
      <c r="I1268" s="139" t="s">
        <v>4</v>
      </c>
      <c r="J1268" s="139" t="s">
        <v>4</v>
      </c>
      <c r="K1268" s="139" t="s">
        <v>4</v>
      </c>
      <c r="L1268" s="129"/>
      <c r="M1268" s="114" t="str">
        <f>IF(Main[[#This Row],[Tech Start Date]]&lt;1/1/1990,"",IF(Main[[#This Row],[Class]]="C",WORKDAY(Main[[#This Row],[Tech Start Date]],9),IF(Main[[#This Row],[Class]]="B", WORKDAY(Main[[#This Row],[Tech Start Date]],6),IF(Main[[#This Row],[Class]]="A",WORKDAY(Main[[#This Row],[Tech Start Date]],2),""))))</f>
        <v/>
      </c>
      <c r="N1268" s="114" t="str">
        <f>IF(Main[[#This Row],[Tech Start Date]]&lt;1/1/1990,"",IF(Main[[#This Row],[Class]]="C",WORKDAY(Main[[#This Row],[Tech Start Date]],19),IF(Main[[#This Row],[Class]]="B", WORKDAY(Main[[#This Row],[Tech Start Date]],12),IF(Main[[#This Row],[Class]]="A",WORKDAY(Main[[#This Row],[Tech Start Date]],4),""))))</f>
        <v/>
      </c>
      <c r="O1268" s="114" t="str">
        <f>IF(Main[[#This Row],[Tech Start Date]]&lt;1/1/1990,"",IF(Main[[#This Row],[Class]]="C",WORKDAY(Main[[#This Row],[Tech Start Date]],23),IF(Main[[#This Row],[Class]]="B", WORKDAY(Main[[#This Row],[Tech Start Date]],15),IF(Main[[#This Row],[Class]]="A",WORKDAY(Main[[#This Row],[Tech Start Date]],5),""))))</f>
        <v/>
      </c>
      <c r="P1268" s="114" t="str">
        <f>IF(Main[[#This Row],[Tech Start Date]]&lt;1/1/1990,"",IF(Main[[#This Row],[Class]]="C",WORKDAY(Main[[#This Row],[Tech Start Date]],28),IF(Main[[#This Row],[Class]]="B", WORKDAY(Main[[#This Row],[Tech Start Date]],19),IF(Main[[#This Row],[Class]]="A",WORKDAY(Main[[#This Row],[Tech Start Date]],9),""))))</f>
        <v/>
      </c>
      <c r="Q1268" s="129">
        <v>41004</v>
      </c>
      <c r="R1268" s="129"/>
      <c r="S1268" s="139" t="s">
        <v>11</v>
      </c>
      <c r="T1268" s="115" t="s">
        <v>4</v>
      </c>
      <c r="U1268" s="139" t="s">
        <v>7</v>
      </c>
      <c r="V1268" s="139" t="s">
        <v>1917</v>
      </c>
      <c r="W1268" s="139" t="s">
        <v>1922</v>
      </c>
      <c r="X1268" s="139" t="s">
        <v>3484</v>
      </c>
      <c r="Y1268" s="112" t="s">
        <v>4</v>
      </c>
      <c r="Z1268" s="112" t="s">
        <v>4</v>
      </c>
      <c r="AA1268" s="139" t="s">
        <v>3484</v>
      </c>
    </row>
    <row r="1269" spans="1:27" ht="17.25" customHeight="1">
      <c r="A1269" s="69" t="str">
        <f>IF(priority(Main[[#This Row],[Comments]])&lt;&gt;0, priority(Main[[#This Row],[Comments]]),"")</f>
        <v/>
      </c>
      <c r="B1269" s="63" t="s">
        <v>2784</v>
      </c>
      <c r="C1269" s="148" t="s">
        <v>4</v>
      </c>
      <c r="D1269" s="113" t="s">
        <v>2785</v>
      </c>
      <c r="E1269" s="129">
        <v>40905.712777777779</v>
      </c>
      <c r="F1269" s="129"/>
      <c r="G1269" s="69" t="str">
        <f>IF(stdProdLT(Main[[#This Row],[Comments]])=0.1,"N/A",IF(stdProdLT(Main[[#This Row],[Comments]])=0,"",stdProdLT(Main[[#This Row],[Comments]])))</f>
        <v/>
      </c>
      <c r="H1269" s="138" t="str">
        <f>IF(Main[[#This Row],[In Stock Date]]="N/A", "N/A",IF(AND(Main[[#This Row],[In Stock Date]]&lt;&gt;"",Main[[#This Row],[Revised Due Date]]&lt;&gt;"",Main[[#This Row],[In Stock Date]]&lt;&gt;""),Main[[#This Row],[In Stock Date]]-Main[[#This Row],[Revised Due Date]],""))</f>
        <v/>
      </c>
      <c r="I1269" s="139" t="s">
        <v>4</v>
      </c>
      <c r="J1269" s="139" t="s">
        <v>4</v>
      </c>
      <c r="K1269" s="140" t="s">
        <v>4</v>
      </c>
      <c r="L1269" s="129"/>
      <c r="M1269" s="114" t="str">
        <f>IF(Main[[#This Row],[Tech Start Date]]&lt;1/1/1990,"",IF(Main[[#This Row],[Class]]="C",WORKDAY(Main[[#This Row],[Tech Start Date]],9),IF(Main[[#This Row],[Class]]="B", WORKDAY(Main[[#This Row],[Tech Start Date]],6),IF(Main[[#This Row],[Class]]="A",WORKDAY(Main[[#This Row],[Tech Start Date]],2),""))))</f>
        <v/>
      </c>
      <c r="N1269" s="114" t="str">
        <f>IF(Main[[#This Row],[Tech Start Date]]&lt;1/1/1990,"",IF(Main[[#This Row],[Class]]="C",WORKDAY(Main[[#This Row],[Tech Start Date]],19),IF(Main[[#This Row],[Class]]="B", WORKDAY(Main[[#This Row],[Tech Start Date]],12),IF(Main[[#This Row],[Class]]="A",WORKDAY(Main[[#This Row],[Tech Start Date]],4),""))))</f>
        <v/>
      </c>
      <c r="O1269" s="114" t="str">
        <f>IF(Main[[#This Row],[Tech Start Date]]&lt;1/1/1990,"",IF(Main[[#This Row],[Class]]="C",WORKDAY(Main[[#This Row],[Tech Start Date]],23),IF(Main[[#This Row],[Class]]="B", WORKDAY(Main[[#This Row],[Tech Start Date]],15),IF(Main[[#This Row],[Class]]="A",WORKDAY(Main[[#This Row],[Tech Start Date]],5),""))))</f>
        <v/>
      </c>
      <c r="P1269" s="114" t="str">
        <f>IF(Main[[#This Row],[Tech Start Date]]&lt;1/1/1990,"",IF(Main[[#This Row],[Class]]="C",WORKDAY(Main[[#This Row],[Tech Start Date]],28),IF(Main[[#This Row],[Class]]="B", WORKDAY(Main[[#This Row],[Tech Start Date]],19),IF(Main[[#This Row],[Class]]="A",WORKDAY(Main[[#This Row],[Tech Start Date]],9),""))))</f>
        <v/>
      </c>
      <c r="Q1269" s="129">
        <v>40939</v>
      </c>
      <c r="R1269" s="129"/>
      <c r="S1269" s="139" t="s">
        <v>6</v>
      </c>
      <c r="T1269" s="115" t="s">
        <v>4</v>
      </c>
      <c r="U1269" s="139" t="s">
        <v>7</v>
      </c>
      <c r="V1269" s="139" t="s">
        <v>1914</v>
      </c>
      <c r="W1269" s="139" t="s">
        <v>4</v>
      </c>
      <c r="X1269" s="139" t="s">
        <v>2819</v>
      </c>
      <c r="Y1269" s="112" t="s">
        <v>2932</v>
      </c>
      <c r="Z1269" s="112" t="s">
        <v>4</v>
      </c>
      <c r="AA1269" s="139" t="s">
        <v>2819</v>
      </c>
    </row>
    <row r="1270" spans="1:27" ht="17.25" customHeight="1">
      <c r="A1270" s="69" t="str">
        <f>IF(priority(Main[[#This Row],[Comments]])&lt;&gt;0, priority(Main[[#This Row],[Comments]]),"")</f>
        <v/>
      </c>
      <c r="B1270" s="63" t="s">
        <v>2574</v>
      </c>
      <c r="C1270" s="148" t="s">
        <v>4</v>
      </c>
      <c r="D1270" s="113" t="s">
        <v>2786</v>
      </c>
      <c r="E1270" s="129">
        <v>40870.473611111112</v>
      </c>
      <c r="F1270" s="129"/>
      <c r="G1270" s="69" t="str">
        <f>IF(stdProdLT(Main[[#This Row],[Comments]])=0.1,"N/A",IF(stdProdLT(Main[[#This Row],[Comments]])=0,"",stdProdLT(Main[[#This Row],[Comments]])))</f>
        <v/>
      </c>
      <c r="H1270" s="138" t="str">
        <f>IF(Main[[#This Row],[In Stock Date]]="N/A", "N/A",IF(AND(Main[[#This Row],[In Stock Date]]&lt;&gt;"",Main[[#This Row],[Revised Due Date]]&lt;&gt;"",Main[[#This Row],[In Stock Date]]&lt;&gt;""),Main[[#This Row],[In Stock Date]]-Main[[#This Row],[Revised Due Date]],""))</f>
        <v/>
      </c>
      <c r="I1270" s="139" t="s">
        <v>429</v>
      </c>
      <c r="J1270" s="139" t="s">
        <v>28</v>
      </c>
      <c r="K1270" s="139" t="s">
        <v>1923</v>
      </c>
      <c r="L1270" s="129"/>
      <c r="M1270" s="114" t="str">
        <f>IF(Main[[#This Row],[Tech Start Date]]&lt;1/1/1990,"",IF(Main[[#This Row],[Class]]="C",WORKDAY(Main[[#This Row],[Tech Start Date]],9),IF(Main[[#This Row],[Class]]="B", WORKDAY(Main[[#This Row],[Tech Start Date]],6),IF(Main[[#This Row],[Class]]="A",WORKDAY(Main[[#This Row],[Tech Start Date]],2),""))))</f>
        <v/>
      </c>
      <c r="N1270" s="114" t="str">
        <f>IF(Main[[#This Row],[Tech Start Date]]&lt;1/1/1990,"",IF(Main[[#This Row],[Class]]="C",WORKDAY(Main[[#This Row],[Tech Start Date]],19),IF(Main[[#This Row],[Class]]="B", WORKDAY(Main[[#This Row],[Tech Start Date]],12),IF(Main[[#This Row],[Class]]="A",WORKDAY(Main[[#This Row],[Tech Start Date]],4),""))))</f>
        <v/>
      </c>
      <c r="O1270" s="114" t="str">
        <f>IF(Main[[#This Row],[Tech Start Date]]&lt;1/1/1990,"",IF(Main[[#This Row],[Class]]="C",WORKDAY(Main[[#This Row],[Tech Start Date]],23),IF(Main[[#This Row],[Class]]="B", WORKDAY(Main[[#This Row],[Tech Start Date]],15),IF(Main[[#This Row],[Class]]="A",WORKDAY(Main[[#This Row],[Tech Start Date]],5),""))))</f>
        <v/>
      </c>
      <c r="P1270" s="114" t="str">
        <f>IF(Main[[#This Row],[Tech Start Date]]&lt;1/1/1990,"",IF(Main[[#This Row],[Class]]="C",WORKDAY(Main[[#This Row],[Tech Start Date]],28),IF(Main[[#This Row],[Class]]="B", WORKDAY(Main[[#This Row],[Tech Start Date]],19),IF(Main[[#This Row],[Class]]="A",WORKDAY(Main[[#This Row],[Tech Start Date]],9),""))))</f>
        <v/>
      </c>
      <c r="Q1270" s="129">
        <v>40905</v>
      </c>
      <c r="R1270" s="129"/>
      <c r="S1270" s="139" t="s">
        <v>6</v>
      </c>
      <c r="T1270" s="115" t="s">
        <v>4</v>
      </c>
      <c r="U1270" s="139" t="s">
        <v>29</v>
      </c>
      <c r="V1270" s="139" t="s">
        <v>1917</v>
      </c>
      <c r="W1270" s="139" t="s">
        <v>1918</v>
      </c>
      <c r="X1270" s="139" t="s">
        <v>2051</v>
      </c>
      <c r="Y1270" s="112" t="s">
        <v>3060</v>
      </c>
      <c r="Z1270" s="112" t="s">
        <v>30</v>
      </c>
      <c r="AA1270" s="139" t="s">
        <v>2895</v>
      </c>
    </row>
    <row r="1271" spans="1:27" ht="17.25" customHeight="1">
      <c r="A1271" s="69" t="str">
        <f>IF(priority(Main[[#This Row],[Comments]])&lt;&gt;0, priority(Main[[#This Row],[Comments]]),"")</f>
        <v/>
      </c>
      <c r="B1271" s="63" t="s">
        <v>3990</v>
      </c>
      <c r="C1271" s="148" t="s">
        <v>3991</v>
      </c>
      <c r="D1271" s="113" t="s">
        <v>3992</v>
      </c>
      <c r="E1271" s="129">
        <v>40968.612673611111</v>
      </c>
      <c r="F1271" s="129">
        <v>40970</v>
      </c>
      <c r="G1271" s="69" t="str">
        <f>IF(stdProdLT(Main[[#This Row],[Comments]])=0.1,"N/A",IF(stdProdLT(Main[[#This Row],[Comments]])=0,"",stdProdLT(Main[[#This Row],[Comments]])))</f>
        <v/>
      </c>
      <c r="H1271" s="138" t="str">
        <f>IF(Main[[#This Row],[In Stock Date]]="N/A", "N/A",IF(AND(Main[[#This Row],[In Stock Date]]&lt;&gt;"",Main[[#This Row],[Revised Due Date]]&lt;&gt;"",Main[[#This Row],[In Stock Date]]&lt;&gt;""),Main[[#This Row],[In Stock Date]]-Main[[#This Row],[Revised Due Date]],""))</f>
        <v/>
      </c>
      <c r="I1271" s="139" t="s">
        <v>4</v>
      </c>
      <c r="J1271" s="139" t="s">
        <v>4</v>
      </c>
      <c r="K1271" s="139" t="s">
        <v>4</v>
      </c>
      <c r="L1271" s="129"/>
      <c r="M1271" s="114" t="str">
        <f>IF(Main[[#This Row],[Tech Start Date]]&lt;1/1/1990,"",IF(Main[[#This Row],[Class]]="C",WORKDAY(Main[[#This Row],[Tech Start Date]],9),IF(Main[[#This Row],[Class]]="B", WORKDAY(Main[[#This Row],[Tech Start Date]],6),IF(Main[[#This Row],[Class]]="A",WORKDAY(Main[[#This Row],[Tech Start Date]],2),""))))</f>
        <v/>
      </c>
      <c r="N1271" s="114" t="str">
        <f>IF(Main[[#This Row],[Tech Start Date]]&lt;1/1/1990,"",IF(Main[[#This Row],[Class]]="C",WORKDAY(Main[[#This Row],[Tech Start Date]],19),IF(Main[[#This Row],[Class]]="B", WORKDAY(Main[[#This Row],[Tech Start Date]],12),IF(Main[[#This Row],[Class]]="A",WORKDAY(Main[[#This Row],[Tech Start Date]],4),""))))</f>
        <v/>
      </c>
      <c r="O1271" s="114" t="str">
        <f>IF(Main[[#This Row],[Tech Start Date]]&lt;1/1/1990,"",IF(Main[[#This Row],[Class]]="C",WORKDAY(Main[[#This Row],[Tech Start Date]],23),IF(Main[[#This Row],[Class]]="B", WORKDAY(Main[[#This Row],[Tech Start Date]],15),IF(Main[[#This Row],[Class]]="A",WORKDAY(Main[[#This Row],[Tech Start Date]],5),""))))</f>
        <v/>
      </c>
      <c r="P1271" s="114" t="str">
        <f>IF(Main[[#This Row],[Tech Start Date]]&lt;1/1/1990,"",IF(Main[[#This Row],[Class]]="C",WORKDAY(Main[[#This Row],[Tech Start Date]],28),IF(Main[[#This Row],[Class]]="B", WORKDAY(Main[[#This Row],[Tech Start Date]],19),IF(Main[[#This Row],[Class]]="A",WORKDAY(Main[[#This Row],[Tech Start Date]],9),""))))</f>
        <v/>
      </c>
      <c r="Q1271" s="129">
        <v>40969</v>
      </c>
      <c r="R1271" s="129"/>
      <c r="S1271" s="139" t="s">
        <v>11</v>
      </c>
      <c r="T1271" s="115" t="s">
        <v>4</v>
      </c>
      <c r="U1271" s="139" t="s">
        <v>7</v>
      </c>
      <c r="V1271" s="139" t="s">
        <v>1915</v>
      </c>
      <c r="W1271" s="139" t="s">
        <v>1916</v>
      </c>
      <c r="X1271" s="139" t="s">
        <v>2824</v>
      </c>
      <c r="Y1271" s="112" t="s">
        <v>2943</v>
      </c>
      <c r="Z1271" s="112" t="s">
        <v>4</v>
      </c>
      <c r="AA1271" s="139" t="s">
        <v>2824</v>
      </c>
    </row>
    <row r="1272" spans="1:27" ht="17.25" customHeight="1">
      <c r="A1272" s="69" t="str">
        <f>IF(priority(Main[[#This Row],[Comments]])&lt;&gt;0, priority(Main[[#This Row],[Comments]]),"")</f>
        <v/>
      </c>
      <c r="B1272" s="63" t="s">
        <v>3276</v>
      </c>
      <c r="C1272" s="148" t="s">
        <v>4</v>
      </c>
      <c r="D1272" s="113" t="s">
        <v>3717</v>
      </c>
      <c r="E1272" s="129">
        <v>40934.381273148145</v>
      </c>
      <c r="F1272" s="129"/>
      <c r="G1272" s="69" t="str">
        <f>IF(stdProdLT(Main[[#This Row],[Comments]])=0.1,"N/A",IF(stdProdLT(Main[[#This Row],[Comments]])=0,"",stdProdLT(Main[[#This Row],[Comments]])))</f>
        <v/>
      </c>
      <c r="H1272" s="138" t="str">
        <f>IF(Main[[#This Row],[In Stock Date]]="N/A", "N/A",IF(AND(Main[[#This Row],[In Stock Date]]&lt;&gt;"",Main[[#This Row],[Revised Due Date]]&lt;&gt;"",Main[[#This Row],[In Stock Date]]&lt;&gt;""),Main[[#This Row],[In Stock Date]]-Main[[#This Row],[Revised Due Date]],""))</f>
        <v/>
      </c>
      <c r="I1272" s="139" t="s">
        <v>69</v>
      </c>
      <c r="J1272" s="139" t="s">
        <v>70</v>
      </c>
      <c r="K1272" s="139" t="s">
        <v>1923</v>
      </c>
      <c r="L1272" s="129"/>
      <c r="M1272" s="114" t="str">
        <f>IF(Main[[#This Row],[Tech Start Date]]&lt;1/1/1990,"",IF(Main[[#This Row],[Class]]="C",WORKDAY(Main[[#This Row],[Tech Start Date]],9),IF(Main[[#This Row],[Class]]="B", WORKDAY(Main[[#This Row],[Tech Start Date]],6),IF(Main[[#This Row],[Class]]="A",WORKDAY(Main[[#This Row],[Tech Start Date]],2),""))))</f>
        <v/>
      </c>
      <c r="N1272" s="114" t="str">
        <f>IF(Main[[#This Row],[Tech Start Date]]&lt;1/1/1990,"",IF(Main[[#This Row],[Class]]="C",WORKDAY(Main[[#This Row],[Tech Start Date]],19),IF(Main[[#This Row],[Class]]="B", WORKDAY(Main[[#This Row],[Tech Start Date]],12),IF(Main[[#This Row],[Class]]="A",WORKDAY(Main[[#This Row],[Tech Start Date]],4),""))))</f>
        <v/>
      </c>
      <c r="O1272" s="114" t="str">
        <f>IF(Main[[#This Row],[Tech Start Date]]&lt;1/1/1990,"",IF(Main[[#This Row],[Class]]="C",WORKDAY(Main[[#This Row],[Tech Start Date]],23),IF(Main[[#This Row],[Class]]="B", WORKDAY(Main[[#This Row],[Tech Start Date]],15),IF(Main[[#This Row],[Class]]="A",WORKDAY(Main[[#This Row],[Tech Start Date]],5),""))))</f>
        <v/>
      </c>
      <c r="P1272" s="114" t="str">
        <f>IF(Main[[#This Row],[Tech Start Date]]&lt;1/1/1990,"",IF(Main[[#This Row],[Class]]="C",WORKDAY(Main[[#This Row],[Tech Start Date]],28),IF(Main[[#This Row],[Class]]="B", WORKDAY(Main[[#This Row],[Tech Start Date]],19),IF(Main[[#This Row],[Class]]="A",WORKDAY(Main[[#This Row],[Tech Start Date]],9),""))))</f>
        <v/>
      </c>
      <c r="Q1272" s="129">
        <v>40968</v>
      </c>
      <c r="R1272" s="129"/>
      <c r="S1272" s="139" t="s">
        <v>6</v>
      </c>
      <c r="T1272" s="115" t="s">
        <v>4</v>
      </c>
      <c r="U1272" s="139" t="s">
        <v>29</v>
      </c>
      <c r="V1272" s="139" t="s">
        <v>1917</v>
      </c>
      <c r="W1272" s="139" t="s">
        <v>1918</v>
      </c>
      <c r="X1272" s="139" t="s">
        <v>2818</v>
      </c>
      <c r="Y1272" s="112" t="s">
        <v>2929</v>
      </c>
      <c r="Z1272" s="112" t="s">
        <v>30</v>
      </c>
      <c r="AA1272" s="139" t="s">
        <v>2818</v>
      </c>
    </row>
    <row r="1273" spans="1:27" ht="17.25" customHeight="1">
      <c r="A1273" s="69" t="str">
        <f>IF(priority(Main[[#This Row],[Comments]])&lt;&gt;0, priority(Main[[#This Row],[Comments]]),"")</f>
        <v/>
      </c>
      <c r="B1273" s="63" t="s">
        <v>3509</v>
      </c>
      <c r="C1273" s="148" t="s">
        <v>4</v>
      </c>
      <c r="D1273" s="113" t="s">
        <v>3718</v>
      </c>
      <c r="E1273" s="129">
        <v>40942.368715277778</v>
      </c>
      <c r="F1273" s="129"/>
      <c r="G1273" s="69" t="str">
        <f>IF(stdProdLT(Main[[#This Row],[Comments]])=0.1,"N/A",IF(stdProdLT(Main[[#This Row],[Comments]])=0,"",stdProdLT(Main[[#This Row],[Comments]])))</f>
        <v/>
      </c>
      <c r="H1273" s="138" t="str">
        <f>IF(Main[[#This Row],[In Stock Date]]="N/A", "N/A",IF(AND(Main[[#This Row],[In Stock Date]]&lt;&gt;"",Main[[#This Row],[Revised Due Date]]&lt;&gt;"",Main[[#This Row],[In Stock Date]]&lt;&gt;""),Main[[#This Row],[In Stock Date]]-Main[[#This Row],[Revised Due Date]],""))</f>
        <v/>
      </c>
      <c r="I1273" s="139" t="s">
        <v>69</v>
      </c>
      <c r="J1273" s="139" t="s">
        <v>70</v>
      </c>
      <c r="K1273" s="139" t="s">
        <v>1923</v>
      </c>
      <c r="L1273" s="129"/>
      <c r="M1273" s="114" t="str">
        <f>IF(Main[[#This Row],[Tech Start Date]]&lt;1/1/1990,"",IF(Main[[#This Row],[Class]]="C",WORKDAY(Main[[#This Row],[Tech Start Date]],9),IF(Main[[#This Row],[Class]]="B", WORKDAY(Main[[#This Row],[Tech Start Date]],6),IF(Main[[#This Row],[Class]]="A",WORKDAY(Main[[#This Row],[Tech Start Date]],2),""))))</f>
        <v/>
      </c>
      <c r="N1273" s="114" t="str">
        <f>IF(Main[[#This Row],[Tech Start Date]]&lt;1/1/1990,"",IF(Main[[#This Row],[Class]]="C",WORKDAY(Main[[#This Row],[Tech Start Date]],19),IF(Main[[#This Row],[Class]]="B", WORKDAY(Main[[#This Row],[Tech Start Date]],12),IF(Main[[#This Row],[Class]]="A",WORKDAY(Main[[#This Row],[Tech Start Date]],4),""))))</f>
        <v/>
      </c>
      <c r="O1273" s="114" t="str">
        <f>IF(Main[[#This Row],[Tech Start Date]]&lt;1/1/1990,"",IF(Main[[#This Row],[Class]]="C",WORKDAY(Main[[#This Row],[Tech Start Date]],23),IF(Main[[#This Row],[Class]]="B", WORKDAY(Main[[#This Row],[Tech Start Date]],15),IF(Main[[#This Row],[Class]]="A",WORKDAY(Main[[#This Row],[Tech Start Date]],5),""))))</f>
        <v/>
      </c>
      <c r="P1273" s="114" t="str">
        <f>IF(Main[[#This Row],[Tech Start Date]]&lt;1/1/1990,"",IF(Main[[#This Row],[Class]]="C",WORKDAY(Main[[#This Row],[Tech Start Date]],28),IF(Main[[#This Row],[Class]]="B", WORKDAY(Main[[#This Row],[Tech Start Date]],19),IF(Main[[#This Row],[Class]]="A",WORKDAY(Main[[#This Row],[Tech Start Date]],9),""))))</f>
        <v/>
      </c>
      <c r="Q1273" s="129">
        <v>40977</v>
      </c>
      <c r="R1273" s="129"/>
      <c r="S1273" s="139" t="s">
        <v>6</v>
      </c>
      <c r="T1273" s="115" t="s">
        <v>4</v>
      </c>
      <c r="U1273" s="139" t="s">
        <v>29</v>
      </c>
      <c r="V1273" s="139" t="s">
        <v>1917</v>
      </c>
      <c r="W1273" s="139" t="s">
        <v>1918</v>
      </c>
      <c r="X1273" s="139" t="s">
        <v>2818</v>
      </c>
      <c r="Y1273" s="112" t="s">
        <v>2929</v>
      </c>
      <c r="Z1273" s="112" t="s">
        <v>30</v>
      </c>
      <c r="AA1273" s="139" t="s">
        <v>2818</v>
      </c>
    </row>
    <row r="1274" spans="1:27" ht="17.25" customHeight="1">
      <c r="A1274" s="69" t="str">
        <f>IF(priority(Main[[#This Row],[Comments]])&lt;&gt;0, priority(Main[[#This Row],[Comments]]),"")</f>
        <v/>
      </c>
      <c r="B1274" s="63" t="s">
        <v>1845</v>
      </c>
      <c r="C1274" s="148" t="s">
        <v>67</v>
      </c>
      <c r="D1274" s="113" t="s">
        <v>2579</v>
      </c>
      <c r="E1274" s="129">
        <v>40343.573750000003</v>
      </c>
      <c r="F1274" s="129"/>
      <c r="G1274" s="69" t="str">
        <f>IF(stdProdLT(Main[[#This Row],[Comments]])=0.1,"N/A",IF(stdProdLT(Main[[#This Row],[Comments]])=0,"",stdProdLT(Main[[#This Row],[Comments]])))</f>
        <v/>
      </c>
      <c r="H1274" s="138" t="str">
        <f>IF(Main[[#This Row],[In Stock Date]]="N/A", "N/A",IF(AND(Main[[#This Row],[In Stock Date]]&lt;&gt;"",Main[[#This Row],[Revised Due Date]]&lt;&gt;"",Main[[#This Row],[In Stock Date]]&lt;&gt;""),Main[[#This Row],[In Stock Date]]-Main[[#This Row],[Revised Due Date]],""))</f>
        <v/>
      </c>
      <c r="I1274" s="139" t="s">
        <v>74</v>
      </c>
      <c r="J1274" s="139" t="s">
        <v>28</v>
      </c>
      <c r="K1274" s="139" t="s">
        <v>1926</v>
      </c>
      <c r="L1274" s="129"/>
      <c r="M1274" s="114" t="str">
        <f>IF(Main[[#This Row],[Tech Start Date]]&lt;1/1/1990,"",IF(Main[[#This Row],[Class]]="C",WORKDAY(Main[[#This Row],[Tech Start Date]],9),IF(Main[[#This Row],[Class]]="B", WORKDAY(Main[[#This Row],[Tech Start Date]],6),IF(Main[[#This Row],[Class]]="A",WORKDAY(Main[[#This Row],[Tech Start Date]],2),""))))</f>
        <v/>
      </c>
      <c r="N1274" s="114" t="str">
        <f>IF(Main[[#This Row],[Tech Start Date]]&lt;1/1/1990,"",IF(Main[[#This Row],[Class]]="C",WORKDAY(Main[[#This Row],[Tech Start Date]],19),IF(Main[[#This Row],[Class]]="B", WORKDAY(Main[[#This Row],[Tech Start Date]],12),IF(Main[[#This Row],[Class]]="A",WORKDAY(Main[[#This Row],[Tech Start Date]],4),""))))</f>
        <v/>
      </c>
      <c r="O1274" s="114" t="str">
        <f>IF(Main[[#This Row],[Tech Start Date]]&lt;1/1/1990,"",IF(Main[[#This Row],[Class]]="C",WORKDAY(Main[[#This Row],[Tech Start Date]],23),IF(Main[[#This Row],[Class]]="B", WORKDAY(Main[[#This Row],[Tech Start Date]],15),IF(Main[[#This Row],[Class]]="A",WORKDAY(Main[[#This Row],[Tech Start Date]],5),""))))</f>
        <v/>
      </c>
      <c r="P1274" s="114" t="str">
        <f>IF(Main[[#This Row],[Tech Start Date]]&lt;1/1/1990,"",IF(Main[[#This Row],[Class]]="C",WORKDAY(Main[[#This Row],[Tech Start Date]],28),IF(Main[[#This Row],[Class]]="B", WORKDAY(Main[[#This Row],[Tech Start Date]],19),IF(Main[[#This Row],[Class]]="A",WORKDAY(Main[[#This Row],[Tech Start Date]],9),""))))</f>
        <v/>
      </c>
      <c r="Q1274" s="129">
        <v>40466</v>
      </c>
      <c r="R1274" s="129">
        <v>40868</v>
      </c>
      <c r="S1274" s="139" t="s">
        <v>17</v>
      </c>
      <c r="T1274" s="115" t="s">
        <v>4</v>
      </c>
      <c r="U1274" s="139" t="s">
        <v>29</v>
      </c>
      <c r="V1274" s="139" t="s">
        <v>1917</v>
      </c>
      <c r="W1274" s="139" t="s">
        <v>1920</v>
      </c>
      <c r="X1274" s="139" t="s">
        <v>306</v>
      </c>
      <c r="Y1274" s="112" t="s">
        <v>2949</v>
      </c>
      <c r="Z1274" s="112" t="s">
        <v>415</v>
      </c>
      <c r="AA1274" s="139" t="s">
        <v>415</v>
      </c>
    </row>
    <row r="1275" spans="1:27" ht="17.25" customHeight="1">
      <c r="A1275" s="69" t="str">
        <f>IF(priority(Main[[#This Row],[Comments]])&lt;&gt;0, priority(Main[[#This Row],[Comments]]),"")</f>
        <v/>
      </c>
      <c r="B1275" s="63" t="s">
        <v>1458</v>
      </c>
      <c r="C1275" s="148" t="s">
        <v>197</v>
      </c>
      <c r="D1275" s="113" t="s">
        <v>2517</v>
      </c>
      <c r="E1275" s="129">
        <v>40711.410266203704</v>
      </c>
      <c r="F1275" s="129"/>
      <c r="G1275" s="69" t="str">
        <f>IF(stdProdLT(Main[[#This Row],[Comments]])=0.1,"N/A",IF(stdProdLT(Main[[#This Row],[Comments]])=0,"",stdProdLT(Main[[#This Row],[Comments]])))</f>
        <v/>
      </c>
      <c r="H1275" s="138" t="str">
        <f>IF(Main[[#This Row],[In Stock Date]]="N/A", "N/A",IF(AND(Main[[#This Row],[In Stock Date]]&lt;&gt;"",Main[[#This Row],[Revised Due Date]]&lt;&gt;"",Main[[#This Row],[In Stock Date]]&lt;&gt;""),Main[[#This Row],[In Stock Date]]-Main[[#This Row],[Revised Due Date]],""))</f>
        <v/>
      </c>
      <c r="I1275" s="139" t="s">
        <v>4</v>
      </c>
      <c r="J1275" s="139" t="s">
        <v>4</v>
      </c>
      <c r="K1275" s="139" t="s">
        <v>4</v>
      </c>
      <c r="L1275" s="129"/>
      <c r="M1275" s="114" t="str">
        <f>IF(Main[[#This Row],[Tech Start Date]]&lt;1/1/1990,"",IF(Main[[#This Row],[Class]]="C",WORKDAY(Main[[#This Row],[Tech Start Date]],9),IF(Main[[#This Row],[Class]]="B", WORKDAY(Main[[#This Row],[Tech Start Date]],6),IF(Main[[#This Row],[Class]]="A",WORKDAY(Main[[#This Row],[Tech Start Date]],2),""))))</f>
        <v/>
      </c>
      <c r="N1275" s="114" t="str">
        <f>IF(Main[[#This Row],[Tech Start Date]]&lt;1/1/1990,"",IF(Main[[#This Row],[Class]]="C",WORKDAY(Main[[#This Row],[Tech Start Date]],19),IF(Main[[#This Row],[Class]]="B", WORKDAY(Main[[#This Row],[Tech Start Date]],12),IF(Main[[#This Row],[Class]]="A",WORKDAY(Main[[#This Row],[Tech Start Date]],4),""))))</f>
        <v/>
      </c>
      <c r="O1275" s="114" t="str">
        <f>IF(Main[[#This Row],[Tech Start Date]]&lt;1/1/1990,"",IF(Main[[#This Row],[Class]]="C",WORKDAY(Main[[#This Row],[Tech Start Date]],23),IF(Main[[#This Row],[Class]]="B", WORKDAY(Main[[#This Row],[Tech Start Date]],15),IF(Main[[#This Row],[Class]]="A",WORKDAY(Main[[#This Row],[Tech Start Date]],5),""))))</f>
        <v/>
      </c>
      <c r="P1275" s="114" t="str">
        <f>IF(Main[[#This Row],[Tech Start Date]]&lt;1/1/1990,"",IF(Main[[#This Row],[Class]]="C",WORKDAY(Main[[#This Row],[Tech Start Date]],28),IF(Main[[#This Row],[Class]]="B", WORKDAY(Main[[#This Row],[Tech Start Date]],19),IF(Main[[#This Row],[Class]]="A",WORKDAY(Main[[#This Row],[Tech Start Date]],9),""))))</f>
        <v/>
      </c>
      <c r="Q1275" s="129">
        <v>40846</v>
      </c>
      <c r="R1275" s="129"/>
      <c r="S1275" s="139" t="s">
        <v>17</v>
      </c>
      <c r="T1275" s="115" t="s">
        <v>4</v>
      </c>
      <c r="U1275" s="139" t="s">
        <v>29</v>
      </c>
      <c r="V1275" s="139" t="s">
        <v>1917</v>
      </c>
      <c r="W1275" s="139" t="s">
        <v>1922</v>
      </c>
      <c r="X1275" s="139" t="s">
        <v>553</v>
      </c>
      <c r="Y1275" s="112" t="s">
        <v>2952</v>
      </c>
      <c r="Z1275" s="112" t="s">
        <v>4</v>
      </c>
      <c r="AA1275" s="139" t="s">
        <v>553</v>
      </c>
    </row>
    <row r="1276" spans="1:27" ht="17.25" customHeight="1">
      <c r="A1276" s="69" t="str">
        <f>IF(priority(Main[[#This Row],[Comments]])&lt;&gt;0, priority(Main[[#This Row],[Comments]]),"")</f>
        <v/>
      </c>
      <c r="B1276" s="63" t="s">
        <v>2576</v>
      </c>
      <c r="C1276" s="148" t="s">
        <v>4</v>
      </c>
      <c r="D1276" s="113" t="s">
        <v>726</v>
      </c>
      <c r="E1276" s="129"/>
      <c r="F1276" s="129"/>
      <c r="G1276" s="69" t="str">
        <f>IF(stdProdLT(Main[[#This Row],[Comments]])=0.1,"N/A",IF(stdProdLT(Main[[#This Row],[Comments]])=0,"",stdProdLT(Main[[#This Row],[Comments]])))</f>
        <v/>
      </c>
      <c r="H1276" s="138" t="str">
        <f>IF(Main[[#This Row],[In Stock Date]]="N/A", "N/A",IF(AND(Main[[#This Row],[In Stock Date]]&lt;&gt;"",Main[[#This Row],[Revised Due Date]]&lt;&gt;"",Main[[#This Row],[In Stock Date]]&lt;&gt;""),Main[[#This Row],[In Stock Date]]-Main[[#This Row],[Revised Due Date]],""))</f>
        <v/>
      </c>
      <c r="I1276" s="139" t="s">
        <v>4</v>
      </c>
      <c r="J1276" s="139" t="s">
        <v>4</v>
      </c>
      <c r="K1276" s="139" t="s">
        <v>4</v>
      </c>
      <c r="L1276" s="129"/>
      <c r="M1276" s="114" t="str">
        <f>IF(Main[[#This Row],[Tech Start Date]]&lt;1/1/1990,"",IF(Main[[#This Row],[Class]]="C",WORKDAY(Main[[#This Row],[Tech Start Date]],9),IF(Main[[#This Row],[Class]]="B", WORKDAY(Main[[#This Row],[Tech Start Date]],6),IF(Main[[#This Row],[Class]]="A",WORKDAY(Main[[#This Row],[Tech Start Date]],2),""))))</f>
        <v/>
      </c>
      <c r="N1276" s="114" t="str">
        <f>IF(Main[[#This Row],[Tech Start Date]]&lt;1/1/1990,"",IF(Main[[#This Row],[Class]]="C",WORKDAY(Main[[#This Row],[Tech Start Date]],19),IF(Main[[#This Row],[Class]]="B", WORKDAY(Main[[#This Row],[Tech Start Date]],12),IF(Main[[#This Row],[Class]]="A",WORKDAY(Main[[#This Row],[Tech Start Date]],4),""))))</f>
        <v/>
      </c>
      <c r="O1276" s="114" t="str">
        <f>IF(Main[[#This Row],[Tech Start Date]]&lt;1/1/1990,"",IF(Main[[#This Row],[Class]]="C",WORKDAY(Main[[#This Row],[Tech Start Date]],23),IF(Main[[#This Row],[Class]]="B", WORKDAY(Main[[#This Row],[Tech Start Date]],15),IF(Main[[#This Row],[Class]]="A",WORKDAY(Main[[#This Row],[Tech Start Date]],5),""))))</f>
        <v/>
      </c>
      <c r="P1276" s="114" t="str">
        <f>IF(Main[[#This Row],[Tech Start Date]]&lt;1/1/1990,"",IF(Main[[#This Row],[Class]]="C",WORKDAY(Main[[#This Row],[Tech Start Date]],28),IF(Main[[#This Row],[Class]]="B", WORKDAY(Main[[#This Row],[Tech Start Date]],19),IF(Main[[#This Row],[Class]]="A",WORKDAY(Main[[#This Row],[Tech Start Date]],9),""))))</f>
        <v/>
      </c>
      <c r="Q1276" s="129"/>
      <c r="R1276" s="129"/>
      <c r="S1276" s="139" t="s">
        <v>4</v>
      </c>
      <c r="T1276" s="115" t="s">
        <v>4</v>
      </c>
      <c r="U1276" s="139" t="s">
        <v>14</v>
      </c>
      <c r="V1276" s="139" t="s">
        <v>1917</v>
      </c>
      <c r="W1276" s="139" t="s">
        <v>4</v>
      </c>
      <c r="X1276" s="139" t="s">
        <v>306</v>
      </c>
      <c r="Y1276" s="112" t="s">
        <v>4</v>
      </c>
      <c r="Z1276" s="112" t="s">
        <v>4</v>
      </c>
      <c r="AA1276" s="139" t="s">
        <v>4</v>
      </c>
    </row>
    <row r="1277" spans="1:27" ht="17.25" customHeight="1">
      <c r="A1277" s="69" t="str">
        <f>IF(priority(Main[[#This Row],[Comments]])&lt;&gt;0, priority(Main[[#This Row],[Comments]]),"")</f>
        <v/>
      </c>
      <c r="B1277" s="63" t="s">
        <v>3361</v>
      </c>
      <c r="C1277" s="148" t="s">
        <v>47</v>
      </c>
      <c r="D1277" s="113" t="s">
        <v>3362</v>
      </c>
      <c r="E1277" s="129">
        <v>40938.56958333333</v>
      </c>
      <c r="F1277" s="129"/>
      <c r="G1277" s="69" t="str">
        <f>IF(stdProdLT(Main[[#This Row],[Comments]])=0.1,"N/A",IF(stdProdLT(Main[[#This Row],[Comments]])=0,"",stdProdLT(Main[[#This Row],[Comments]])))</f>
        <v/>
      </c>
      <c r="H1277" s="138" t="str">
        <f>IF(Main[[#This Row],[In Stock Date]]="N/A", "N/A",IF(AND(Main[[#This Row],[In Stock Date]]&lt;&gt;"",Main[[#This Row],[Revised Due Date]]&lt;&gt;"",Main[[#This Row],[In Stock Date]]&lt;&gt;""),Main[[#This Row],[In Stock Date]]-Main[[#This Row],[Revised Due Date]],""))</f>
        <v/>
      </c>
      <c r="I1277" s="139" t="s">
        <v>4</v>
      </c>
      <c r="J1277" s="139" t="s">
        <v>4</v>
      </c>
      <c r="K1277" s="139" t="s">
        <v>4</v>
      </c>
      <c r="L1277" s="129"/>
      <c r="M1277" s="114" t="str">
        <f>IF(Main[[#This Row],[Tech Start Date]]&lt;1/1/1990,"",IF(Main[[#This Row],[Class]]="C",WORKDAY(Main[[#This Row],[Tech Start Date]],9),IF(Main[[#This Row],[Class]]="B", WORKDAY(Main[[#This Row],[Tech Start Date]],6),IF(Main[[#This Row],[Class]]="A",WORKDAY(Main[[#This Row],[Tech Start Date]],2),""))))</f>
        <v/>
      </c>
      <c r="N1277" s="114" t="str">
        <f>IF(Main[[#This Row],[Tech Start Date]]&lt;1/1/1990,"",IF(Main[[#This Row],[Class]]="C",WORKDAY(Main[[#This Row],[Tech Start Date]],19),IF(Main[[#This Row],[Class]]="B", WORKDAY(Main[[#This Row],[Tech Start Date]],12),IF(Main[[#This Row],[Class]]="A",WORKDAY(Main[[#This Row],[Tech Start Date]],4),""))))</f>
        <v/>
      </c>
      <c r="O1277" s="114" t="str">
        <f>IF(Main[[#This Row],[Tech Start Date]]&lt;1/1/1990,"",IF(Main[[#This Row],[Class]]="C",WORKDAY(Main[[#This Row],[Tech Start Date]],23),IF(Main[[#This Row],[Class]]="B", WORKDAY(Main[[#This Row],[Tech Start Date]],15),IF(Main[[#This Row],[Class]]="A",WORKDAY(Main[[#This Row],[Tech Start Date]],5),""))))</f>
        <v/>
      </c>
      <c r="P1277" s="114" t="str">
        <f>IF(Main[[#This Row],[Tech Start Date]]&lt;1/1/1990,"",IF(Main[[#This Row],[Class]]="C",WORKDAY(Main[[#This Row],[Tech Start Date]],28),IF(Main[[#This Row],[Class]]="B", WORKDAY(Main[[#This Row],[Tech Start Date]],19),IF(Main[[#This Row],[Class]]="A",WORKDAY(Main[[#This Row],[Tech Start Date]],9),""))))</f>
        <v/>
      </c>
      <c r="Q1277" s="129">
        <v>40964</v>
      </c>
      <c r="R1277" s="129"/>
      <c r="S1277" s="139" t="s">
        <v>6</v>
      </c>
      <c r="T1277" s="115" t="s">
        <v>4</v>
      </c>
      <c r="U1277" s="139" t="s">
        <v>7</v>
      </c>
      <c r="V1277" s="139" t="s">
        <v>2283</v>
      </c>
      <c r="W1277" s="139" t="s">
        <v>4</v>
      </c>
      <c r="X1277" s="139" t="s">
        <v>2865</v>
      </c>
      <c r="Y1277" s="112" t="s">
        <v>3010</v>
      </c>
      <c r="Z1277" s="112" t="s">
        <v>4</v>
      </c>
      <c r="AA1277" s="139" t="s">
        <v>2865</v>
      </c>
    </row>
    <row r="1278" spans="1:27" ht="17.25" customHeight="1">
      <c r="A1278" s="69" t="str">
        <f>IF(priority(Main[[#This Row],[Comments]])&lt;&gt;0, priority(Main[[#This Row],[Comments]]),"")</f>
        <v/>
      </c>
      <c r="B1278" s="63" t="s">
        <v>1864</v>
      </c>
      <c r="C1278" s="148" t="s">
        <v>47</v>
      </c>
      <c r="D1278" s="113" t="s">
        <v>920</v>
      </c>
      <c r="E1278" s="129">
        <v>39937.596770833334</v>
      </c>
      <c r="F1278" s="129"/>
      <c r="G1278" s="69" t="str">
        <f>IF(stdProdLT(Main[[#This Row],[Comments]])=0.1,"N/A",IF(stdProdLT(Main[[#This Row],[Comments]])=0,"",stdProdLT(Main[[#This Row],[Comments]])))</f>
        <v/>
      </c>
      <c r="H1278" s="138" t="str">
        <f>IF(Main[[#This Row],[In Stock Date]]="N/A", "N/A",IF(AND(Main[[#This Row],[In Stock Date]]&lt;&gt;"",Main[[#This Row],[Revised Due Date]]&lt;&gt;"",Main[[#This Row],[In Stock Date]]&lt;&gt;""),Main[[#This Row],[In Stock Date]]-Main[[#This Row],[Revised Due Date]],""))</f>
        <v/>
      </c>
      <c r="I1278" s="139" t="s">
        <v>974</v>
      </c>
      <c r="J1278" s="139" t="s">
        <v>4</v>
      </c>
      <c r="K1278" s="139" t="s">
        <v>1926</v>
      </c>
      <c r="L1278" s="129"/>
      <c r="M1278" s="114" t="str">
        <f>IF(Main[[#This Row],[Tech Start Date]]&lt;1/1/1990,"",IF(Main[[#This Row],[Class]]="C",WORKDAY(Main[[#This Row],[Tech Start Date]],9),IF(Main[[#This Row],[Class]]="B", WORKDAY(Main[[#This Row],[Tech Start Date]],6),IF(Main[[#This Row],[Class]]="A",WORKDAY(Main[[#This Row],[Tech Start Date]],2),""))))</f>
        <v/>
      </c>
      <c r="N1278" s="114" t="str">
        <f>IF(Main[[#This Row],[Tech Start Date]]&lt;1/1/1990,"",IF(Main[[#This Row],[Class]]="C",WORKDAY(Main[[#This Row],[Tech Start Date]],19),IF(Main[[#This Row],[Class]]="B", WORKDAY(Main[[#This Row],[Tech Start Date]],12),IF(Main[[#This Row],[Class]]="A",WORKDAY(Main[[#This Row],[Tech Start Date]],4),""))))</f>
        <v/>
      </c>
      <c r="O1278" s="114" t="str">
        <f>IF(Main[[#This Row],[Tech Start Date]]&lt;1/1/1990,"",IF(Main[[#This Row],[Class]]="C",WORKDAY(Main[[#This Row],[Tech Start Date]],23),IF(Main[[#This Row],[Class]]="B", WORKDAY(Main[[#This Row],[Tech Start Date]],15),IF(Main[[#This Row],[Class]]="A",WORKDAY(Main[[#This Row],[Tech Start Date]],5),""))))</f>
        <v/>
      </c>
      <c r="P1278" s="114" t="str">
        <f>IF(Main[[#This Row],[Tech Start Date]]&lt;1/1/1990,"",IF(Main[[#This Row],[Class]]="C",WORKDAY(Main[[#This Row],[Tech Start Date]],28),IF(Main[[#This Row],[Class]]="B", WORKDAY(Main[[#This Row],[Tech Start Date]],19),IF(Main[[#This Row],[Class]]="A",WORKDAY(Main[[#This Row],[Tech Start Date]],9),""))))</f>
        <v/>
      </c>
      <c r="Q1278" s="129"/>
      <c r="R1278" s="129">
        <v>40999</v>
      </c>
      <c r="S1278" s="139" t="s">
        <v>17</v>
      </c>
      <c r="T1278" s="115" t="s">
        <v>4</v>
      </c>
      <c r="U1278" s="139" t="s">
        <v>29</v>
      </c>
      <c r="V1278" s="139" t="s">
        <v>1917</v>
      </c>
      <c r="W1278" s="139" t="s">
        <v>1919</v>
      </c>
      <c r="X1278" s="139" t="s">
        <v>2827</v>
      </c>
      <c r="Y1278" s="112" t="s">
        <v>2948</v>
      </c>
      <c r="Z1278" s="112" t="s">
        <v>415</v>
      </c>
      <c r="AA1278" s="139" t="s">
        <v>2827</v>
      </c>
    </row>
    <row r="1279" spans="1:27" ht="17.25" customHeight="1">
      <c r="A1279" s="69" t="str">
        <f>IF(priority(Main[[#This Row],[Comments]])&lt;&gt;0, priority(Main[[#This Row],[Comments]]),"")</f>
        <v/>
      </c>
      <c r="B1279" s="63" t="s">
        <v>3363</v>
      </c>
      <c r="C1279" s="148" t="s">
        <v>2354</v>
      </c>
      <c r="D1279" s="113" t="s">
        <v>3335</v>
      </c>
      <c r="E1279" s="129"/>
      <c r="F1279" s="129">
        <v>41030</v>
      </c>
      <c r="G1279" s="69" t="str">
        <f>IF(stdProdLT(Main[[#This Row],[Comments]])=0.1,"N/A",IF(stdProdLT(Main[[#This Row],[Comments]])=0,"",stdProdLT(Main[[#This Row],[Comments]])))</f>
        <v/>
      </c>
      <c r="H1279" s="138" t="str">
        <f>IF(Main[[#This Row],[In Stock Date]]="N/A", "N/A",IF(AND(Main[[#This Row],[In Stock Date]]&lt;&gt;"",Main[[#This Row],[Revised Due Date]]&lt;&gt;"",Main[[#This Row],[In Stock Date]]&lt;&gt;""),Main[[#This Row],[In Stock Date]]-Main[[#This Row],[Revised Due Date]],""))</f>
        <v/>
      </c>
      <c r="I1279" s="139" t="s">
        <v>4</v>
      </c>
      <c r="J1279" s="139" t="s">
        <v>4</v>
      </c>
      <c r="K1279" s="139" t="s">
        <v>4</v>
      </c>
      <c r="L1279" s="129"/>
      <c r="M1279" s="114" t="str">
        <f>IF(Main[[#This Row],[Tech Start Date]]&lt;1/1/1990,"",IF(Main[[#This Row],[Class]]="C",WORKDAY(Main[[#This Row],[Tech Start Date]],9),IF(Main[[#This Row],[Class]]="B", WORKDAY(Main[[#This Row],[Tech Start Date]],6),IF(Main[[#This Row],[Class]]="A",WORKDAY(Main[[#This Row],[Tech Start Date]],2),""))))</f>
        <v/>
      </c>
      <c r="N1279" s="114" t="str">
        <f>IF(Main[[#This Row],[Tech Start Date]]&lt;1/1/1990,"",IF(Main[[#This Row],[Class]]="C",WORKDAY(Main[[#This Row],[Tech Start Date]],19),IF(Main[[#This Row],[Class]]="B", WORKDAY(Main[[#This Row],[Tech Start Date]],12),IF(Main[[#This Row],[Class]]="A",WORKDAY(Main[[#This Row],[Tech Start Date]],4),""))))</f>
        <v/>
      </c>
      <c r="O1279" s="114" t="str">
        <f>IF(Main[[#This Row],[Tech Start Date]]&lt;1/1/1990,"",IF(Main[[#This Row],[Class]]="C",WORKDAY(Main[[#This Row],[Tech Start Date]],23),IF(Main[[#This Row],[Class]]="B", WORKDAY(Main[[#This Row],[Tech Start Date]],15),IF(Main[[#This Row],[Class]]="A",WORKDAY(Main[[#This Row],[Tech Start Date]],5),""))))</f>
        <v/>
      </c>
      <c r="P1279" s="114" t="str">
        <f>IF(Main[[#This Row],[Tech Start Date]]&lt;1/1/1990,"",IF(Main[[#This Row],[Class]]="C",WORKDAY(Main[[#This Row],[Tech Start Date]],28),IF(Main[[#This Row],[Class]]="B", WORKDAY(Main[[#This Row],[Tech Start Date]],19),IF(Main[[#This Row],[Class]]="A",WORKDAY(Main[[#This Row],[Tech Start Date]],9),""))))</f>
        <v/>
      </c>
      <c r="Q1279" s="129">
        <v>40890</v>
      </c>
      <c r="R1279" s="129"/>
      <c r="S1279" s="139" t="s">
        <v>11</v>
      </c>
      <c r="T1279" s="115" t="s">
        <v>4</v>
      </c>
      <c r="U1279" s="139" t="s">
        <v>12</v>
      </c>
      <c r="V1279" s="139" t="s">
        <v>1924</v>
      </c>
      <c r="W1279" s="139" t="s">
        <v>1922</v>
      </c>
      <c r="X1279" s="139" t="s">
        <v>2843</v>
      </c>
      <c r="Y1279" s="112" t="s">
        <v>4</v>
      </c>
      <c r="Z1279" s="112" t="s">
        <v>4</v>
      </c>
      <c r="AA1279" s="139" t="s">
        <v>2843</v>
      </c>
    </row>
    <row r="1280" spans="1:27" ht="17.25" customHeight="1">
      <c r="A1280" s="69" t="str">
        <f>IF(priority(Main[[#This Row],[Comments]])&lt;&gt;0, priority(Main[[#This Row],[Comments]]),"")</f>
        <v/>
      </c>
      <c r="B1280" s="63" t="s">
        <v>2164</v>
      </c>
      <c r="C1280" s="148" t="s">
        <v>4</v>
      </c>
      <c r="D1280" s="113" t="s">
        <v>2585</v>
      </c>
      <c r="E1280" s="129">
        <v>40780.676446759258</v>
      </c>
      <c r="F1280" s="129"/>
      <c r="G1280" s="69" t="str">
        <f>IF(stdProdLT(Main[[#This Row],[Comments]])=0.1,"N/A",IF(stdProdLT(Main[[#This Row],[Comments]])=0,"",stdProdLT(Main[[#This Row],[Comments]])))</f>
        <v/>
      </c>
      <c r="H1280" s="138" t="str">
        <f>IF(Main[[#This Row],[In Stock Date]]="N/A", "N/A",IF(AND(Main[[#This Row],[In Stock Date]]&lt;&gt;"",Main[[#This Row],[Revised Due Date]]&lt;&gt;"",Main[[#This Row],[In Stock Date]]&lt;&gt;""),Main[[#This Row],[In Stock Date]]-Main[[#This Row],[Revised Due Date]],""))</f>
        <v/>
      </c>
      <c r="I1280" s="139" t="s">
        <v>4</v>
      </c>
      <c r="J1280" s="139" t="s">
        <v>4</v>
      </c>
      <c r="K1280" s="139" t="s">
        <v>4</v>
      </c>
      <c r="L1280" s="129"/>
      <c r="M1280" s="114" t="str">
        <f>IF(Main[[#This Row],[Tech Start Date]]&lt;1/1/1990,"",IF(Main[[#This Row],[Class]]="C",WORKDAY(Main[[#This Row],[Tech Start Date]],9),IF(Main[[#This Row],[Class]]="B", WORKDAY(Main[[#This Row],[Tech Start Date]],6),IF(Main[[#This Row],[Class]]="A",WORKDAY(Main[[#This Row],[Tech Start Date]],2),""))))</f>
        <v/>
      </c>
      <c r="N1280" s="114" t="str">
        <f>IF(Main[[#This Row],[Tech Start Date]]&lt;1/1/1990,"",IF(Main[[#This Row],[Class]]="C",WORKDAY(Main[[#This Row],[Tech Start Date]],19),IF(Main[[#This Row],[Class]]="B", WORKDAY(Main[[#This Row],[Tech Start Date]],12),IF(Main[[#This Row],[Class]]="A",WORKDAY(Main[[#This Row],[Tech Start Date]],4),""))))</f>
        <v/>
      </c>
      <c r="O1280" s="114" t="str">
        <f>IF(Main[[#This Row],[Tech Start Date]]&lt;1/1/1990,"",IF(Main[[#This Row],[Class]]="C",WORKDAY(Main[[#This Row],[Tech Start Date]],23),IF(Main[[#This Row],[Class]]="B", WORKDAY(Main[[#This Row],[Tech Start Date]],15),IF(Main[[#This Row],[Class]]="A",WORKDAY(Main[[#This Row],[Tech Start Date]],5),""))))</f>
        <v/>
      </c>
      <c r="P1280" s="114" t="str">
        <f>IF(Main[[#This Row],[Tech Start Date]]&lt;1/1/1990,"",IF(Main[[#This Row],[Class]]="C",WORKDAY(Main[[#This Row],[Tech Start Date]],28),IF(Main[[#This Row],[Class]]="B", WORKDAY(Main[[#This Row],[Tech Start Date]],19),IF(Main[[#This Row],[Class]]="A",WORKDAY(Main[[#This Row],[Tech Start Date]],9),""))))</f>
        <v/>
      </c>
      <c r="Q1280" s="129">
        <v>40787</v>
      </c>
      <c r="R1280" s="129"/>
      <c r="S1280" s="139" t="s">
        <v>6</v>
      </c>
      <c r="T1280" s="115" t="s">
        <v>4</v>
      </c>
      <c r="U1280" s="139" t="s">
        <v>7</v>
      </c>
      <c r="V1280" s="139" t="s">
        <v>1914</v>
      </c>
      <c r="W1280" s="139" t="s">
        <v>1922</v>
      </c>
      <c r="X1280" s="139" t="s">
        <v>2821</v>
      </c>
      <c r="Y1280" s="112" t="s">
        <v>2936</v>
      </c>
      <c r="Z1280" s="112" t="s">
        <v>4</v>
      </c>
      <c r="AA1280" s="139" t="s">
        <v>2821</v>
      </c>
    </row>
    <row r="1281" spans="1:27" ht="17.25" customHeight="1">
      <c r="A1281" s="69" t="str">
        <f>IF(priority(Main[[#This Row],[Comments]])&lt;&gt;0, priority(Main[[#This Row],[Comments]]),"")</f>
        <v/>
      </c>
      <c r="B1281" s="63" t="s">
        <v>3481</v>
      </c>
      <c r="C1281" s="148" t="s">
        <v>3482</v>
      </c>
      <c r="D1281" s="113" t="s">
        <v>3483</v>
      </c>
      <c r="E1281" s="129">
        <v>40940.978842592594</v>
      </c>
      <c r="F1281" s="129">
        <v>41116</v>
      </c>
      <c r="G1281" s="69">
        <f>IF(stdProdLT(Main[[#This Row],[Comments]])=0.1,"N/A",IF(stdProdLT(Main[[#This Row],[Comments]])=0,"",stdProdLT(Main[[#This Row],[Comments]])))</f>
        <v>140</v>
      </c>
      <c r="H1281" s="138" t="str">
        <f>IF(Main[[#This Row],[In Stock Date]]="N/A", "N/A",IF(AND(Main[[#This Row],[In Stock Date]]&lt;&gt;"",Main[[#This Row],[Revised Due Date]]&lt;&gt;"",Main[[#This Row],[In Stock Date]]&lt;&gt;""),Main[[#This Row],[In Stock Date]]-Main[[#This Row],[Revised Due Date]],""))</f>
        <v/>
      </c>
      <c r="I1281" s="139" t="s">
        <v>4</v>
      </c>
      <c r="J1281" s="139" t="s">
        <v>4</v>
      </c>
      <c r="K1281" s="139" t="s">
        <v>4</v>
      </c>
      <c r="L1281" s="129"/>
      <c r="M1281" s="114" t="str">
        <f>IF(Main[[#This Row],[Tech Start Date]]&lt;1/1/1990,"",IF(Main[[#This Row],[Class]]="C",WORKDAY(Main[[#This Row],[Tech Start Date]],9),IF(Main[[#This Row],[Class]]="B", WORKDAY(Main[[#This Row],[Tech Start Date]],6),IF(Main[[#This Row],[Class]]="A",WORKDAY(Main[[#This Row],[Tech Start Date]],2),""))))</f>
        <v/>
      </c>
      <c r="N1281" s="114" t="str">
        <f>IF(Main[[#This Row],[Tech Start Date]]&lt;1/1/1990,"",IF(Main[[#This Row],[Class]]="C",WORKDAY(Main[[#This Row],[Tech Start Date]],19),IF(Main[[#This Row],[Class]]="B", WORKDAY(Main[[#This Row],[Tech Start Date]],12),IF(Main[[#This Row],[Class]]="A",WORKDAY(Main[[#This Row],[Tech Start Date]],4),""))))</f>
        <v/>
      </c>
      <c r="O1281" s="114" t="str">
        <f>IF(Main[[#This Row],[Tech Start Date]]&lt;1/1/1990,"",IF(Main[[#This Row],[Class]]="C",WORKDAY(Main[[#This Row],[Tech Start Date]],23),IF(Main[[#This Row],[Class]]="B", WORKDAY(Main[[#This Row],[Tech Start Date]],15),IF(Main[[#This Row],[Class]]="A",WORKDAY(Main[[#This Row],[Tech Start Date]],5),""))))</f>
        <v/>
      </c>
      <c r="P1281" s="114" t="str">
        <f>IF(Main[[#This Row],[Tech Start Date]]&lt;1/1/1990,"",IF(Main[[#This Row],[Class]]="C",WORKDAY(Main[[#This Row],[Tech Start Date]],28),IF(Main[[#This Row],[Class]]="B", WORKDAY(Main[[#This Row],[Tech Start Date]],19),IF(Main[[#This Row],[Class]]="A",WORKDAY(Main[[#This Row],[Tech Start Date]],9),""))))</f>
        <v/>
      </c>
      <c r="Q1281" s="129">
        <v>40976</v>
      </c>
      <c r="R1281" s="129"/>
      <c r="S1281" s="139" t="s">
        <v>11</v>
      </c>
      <c r="T1281" s="115" t="s">
        <v>3578</v>
      </c>
      <c r="U1281" s="139" t="s">
        <v>694</v>
      </c>
      <c r="V1281" s="139" t="s">
        <v>1924</v>
      </c>
      <c r="W1281" s="139" t="s">
        <v>1922</v>
      </c>
      <c r="X1281" s="139" t="s">
        <v>3484</v>
      </c>
      <c r="Y1281" s="112" t="s">
        <v>4</v>
      </c>
      <c r="Z1281" s="112" t="s">
        <v>4</v>
      </c>
      <c r="AA1281" s="139" t="s">
        <v>3484</v>
      </c>
    </row>
    <row r="1282" spans="1:27" ht="17.25" customHeight="1">
      <c r="A1282" s="69" t="str">
        <f>IF(priority(Main[[#This Row],[Comments]])&lt;&gt;0, priority(Main[[#This Row],[Comments]]),"")</f>
        <v/>
      </c>
      <c r="B1282" s="63" t="s">
        <v>2575</v>
      </c>
      <c r="C1282" s="148" t="s">
        <v>4</v>
      </c>
      <c r="D1282" s="113" t="s">
        <v>2779</v>
      </c>
      <c r="E1282" s="129">
        <v>40870.475462962961</v>
      </c>
      <c r="F1282" s="129"/>
      <c r="G1282" s="69" t="str">
        <f>IF(stdProdLT(Main[[#This Row],[Comments]])=0.1,"N/A",IF(stdProdLT(Main[[#This Row],[Comments]])=0,"",stdProdLT(Main[[#This Row],[Comments]])))</f>
        <v/>
      </c>
      <c r="H1282" s="138" t="str">
        <f>IF(Main[[#This Row],[In Stock Date]]="N/A", "N/A",IF(AND(Main[[#This Row],[In Stock Date]]&lt;&gt;"",Main[[#This Row],[Revised Due Date]]&lt;&gt;"",Main[[#This Row],[In Stock Date]]&lt;&gt;""),Main[[#This Row],[In Stock Date]]-Main[[#This Row],[Revised Due Date]],""))</f>
        <v/>
      </c>
      <c r="I1282" s="139" t="s">
        <v>429</v>
      </c>
      <c r="J1282" s="139" t="s">
        <v>28</v>
      </c>
      <c r="K1282" s="139" t="s">
        <v>1921</v>
      </c>
      <c r="L1282" s="129"/>
      <c r="M1282" s="114" t="str">
        <f>IF(Main[[#This Row],[Tech Start Date]]&lt;1/1/1990,"",IF(Main[[#This Row],[Class]]="C",WORKDAY(Main[[#This Row],[Tech Start Date]],9),IF(Main[[#This Row],[Class]]="B", WORKDAY(Main[[#This Row],[Tech Start Date]],6),IF(Main[[#This Row],[Class]]="A",WORKDAY(Main[[#This Row],[Tech Start Date]],2),""))))</f>
        <v/>
      </c>
      <c r="N1282" s="114" t="str">
        <f>IF(Main[[#This Row],[Tech Start Date]]&lt;1/1/1990,"",IF(Main[[#This Row],[Class]]="C",WORKDAY(Main[[#This Row],[Tech Start Date]],19),IF(Main[[#This Row],[Class]]="B", WORKDAY(Main[[#This Row],[Tech Start Date]],12),IF(Main[[#This Row],[Class]]="A",WORKDAY(Main[[#This Row],[Tech Start Date]],4),""))))</f>
        <v/>
      </c>
      <c r="O1282" s="114" t="str">
        <f>IF(Main[[#This Row],[Tech Start Date]]&lt;1/1/1990,"",IF(Main[[#This Row],[Class]]="C",WORKDAY(Main[[#This Row],[Tech Start Date]],23),IF(Main[[#This Row],[Class]]="B", WORKDAY(Main[[#This Row],[Tech Start Date]],15),IF(Main[[#This Row],[Class]]="A",WORKDAY(Main[[#This Row],[Tech Start Date]],5),""))))</f>
        <v/>
      </c>
      <c r="P1282" s="114" t="str">
        <f>IF(Main[[#This Row],[Tech Start Date]]&lt;1/1/1990,"",IF(Main[[#This Row],[Class]]="C",WORKDAY(Main[[#This Row],[Tech Start Date]],28),IF(Main[[#This Row],[Class]]="B", WORKDAY(Main[[#This Row],[Tech Start Date]],19),IF(Main[[#This Row],[Class]]="A",WORKDAY(Main[[#This Row],[Tech Start Date]],9),""))))</f>
        <v/>
      </c>
      <c r="Q1282" s="129">
        <v>40905</v>
      </c>
      <c r="R1282" s="129"/>
      <c r="S1282" s="139" t="s">
        <v>6</v>
      </c>
      <c r="T1282" s="115" t="s">
        <v>4</v>
      </c>
      <c r="U1282" s="139" t="s">
        <v>29</v>
      </c>
      <c r="V1282" s="139" t="s">
        <v>1917</v>
      </c>
      <c r="W1282" s="139" t="s">
        <v>1918</v>
      </c>
      <c r="X1282" s="139" t="s">
        <v>2051</v>
      </c>
      <c r="Y1282" s="112" t="s">
        <v>3060</v>
      </c>
      <c r="Z1282" s="112" t="s">
        <v>30</v>
      </c>
      <c r="AA1282" s="139" t="s">
        <v>2895</v>
      </c>
    </row>
    <row r="1283" spans="1:27" ht="17.25" customHeight="1">
      <c r="A1283" s="69" t="str">
        <f>IF(priority(Main[[#This Row],[Comments]])&lt;&gt;0, priority(Main[[#This Row],[Comments]]),"")</f>
        <v/>
      </c>
      <c r="B1283" s="63" t="s">
        <v>2216</v>
      </c>
      <c r="C1283" s="148" t="s">
        <v>4</v>
      </c>
      <c r="D1283" s="113" t="s">
        <v>2217</v>
      </c>
      <c r="E1283" s="129"/>
      <c r="F1283" s="129"/>
      <c r="G1283" s="69" t="str">
        <f>IF(stdProdLT(Main[[#This Row],[Comments]])=0.1,"N/A",IF(stdProdLT(Main[[#This Row],[Comments]])=0,"",stdProdLT(Main[[#This Row],[Comments]])))</f>
        <v/>
      </c>
      <c r="H1283" s="138" t="str">
        <f>IF(Main[[#This Row],[In Stock Date]]="N/A", "N/A",IF(AND(Main[[#This Row],[In Stock Date]]&lt;&gt;"",Main[[#This Row],[Revised Due Date]]&lt;&gt;"",Main[[#This Row],[In Stock Date]]&lt;&gt;""),Main[[#This Row],[In Stock Date]]-Main[[#This Row],[Revised Due Date]],""))</f>
        <v/>
      </c>
      <c r="I1283" s="139" t="s">
        <v>530</v>
      </c>
      <c r="J1283" s="139" t="s">
        <v>28</v>
      </c>
      <c r="K1283" s="139" t="s">
        <v>1923</v>
      </c>
      <c r="L1283" s="129"/>
      <c r="M1283" s="114" t="str">
        <f>IF(Main[[#This Row],[Tech Start Date]]&lt;1/1/1990,"",IF(Main[[#This Row],[Class]]="C",WORKDAY(Main[[#This Row],[Tech Start Date]],9),IF(Main[[#This Row],[Class]]="B", WORKDAY(Main[[#This Row],[Tech Start Date]],6),IF(Main[[#This Row],[Class]]="A",WORKDAY(Main[[#This Row],[Tech Start Date]],2),""))))</f>
        <v/>
      </c>
      <c r="N1283" s="114" t="str">
        <f>IF(Main[[#This Row],[Tech Start Date]]&lt;1/1/1990,"",IF(Main[[#This Row],[Class]]="C",WORKDAY(Main[[#This Row],[Tech Start Date]],19),IF(Main[[#This Row],[Class]]="B", WORKDAY(Main[[#This Row],[Tech Start Date]],12),IF(Main[[#This Row],[Class]]="A",WORKDAY(Main[[#This Row],[Tech Start Date]],4),""))))</f>
        <v/>
      </c>
      <c r="O1283" s="114" t="str">
        <f>IF(Main[[#This Row],[Tech Start Date]]&lt;1/1/1990,"",IF(Main[[#This Row],[Class]]="C",WORKDAY(Main[[#This Row],[Tech Start Date]],23),IF(Main[[#This Row],[Class]]="B", WORKDAY(Main[[#This Row],[Tech Start Date]],15),IF(Main[[#This Row],[Class]]="A",WORKDAY(Main[[#This Row],[Tech Start Date]],5),""))))</f>
        <v/>
      </c>
      <c r="P1283" s="114" t="str">
        <f>IF(Main[[#This Row],[Tech Start Date]]&lt;1/1/1990,"",IF(Main[[#This Row],[Class]]="C",WORKDAY(Main[[#This Row],[Tech Start Date]],28),IF(Main[[#This Row],[Class]]="B", WORKDAY(Main[[#This Row],[Tech Start Date]],19),IF(Main[[#This Row],[Class]]="A",WORKDAY(Main[[#This Row],[Tech Start Date]],9),""))))</f>
        <v/>
      </c>
      <c r="Q1283" s="129"/>
      <c r="R1283" s="129"/>
      <c r="S1283" s="139" t="s">
        <v>6</v>
      </c>
      <c r="T1283" s="115" t="s">
        <v>4</v>
      </c>
      <c r="U1283" s="139" t="s">
        <v>14</v>
      </c>
      <c r="V1283" s="139" t="s">
        <v>1917</v>
      </c>
      <c r="W1283" s="139" t="s">
        <v>1918</v>
      </c>
      <c r="X1283" s="139" t="s">
        <v>2819</v>
      </c>
      <c r="Y1283" s="112" t="s">
        <v>2932</v>
      </c>
      <c r="Z1283" s="112" t="s">
        <v>30</v>
      </c>
      <c r="AA1283" s="139" t="s">
        <v>2819</v>
      </c>
    </row>
    <row r="1284" spans="1:27" ht="17.25" customHeight="1">
      <c r="A1284" s="69" t="str">
        <f>IF(priority(Main[[#This Row],[Comments]])&lt;&gt;0, priority(Main[[#This Row],[Comments]]),"")</f>
        <v/>
      </c>
      <c r="B1284" s="63" t="s">
        <v>2577</v>
      </c>
      <c r="C1284" s="148" t="s">
        <v>4</v>
      </c>
      <c r="D1284" s="113" t="s">
        <v>2578</v>
      </c>
      <c r="E1284" s="129"/>
      <c r="F1284" s="129"/>
      <c r="G1284" s="69" t="str">
        <f>IF(stdProdLT(Main[[#This Row],[Comments]])=0.1,"N/A",IF(stdProdLT(Main[[#This Row],[Comments]])=0,"",stdProdLT(Main[[#This Row],[Comments]])))</f>
        <v/>
      </c>
      <c r="H1284" s="138" t="str">
        <f>IF(Main[[#This Row],[In Stock Date]]="N/A", "N/A",IF(AND(Main[[#This Row],[In Stock Date]]&lt;&gt;"",Main[[#This Row],[Revised Due Date]]&lt;&gt;"",Main[[#This Row],[In Stock Date]]&lt;&gt;""),Main[[#This Row],[In Stock Date]]-Main[[#This Row],[Revised Due Date]],""))</f>
        <v/>
      </c>
      <c r="I1284" s="139" t="s">
        <v>4</v>
      </c>
      <c r="J1284" s="139" t="s">
        <v>4</v>
      </c>
      <c r="K1284" s="139" t="s">
        <v>4</v>
      </c>
      <c r="L1284" s="129"/>
      <c r="M1284" s="114" t="str">
        <f>IF(Main[[#This Row],[Tech Start Date]]&lt;1/1/1990,"",IF(Main[[#This Row],[Class]]="C",WORKDAY(Main[[#This Row],[Tech Start Date]],9),IF(Main[[#This Row],[Class]]="B", WORKDAY(Main[[#This Row],[Tech Start Date]],6),IF(Main[[#This Row],[Class]]="A",WORKDAY(Main[[#This Row],[Tech Start Date]],2),""))))</f>
        <v/>
      </c>
      <c r="N1284" s="114" t="str">
        <f>IF(Main[[#This Row],[Tech Start Date]]&lt;1/1/1990,"",IF(Main[[#This Row],[Class]]="C",WORKDAY(Main[[#This Row],[Tech Start Date]],19),IF(Main[[#This Row],[Class]]="B", WORKDAY(Main[[#This Row],[Tech Start Date]],12),IF(Main[[#This Row],[Class]]="A",WORKDAY(Main[[#This Row],[Tech Start Date]],4),""))))</f>
        <v/>
      </c>
      <c r="O1284" s="114" t="str">
        <f>IF(Main[[#This Row],[Tech Start Date]]&lt;1/1/1990,"",IF(Main[[#This Row],[Class]]="C",WORKDAY(Main[[#This Row],[Tech Start Date]],23),IF(Main[[#This Row],[Class]]="B", WORKDAY(Main[[#This Row],[Tech Start Date]],15),IF(Main[[#This Row],[Class]]="A",WORKDAY(Main[[#This Row],[Tech Start Date]],5),""))))</f>
        <v/>
      </c>
      <c r="P1284" s="114" t="str">
        <f>IF(Main[[#This Row],[Tech Start Date]]&lt;1/1/1990,"",IF(Main[[#This Row],[Class]]="C",WORKDAY(Main[[#This Row],[Tech Start Date]],28),IF(Main[[#This Row],[Class]]="B", WORKDAY(Main[[#This Row],[Tech Start Date]],19),IF(Main[[#This Row],[Class]]="A",WORKDAY(Main[[#This Row],[Tech Start Date]],9),""))))</f>
        <v/>
      </c>
      <c r="Q1284" s="129"/>
      <c r="R1284" s="129"/>
      <c r="S1284" s="139" t="s">
        <v>6</v>
      </c>
      <c r="T1284" s="115" t="s">
        <v>4</v>
      </c>
      <c r="U1284" s="139" t="s">
        <v>12</v>
      </c>
      <c r="V1284" s="139" t="s">
        <v>1917</v>
      </c>
      <c r="W1284" s="139" t="s">
        <v>1919</v>
      </c>
      <c r="X1284" s="139" t="s">
        <v>2841</v>
      </c>
      <c r="Y1284" s="112" t="s">
        <v>2971</v>
      </c>
      <c r="Z1284" s="112" t="s">
        <v>4</v>
      </c>
      <c r="AA1284" s="139" t="s">
        <v>2841</v>
      </c>
    </row>
    <row r="1285" spans="1:27" ht="17.25" customHeight="1">
      <c r="A1285" s="69" t="str">
        <f>IF(priority(Main[[#This Row],[Comments]])&lt;&gt;0, priority(Main[[#This Row],[Comments]]),"")</f>
        <v/>
      </c>
      <c r="B1285" s="63" t="s">
        <v>3719</v>
      </c>
      <c r="C1285" s="148" t="s">
        <v>2354</v>
      </c>
      <c r="D1285" s="113" t="s">
        <v>3720</v>
      </c>
      <c r="E1285" s="129"/>
      <c r="F1285" s="129">
        <v>41105</v>
      </c>
      <c r="G1285" s="69" t="str">
        <f>IF(stdProdLT(Main[[#This Row],[Comments]])=0.1,"N/A",IF(stdProdLT(Main[[#This Row],[Comments]])=0,"",stdProdLT(Main[[#This Row],[Comments]])))</f>
        <v/>
      </c>
      <c r="H1285" s="138" t="str">
        <f>IF(Main[[#This Row],[In Stock Date]]="N/A", "N/A",IF(AND(Main[[#This Row],[In Stock Date]]&lt;&gt;"",Main[[#This Row],[Revised Due Date]]&lt;&gt;"",Main[[#This Row],[In Stock Date]]&lt;&gt;""),Main[[#This Row],[In Stock Date]]-Main[[#This Row],[Revised Due Date]],""))</f>
        <v/>
      </c>
      <c r="I1285" s="139" t="s">
        <v>4</v>
      </c>
      <c r="J1285" s="139" t="s">
        <v>4</v>
      </c>
      <c r="K1285" s="139" t="s">
        <v>4</v>
      </c>
      <c r="L1285" s="129"/>
      <c r="M1285" s="114" t="str">
        <f>IF(Main[[#This Row],[Tech Start Date]]&lt;1/1/1990,"",IF(Main[[#This Row],[Class]]="C",WORKDAY(Main[[#This Row],[Tech Start Date]],9),IF(Main[[#This Row],[Class]]="B", WORKDAY(Main[[#This Row],[Tech Start Date]],6),IF(Main[[#This Row],[Class]]="A",WORKDAY(Main[[#This Row],[Tech Start Date]],2),""))))</f>
        <v/>
      </c>
      <c r="N1285" s="114" t="str">
        <f>IF(Main[[#This Row],[Tech Start Date]]&lt;1/1/1990,"",IF(Main[[#This Row],[Class]]="C",WORKDAY(Main[[#This Row],[Tech Start Date]],19),IF(Main[[#This Row],[Class]]="B", WORKDAY(Main[[#This Row],[Tech Start Date]],12),IF(Main[[#This Row],[Class]]="A",WORKDAY(Main[[#This Row],[Tech Start Date]],4),""))))</f>
        <v/>
      </c>
      <c r="O1285" s="114" t="str">
        <f>IF(Main[[#This Row],[Tech Start Date]]&lt;1/1/1990,"",IF(Main[[#This Row],[Class]]="C",WORKDAY(Main[[#This Row],[Tech Start Date]],23),IF(Main[[#This Row],[Class]]="B", WORKDAY(Main[[#This Row],[Tech Start Date]],15),IF(Main[[#This Row],[Class]]="A",WORKDAY(Main[[#This Row],[Tech Start Date]],5),""))))</f>
        <v/>
      </c>
      <c r="P1285" s="114" t="str">
        <f>IF(Main[[#This Row],[Tech Start Date]]&lt;1/1/1990,"",IF(Main[[#This Row],[Class]]="C",WORKDAY(Main[[#This Row],[Tech Start Date]],28),IF(Main[[#This Row],[Class]]="B", WORKDAY(Main[[#This Row],[Tech Start Date]],19),IF(Main[[#This Row],[Class]]="A",WORKDAY(Main[[#This Row],[Tech Start Date]],9),""))))</f>
        <v/>
      </c>
      <c r="Q1285" s="129">
        <v>40965</v>
      </c>
      <c r="R1285" s="129"/>
      <c r="S1285" s="139" t="s">
        <v>11</v>
      </c>
      <c r="T1285" s="115" t="s">
        <v>4</v>
      </c>
      <c r="U1285" s="139" t="s">
        <v>12</v>
      </c>
      <c r="V1285" s="139" t="s">
        <v>1915</v>
      </c>
      <c r="W1285" s="139" t="s">
        <v>1920</v>
      </c>
      <c r="X1285" s="139" t="s">
        <v>2843</v>
      </c>
      <c r="Y1285" s="112" t="s">
        <v>4</v>
      </c>
      <c r="Z1285" s="112" t="s">
        <v>4</v>
      </c>
      <c r="AA1285" s="139" t="s">
        <v>2843</v>
      </c>
    </row>
    <row r="1286" spans="1:27" ht="17.25" customHeight="1">
      <c r="A1286" s="69" t="str">
        <f>IF(priority(Main[[#This Row],[Comments]])&lt;&gt;0, priority(Main[[#This Row],[Comments]]),"")</f>
        <v/>
      </c>
      <c r="B1286" s="63" t="s">
        <v>3294</v>
      </c>
      <c r="C1286" s="148" t="s">
        <v>4</v>
      </c>
      <c r="D1286" s="113" t="s">
        <v>3295</v>
      </c>
      <c r="E1286" s="129">
        <v>40934.462071759262</v>
      </c>
      <c r="F1286" s="129"/>
      <c r="G1286" s="69" t="str">
        <f>IF(stdProdLT(Main[[#This Row],[Comments]])=0.1,"N/A",IF(stdProdLT(Main[[#This Row],[Comments]])=0,"",stdProdLT(Main[[#This Row],[Comments]])))</f>
        <v/>
      </c>
      <c r="H1286" s="138" t="str">
        <f>IF(Main[[#This Row],[In Stock Date]]="N/A", "N/A",IF(AND(Main[[#This Row],[In Stock Date]]&lt;&gt;"",Main[[#This Row],[Revised Due Date]]&lt;&gt;"",Main[[#This Row],[In Stock Date]]&lt;&gt;""),Main[[#This Row],[In Stock Date]]-Main[[#This Row],[Revised Due Date]],""))</f>
        <v/>
      </c>
      <c r="I1286" s="139" t="s">
        <v>4</v>
      </c>
      <c r="J1286" s="139" t="s">
        <v>4</v>
      </c>
      <c r="K1286" s="140" t="s">
        <v>4</v>
      </c>
      <c r="L1286" s="129"/>
      <c r="M1286" s="114" t="str">
        <f>IF(Main[[#This Row],[Tech Start Date]]&lt;1/1/1990,"",IF(Main[[#This Row],[Class]]="C",WORKDAY(Main[[#This Row],[Tech Start Date]],9),IF(Main[[#This Row],[Class]]="B", WORKDAY(Main[[#This Row],[Tech Start Date]],6),IF(Main[[#This Row],[Class]]="A",WORKDAY(Main[[#This Row],[Tech Start Date]],2),""))))</f>
        <v/>
      </c>
      <c r="N1286" s="114" t="str">
        <f>IF(Main[[#This Row],[Tech Start Date]]&lt;1/1/1990,"",IF(Main[[#This Row],[Class]]="C",WORKDAY(Main[[#This Row],[Tech Start Date]],19),IF(Main[[#This Row],[Class]]="B", WORKDAY(Main[[#This Row],[Tech Start Date]],12),IF(Main[[#This Row],[Class]]="A",WORKDAY(Main[[#This Row],[Tech Start Date]],4),""))))</f>
        <v/>
      </c>
      <c r="O1286" s="114" t="str">
        <f>IF(Main[[#This Row],[Tech Start Date]]&lt;1/1/1990,"",IF(Main[[#This Row],[Class]]="C",WORKDAY(Main[[#This Row],[Tech Start Date]],23),IF(Main[[#This Row],[Class]]="B", WORKDAY(Main[[#This Row],[Tech Start Date]],15),IF(Main[[#This Row],[Class]]="A",WORKDAY(Main[[#This Row],[Tech Start Date]],5),""))))</f>
        <v/>
      </c>
      <c r="P1286" s="114" t="str">
        <f>IF(Main[[#This Row],[Tech Start Date]]&lt;1/1/1990,"",IF(Main[[#This Row],[Class]]="C",WORKDAY(Main[[#This Row],[Tech Start Date]],28),IF(Main[[#This Row],[Class]]="B", WORKDAY(Main[[#This Row],[Tech Start Date]],19),IF(Main[[#This Row],[Class]]="A",WORKDAY(Main[[#This Row],[Tech Start Date]],9),""))))</f>
        <v/>
      </c>
      <c r="Q1286" s="129"/>
      <c r="R1286" s="129"/>
      <c r="S1286" s="139" t="s">
        <v>6</v>
      </c>
      <c r="T1286" s="115" t="s">
        <v>4</v>
      </c>
      <c r="U1286" s="139" t="s">
        <v>29</v>
      </c>
      <c r="V1286" s="139" t="s">
        <v>1914</v>
      </c>
      <c r="W1286" s="139" t="s">
        <v>1918</v>
      </c>
      <c r="X1286" s="139" t="s">
        <v>937</v>
      </c>
      <c r="Y1286" s="112" t="s">
        <v>2984</v>
      </c>
      <c r="Z1286" s="112" t="s">
        <v>4</v>
      </c>
      <c r="AA1286" s="139" t="s">
        <v>937</v>
      </c>
    </row>
    <row r="1287" spans="1:27" ht="17.25" customHeight="1">
      <c r="A1287" s="69" t="str">
        <f>IF(priority(Main[[#This Row],[Comments]])&lt;&gt;0, priority(Main[[#This Row],[Comments]]),"")</f>
        <v/>
      </c>
      <c r="B1287" s="63" t="s">
        <v>1741</v>
      </c>
      <c r="C1287" s="148" t="s">
        <v>37</v>
      </c>
      <c r="D1287" s="113" t="s">
        <v>2580</v>
      </c>
      <c r="E1287" s="129">
        <v>40682.487210648149</v>
      </c>
      <c r="F1287" s="129"/>
      <c r="G1287" s="69" t="str">
        <f>IF(stdProdLT(Main[[#This Row],[Comments]])=0.1,"N/A",IF(stdProdLT(Main[[#This Row],[Comments]])=0,"",stdProdLT(Main[[#This Row],[Comments]])))</f>
        <v/>
      </c>
      <c r="H1287" s="138" t="str">
        <f>IF(Main[[#This Row],[In Stock Date]]="N/A", "N/A",IF(AND(Main[[#This Row],[In Stock Date]]&lt;&gt;"",Main[[#This Row],[Revised Due Date]]&lt;&gt;"",Main[[#This Row],[In Stock Date]]&lt;&gt;""),Main[[#This Row],[In Stock Date]]-Main[[#This Row],[Revised Due Date]],""))</f>
        <v/>
      </c>
      <c r="I1287" s="139" t="s">
        <v>4</v>
      </c>
      <c r="J1287" s="139" t="s">
        <v>4</v>
      </c>
      <c r="K1287" s="139" t="s">
        <v>4</v>
      </c>
      <c r="L1287" s="129"/>
      <c r="M1287" s="114" t="str">
        <f>IF(Main[[#This Row],[Tech Start Date]]&lt;1/1/1990,"",IF(Main[[#This Row],[Class]]="C",WORKDAY(Main[[#This Row],[Tech Start Date]],9),IF(Main[[#This Row],[Class]]="B", WORKDAY(Main[[#This Row],[Tech Start Date]],6),IF(Main[[#This Row],[Class]]="A",WORKDAY(Main[[#This Row],[Tech Start Date]],2),""))))</f>
        <v/>
      </c>
      <c r="N1287" s="114" t="str">
        <f>IF(Main[[#This Row],[Tech Start Date]]&lt;1/1/1990,"",IF(Main[[#This Row],[Class]]="C",WORKDAY(Main[[#This Row],[Tech Start Date]],19),IF(Main[[#This Row],[Class]]="B", WORKDAY(Main[[#This Row],[Tech Start Date]],12),IF(Main[[#This Row],[Class]]="A",WORKDAY(Main[[#This Row],[Tech Start Date]],4),""))))</f>
        <v/>
      </c>
      <c r="O1287" s="114" t="str">
        <f>IF(Main[[#This Row],[Tech Start Date]]&lt;1/1/1990,"",IF(Main[[#This Row],[Class]]="C",WORKDAY(Main[[#This Row],[Tech Start Date]],23),IF(Main[[#This Row],[Class]]="B", WORKDAY(Main[[#This Row],[Tech Start Date]],15),IF(Main[[#This Row],[Class]]="A",WORKDAY(Main[[#This Row],[Tech Start Date]],5),""))))</f>
        <v/>
      </c>
      <c r="P1287" s="114" t="str">
        <f>IF(Main[[#This Row],[Tech Start Date]]&lt;1/1/1990,"",IF(Main[[#This Row],[Class]]="C",WORKDAY(Main[[#This Row],[Tech Start Date]],28),IF(Main[[#This Row],[Class]]="B", WORKDAY(Main[[#This Row],[Tech Start Date]],19),IF(Main[[#This Row],[Class]]="A",WORKDAY(Main[[#This Row],[Tech Start Date]],9),""))))</f>
        <v/>
      </c>
      <c r="Q1287" s="129">
        <v>40701</v>
      </c>
      <c r="R1287" s="129"/>
      <c r="S1287" s="139" t="s">
        <v>6</v>
      </c>
      <c r="T1287" s="115" t="s">
        <v>4</v>
      </c>
      <c r="U1287" s="139" t="s">
        <v>7</v>
      </c>
      <c r="V1287" s="139" t="s">
        <v>1914</v>
      </c>
      <c r="W1287" s="139" t="s">
        <v>1925</v>
      </c>
      <c r="X1287" s="139" t="s">
        <v>970</v>
      </c>
      <c r="Y1287" s="112" t="s">
        <v>3097</v>
      </c>
      <c r="Z1287" s="112" t="s">
        <v>4</v>
      </c>
      <c r="AA1287" s="139" t="s">
        <v>970</v>
      </c>
    </row>
    <row r="1288" spans="1:27" ht="17.25" customHeight="1">
      <c r="A1288" s="69" t="str">
        <f>IF(priority(Main[[#This Row],[Comments]])&lt;&gt;0, priority(Main[[#This Row],[Comments]]),"")</f>
        <v/>
      </c>
      <c r="B1288" s="63" t="s">
        <v>1625</v>
      </c>
      <c r="C1288" s="148" t="s">
        <v>4</v>
      </c>
      <c r="D1288" s="113" t="s">
        <v>700</v>
      </c>
      <c r="E1288" s="129">
        <v>40218.669039351851</v>
      </c>
      <c r="F1288" s="129"/>
      <c r="G1288" s="69" t="str">
        <f>IF(stdProdLT(Main[[#This Row],[Comments]])=0.1,"N/A",IF(stdProdLT(Main[[#This Row],[Comments]])=0,"",stdProdLT(Main[[#This Row],[Comments]])))</f>
        <v/>
      </c>
      <c r="H1288" s="138" t="str">
        <f>IF(Main[[#This Row],[In Stock Date]]="N/A", "N/A",IF(AND(Main[[#This Row],[In Stock Date]]&lt;&gt;"",Main[[#This Row],[Revised Due Date]]&lt;&gt;"",Main[[#This Row],[In Stock Date]]&lt;&gt;""),Main[[#This Row],[In Stock Date]]-Main[[#This Row],[Revised Due Date]],""))</f>
        <v/>
      </c>
      <c r="I1288" s="139" t="s">
        <v>4</v>
      </c>
      <c r="J1288" s="139" t="s">
        <v>4</v>
      </c>
      <c r="K1288" s="139" t="s">
        <v>4</v>
      </c>
      <c r="L1288" s="129"/>
      <c r="M1288" s="114" t="str">
        <f>IF(Main[[#This Row],[Tech Start Date]]&lt;1/1/1990,"",IF(Main[[#This Row],[Class]]="C",WORKDAY(Main[[#This Row],[Tech Start Date]],9),IF(Main[[#This Row],[Class]]="B", WORKDAY(Main[[#This Row],[Tech Start Date]],6),IF(Main[[#This Row],[Class]]="A",WORKDAY(Main[[#This Row],[Tech Start Date]],2),""))))</f>
        <v/>
      </c>
      <c r="N1288" s="114" t="str">
        <f>IF(Main[[#This Row],[Tech Start Date]]&lt;1/1/1990,"",IF(Main[[#This Row],[Class]]="C",WORKDAY(Main[[#This Row],[Tech Start Date]],19),IF(Main[[#This Row],[Class]]="B", WORKDAY(Main[[#This Row],[Tech Start Date]],12),IF(Main[[#This Row],[Class]]="A",WORKDAY(Main[[#This Row],[Tech Start Date]],4),""))))</f>
        <v/>
      </c>
      <c r="O1288" s="114" t="str">
        <f>IF(Main[[#This Row],[Tech Start Date]]&lt;1/1/1990,"",IF(Main[[#This Row],[Class]]="C",WORKDAY(Main[[#This Row],[Tech Start Date]],23),IF(Main[[#This Row],[Class]]="B", WORKDAY(Main[[#This Row],[Tech Start Date]],15),IF(Main[[#This Row],[Class]]="A",WORKDAY(Main[[#This Row],[Tech Start Date]],5),""))))</f>
        <v/>
      </c>
      <c r="P1288" s="114" t="str">
        <f>IF(Main[[#This Row],[Tech Start Date]]&lt;1/1/1990,"",IF(Main[[#This Row],[Class]]="C",WORKDAY(Main[[#This Row],[Tech Start Date]],28),IF(Main[[#This Row],[Class]]="B", WORKDAY(Main[[#This Row],[Tech Start Date]],19),IF(Main[[#This Row],[Class]]="A",WORKDAY(Main[[#This Row],[Tech Start Date]],9),""))))</f>
        <v/>
      </c>
      <c r="Q1288" s="129">
        <v>40237</v>
      </c>
      <c r="R1288" s="129"/>
      <c r="S1288" s="139" t="s">
        <v>17</v>
      </c>
      <c r="T1288" s="115" t="s">
        <v>4</v>
      </c>
      <c r="U1288" s="139" t="s">
        <v>29</v>
      </c>
      <c r="V1288" s="139" t="s">
        <v>1917</v>
      </c>
      <c r="W1288" s="139" t="s">
        <v>4</v>
      </c>
      <c r="X1288" s="139" t="s">
        <v>652</v>
      </c>
      <c r="Y1288" s="112" t="s">
        <v>3126</v>
      </c>
      <c r="Z1288" s="112" t="s">
        <v>4</v>
      </c>
      <c r="AA1288" s="139" t="s">
        <v>652</v>
      </c>
    </row>
    <row r="1289" spans="1:27" ht="17.25" customHeight="1">
      <c r="A1289" s="69" t="str">
        <f>IF(priority(Main[[#This Row],[Comments]])&lt;&gt;0, priority(Main[[#This Row],[Comments]]),"")</f>
        <v/>
      </c>
      <c r="B1289" s="63" t="s">
        <v>1829</v>
      </c>
      <c r="C1289" s="148" t="s">
        <v>4</v>
      </c>
      <c r="D1289" s="113" t="s">
        <v>881</v>
      </c>
      <c r="E1289" s="129">
        <v>40284.719155092593</v>
      </c>
      <c r="F1289" s="129"/>
      <c r="G1289" s="69" t="str">
        <f>IF(stdProdLT(Main[[#This Row],[Comments]])=0.1,"N/A",IF(stdProdLT(Main[[#This Row],[Comments]])=0,"",stdProdLT(Main[[#This Row],[Comments]])))</f>
        <v/>
      </c>
      <c r="H1289" s="138" t="str">
        <f>IF(Main[[#This Row],[In Stock Date]]="N/A", "N/A",IF(AND(Main[[#This Row],[In Stock Date]]&lt;&gt;"",Main[[#This Row],[Revised Due Date]]&lt;&gt;"",Main[[#This Row],[In Stock Date]]&lt;&gt;""),Main[[#This Row],[In Stock Date]]-Main[[#This Row],[Revised Due Date]],""))</f>
        <v/>
      </c>
      <c r="I1289" s="139" t="s">
        <v>4</v>
      </c>
      <c r="J1289" s="139" t="s">
        <v>52</v>
      </c>
      <c r="K1289" s="139" t="s">
        <v>1926</v>
      </c>
      <c r="L1289" s="129"/>
      <c r="M1289" s="114" t="str">
        <f>IF(Main[[#This Row],[Tech Start Date]]&lt;1/1/1990,"",IF(Main[[#This Row],[Class]]="C",WORKDAY(Main[[#This Row],[Tech Start Date]],9),IF(Main[[#This Row],[Class]]="B", WORKDAY(Main[[#This Row],[Tech Start Date]],6),IF(Main[[#This Row],[Class]]="A",WORKDAY(Main[[#This Row],[Tech Start Date]],2),""))))</f>
        <v/>
      </c>
      <c r="N1289" s="114" t="str">
        <f>IF(Main[[#This Row],[Tech Start Date]]&lt;1/1/1990,"",IF(Main[[#This Row],[Class]]="C",WORKDAY(Main[[#This Row],[Tech Start Date]],19),IF(Main[[#This Row],[Class]]="B", WORKDAY(Main[[#This Row],[Tech Start Date]],12),IF(Main[[#This Row],[Class]]="A",WORKDAY(Main[[#This Row],[Tech Start Date]],4),""))))</f>
        <v/>
      </c>
      <c r="O1289" s="114" t="str">
        <f>IF(Main[[#This Row],[Tech Start Date]]&lt;1/1/1990,"",IF(Main[[#This Row],[Class]]="C",WORKDAY(Main[[#This Row],[Tech Start Date]],23),IF(Main[[#This Row],[Class]]="B", WORKDAY(Main[[#This Row],[Tech Start Date]],15),IF(Main[[#This Row],[Class]]="A",WORKDAY(Main[[#This Row],[Tech Start Date]],5),""))))</f>
        <v/>
      </c>
      <c r="P1289" s="114" t="str">
        <f>IF(Main[[#This Row],[Tech Start Date]]&lt;1/1/1990,"",IF(Main[[#This Row],[Class]]="C",WORKDAY(Main[[#This Row],[Tech Start Date]],28),IF(Main[[#This Row],[Class]]="B", WORKDAY(Main[[#This Row],[Tech Start Date]],19),IF(Main[[#This Row],[Class]]="A",WORKDAY(Main[[#This Row],[Tech Start Date]],9),""))))</f>
        <v/>
      </c>
      <c r="Q1289" s="129">
        <v>40389</v>
      </c>
      <c r="R1289" s="129">
        <v>40403</v>
      </c>
      <c r="S1289" s="139" t="s">
        <v>17</v>
      </c>
      <c r="T1289" s="115" t="s">
        <v>4</v>
      </c>
      <c r="U1289" s="139" t="s">
        <v>29</v>
      </c>
      <c r="V1289" s="139" t="s">
        <v>1914</v>
      </c>
      <c r="W1289" s="139" t="s">
        <v>1928</v>
      </c>
      <c r="X1289" s="139" t="s">
        <v>2821</v>
      </c>
      <c r="Y1289" s="112" t="s">
        <v>2936</v>
      </c>
      <c r="Z1289" s="112" t="s">
        <v>129</v>
      </c>
      <c r="AA1289" s="139" t="s">
        <v>2821</v>
      </c>
    </row>
    <row r="1290" spans="1:27" ht="17.25" customHeight="1">
      <c r="A1290" s="12" t="str">
        <f>IF(priority(Main[[#This Row],[Comments]])&lt;&gt;0, priority(Main[[#This Row],[Comments]]),"")</f>
        <v/>
      </c>
      <c r="B1290" s="63" t="s">
        <v>1503</v>
      </c>
      <c r="C1290" s="147" t="s">
        <v>577</v>
      </c>
      <c r="D1290" s="117" t="s">
        <v>2581</v>
      </c>
      <c r="E1290" s="130"/>
      <c r="F1290" s="130"/>
      <c r="G1290" s="12" t="str">
        <f>IF(stdProdLT(Main[[#This Row],[Comments]])=0.1,"N/A",IF(stdProdLT(Main[[#This Row],[Comments]])=0,"",stdProdLT(Main[[#This Row],[Comments]])))</f>
        <v/>
      </c>
      <c r="H1290" s="141" t="str">
        <f>IF(Main[[#This Row],[In Stock Date]]="N/A", "N/A",IF(AND(Main[[#This Row],[In Stock Date]]&lt;&gt;"",Main[[#This Row],[Revised Due Date]]&lt;&gt;"",Main[[#This Row],[In Stock Date]]&lt;&gt;""),Main[[#This Row],[In Stock Date]]-Main[[#This Row],[Revised Due Date]],""))</f>
        <v/>
      </c>
      <c r="I1290" s="12" t="s">
        <v>4</v>
      </c>
      <c r="J1290" s="12" t="s">
        <v>28</v>
      </c>
      <c r="K1290" s="12" t="s">
        <v>1921</v>
      </c>
      <c r="L1290" s="130"/>
      <c r="M1290" s="114" t="str">
        <f>IF(Main[[#This Row],[Tech Start Date]]&lt;1/1/1990,"",IF(Main[[#This Row],[Class]]="C",WORKDAY(Main[[#This Row],[Tech Start Date]],9),IF(Main[[#This Row],[Class]]="B", WORKDAY(Main[[#This Row],[Tech Start Date]],6),IF(Main[[#This Row],[Class]]="A",WORKDAY(Main[[#This Row],[Tech Start Date]],2),""))))</f>
        <v/>
      </c>
      <c r="N1290" s="114" t="str">
        <f>IF(Main[[#This Row],[Tech Start Date]]&lt;1/1/1990,"",IF(Main[[#This Row],[Class]]="C",WORKDAY(Main[[#This Row],[Tech Start Date]],19),IF(Main[[#This Row],[Class]]="B", WORKDAY(Main[[#This Row],[Tech Start Date]],12),IF(Main[[#This Row],[Class]]="A",WORKDAY(Main[[#This Row],[Tech Start Date]],4),""))))</f>
        <v/>
      </c>
      <c r="O1290" s="114" t="str">
        <f>IF(Main[[#This Row],[Tech Start Date]]&lt;1/1/1990,"",IF(Main[[#This Row],[Class]]="C",WORKDAY(Main[[#This Row],[Tech Start Date]],23),IF(Main[[#This Row],[Class]]="B", WORKDAY(Main[[#This Row],[Tech Start Date]],15),IF(Main[[#This Row],[Class]]="A",WORKDAY(Main[[#This Row],[Tech Start Date]],5),""))))</f>
        <v/>
      </c>
      <c r="P1290" s="114" t="str">
        <f>IF(Main[[#This Row],[Tech Start Date]]&lt;1/1/1990,"",IF(Main[[#This Row],[Class]]="C",WORKDAY(Main[[#This Row],[Tech Start Date]],28),IF(Main[[#This Row],[Class]]="B", WORKDAY(Main[[#This Row],[Tech Start Date]],19),IF(Main[[#This Row],[Class]]="A",WORKDAY(Main[[#This Row],[Tech Start Date]],9),""))))</f>
        <v/>
      </c>
      <c r="Q1290" s="130">
        <v>40486</v>
      </c>
      <c r="R1290" s="130"/>
      <c r="S1290" s="12" t="s">
        <v>6</v>
      </c>
      <c r="T1290" s="118" t="s">
        <v>4</v>
      </c>
      <c r="U1290" s="12" t="s">
        <v>14</v>
      </c>
      <c r="V1290" s="12" t="s">
        <v>1914</v>
      </c>
      <c r="W1290" s="12" t="s">
        <v>1918</v>
      </c>
      <c r="X1290" s="12" t="s">
        <v>2821</v>
      </c>
      <c r="Y1290" s="116" t="s">
        <v>2936</v>
      </c>
      <c r="Z1290" s="116" t="s">
        <v>129</v>
      </c>
      <c r="AA1290" s="139" t="s">
        <v>2821</v>
      </c>
    </row>
    <row r="1291" spans="1:27" ht="17.25" customHeight="1">
      <c r="A1291" s="69" t="str">
        <f>IF(priority(Main[[#This Row],[Comments]])&lt;&gt;0, priority(Main[[#This Row],[Comments]]),"")</f>
        <v/>
      </c>
      <c r="B1291" s="63" t="s">
        <v>2091</v>
      </c>
      <c r="C1291" s="148" t="s">
        <v>4</v>
      </c>
      <c r="D1291" s="113" t="s">
        <v>2582</v>
      </c>
      <c r="E1291" s="129">
        <v>40760.553842592592</v>
      </c>
      <c r="F1291" s="129"/>
      <c r="G1291" s="69" t="str">
        <f>IF(stdProdLT(Main[[#This Row],[Comments]])=0.1,"N/A",IF(stdProdLT(Main[[#This Row],[Comments]])=0,"",stdProdLT(Main[[#This Row],[Comments]])))</f>
        <v/>
      </c>
      <c r="H1291" s="138" t="str">
        <f>IF(Main[[#This Row],[In Stock Date]]="N/A", "N/A",IF(AND(Main[[#This Row],[In Stock Date]]&lt;&gt;"",Main[[#This Row],[Revised Due Date]]&lt;&gt;"",Main[[#This Row],[In Stock Date]]&lt;&gt;""),Main[[#This Row],[In Stock Date]]-Main[[#This Row],[Revised Due Date]],""))</f>
        <v/>
      </c>
      <c r="I1291" s="139" t="s">
        <v>4</v>
      </c>
      <c r="J1291" s="139" t="s">
        <v>4</v>
      </c>
      <c r="K1291" s="139" t="s">
        <v>4</v>
      </c>
      <c r="L1291" s="129"/>
      <c r="M1291" s="114" t="str">
        <f>IF(Main[[#This Row],[Tech Start Date]]&lt;1/1/1990,"",IF(Main[[#This Row],[Class]]="C",WORKDAY(Main[[#This Row],[Tech Start Date]],9),IF(Main[[#This Row],[Class]]="B", WORKDAY(Main[[#This Row],[Tech Start Date]],6),IF(Main[[#This Row],[Class]]="A",WORKDAY(Main[[#This Row],[Tech Start Date]],2),""))))</f>
        <v/>
      </c>
      <c r="N1291" s="114" t="str">
        <f>IF(Main[[#This Row],[Tech Start Date]]&lt;1/1/1990,"",IF(Main[[#This Row],[Class]]="C",WORKDAY(Main[[#This Row],[Tech Start Date]],19),IF(Main[[#This Row],[Class]]="B", WORKDAY(Main[[#This Row],[Tech Start Date]],12),IF(Main[[#This Row],[Class]]="A",WORKDAY(Main[[#This Row],[Tech Start Date]],4),""))))</f>
        <v/>
      </c>
      <c r="O1291" s="114" t="str">
        <f>IF(Main[[#This Row],[Tech Start Date]]&lt;1/1/1990,"",IF(Main[[#This Row],[Class]]="C",WORKDAY(Main[[#This Row],[Tech Start Date]],23),IF(Main[[#This Row],[Class]]="B", WORKDAY(Main[[#This Row],[Tech Start Date]],15),IF(Main[[#This Row],[Class]]="A",WORKDAY(Main[[#This Row],[Tech Start Date]],5),""))))</f>
        <v/>
      </c>
      <c r="P1291" s="114" t="str">
        <f>IF(Main[[#This Row],[Tech Start Date]]&lt;1/1/1990,"",IF(Main[[#This Row],[Class]]="C",WORKDAY(Main[[#This Row],[Tech Start Date]],28),IF(Main[[#This Row],[Class]]="B", WORKDAY(Main[[#This Row],[Tech Start Date]],19),IF(Main[[#This Row],[Class]]="A",WORKDAY(Main[[#This Row],[Tech Start Date]],9),""))))</f>
        <v/>
      </c>
      <c r="Q1291" s="129"/>
      <c r="R1291" s="129"/>
      <c r="S1291" s="139" t="s">
        <v>6</v>
      </c>
      <c r="T1291" s="115" t="s">
        <v>4</v>
      </c>
      <c r="U1291" s="139" t="s">
        <v>7</v>
      </c>
      <c r="V1291" s="139" t="s">
        <v>1914</v>
      </c>
      <c r="W1291" s="139" t="s">
        <v>1918</v>
      </c>
      <c r="X1291" s="139" t="s">
        <v>306</v>
      </c>
      <c r="Y1291" s="112" t="s">
        <v>4</v>
      </c>
      <c r="Z1291" s="112" t="s">
        <v>4</v>
      </c>
      <c r="AA1291" s="139" t="s">
        <v>4</v>
      </c>
    </row>
    <row r="1292" spans="1:27" ht="17.25" customHeight="1">
      <c r="A1292" s="69" t="str">
        <f>IF(priority(Main[[#This Row],[Comments]])&lt;&gt;0, priority(Main[[#This Row],[Comments]]),"")</f>
        <v/>
      </c>
      <c r="B1292" s="63" t="s">
        <v>1112</v>
      </c>
      <c r="C1292" s="148" t="s">
        <v>161</v>
      </c>
      <c r="D1292" s="113" t="s">
        <v>162</v>
      </c>
      <c r="E1292" s="129"/>
      <c r="F1292" s="129">
        <v>40238</v>
      </c>
      <c r="G1292" s="69" t="str">
        <f>IF(stdProdLT(Main[[#This Row],[Comments]])=0.1,"N/A",IF(stdProdLT(Main[[#This Row],[Comments]])=0,"",stdProdLT(Main[[#This Row],[Comments]])))</f>
        <v/>
      </c>
      <c r="H1292" s="138" t="str">
        <f>IF(Main[[#This Row],[In Stock Date]]="N/A", "N/A",IF(AND(Main[[#This Row],[In Stock Date]]&lt;&gt;"",Main[[#This Row],[Revised Due Date]]&lt;&gt;"",Main[[#This Row],[In Stock Date]]&lt;&gt;""),Main[[#This Row],[In Stock Date]]-Main[[#This Row],[Revised Due Date]],""))</f>
        <v/>
      </c>
      <c r="I1292" s="139" t="s">
        <v>4</v>
      </c>
      <c r="J1292" s="139" t="s">
        <v>4</v>
      </c>
      <c r="K1292" s="139" t="s">
        <v>4</v>
      </c>
      <c r="L1292" s="129"/>
      <c r="M1292" s="114" t="str">
        <f>IF(Main[[#This Row],[Tech Start Date]]&lt;1/1/1990,"",IF(Main[[#This Row],[Class]]="C",WORKDAY(Main[[#This Row],[Tech Start Date]],9),IF(Main[[#This Row],[Class]]="B", WORKDAY(Main[[#This Row],[Tech Start Date]],6),IF(Main[[#This Row],[Class]]="A",WORKDAY(Main[[#This Row],[Tech Start Date]],2),""))))</f>
        <v/>
      </c>
      <c r="N1292" s="114" t="str">
        <f>IF(Main[[#This Row],[Tech Start Date]]&lt;1/1/1990,"",IF(Main[[#This Row],[Class]]="C",WORKDAY(Main[[#This Row],[Tech Start Date]],19),IF(Main[[#This Row],[Class]]="B", WORKDAY(Main[[#This Row],[Tech Start Date]],12),IF(Main[[#This Row],[Class]]="A",WORKDAY(Main[[#This Row],[Tech Start Date]],4),""))))</f>
        <v/>
      </c>
      <c r="O1292" s="114" t="str">
        <f>IF(Main[[#This Row],[Tech Start Date]]&lt;1/1/1990,"",IF(Main[[#This Row],[Class]]="C",WORKDAY(Main[[#This Row],[Tech Start Date]],23),IF(Main[[#This Row],[Class]]="B", WORKDAY(Main[[#This Row],[Tech Start Date]],15),IF(Main[[#This Row],[Class]]="A",WORKDAY(Main[[#This Row],[Tech Start Date]],5),""))))</f>
        <v/>
      </c>
      <c r="P1292" s="114" t="str">
        <f>IF(Main[[#This Row],[Tech Start Date]]&lt;1/1/1990,"",IF(Main[[#This Row],[Class]]="C",WORKDAY(Main[[#This Row],[Tech Start Date]],28),IF(Main[[#This Row],[Class]]="B", WORKDAY(Main[[#This Row],[Tech Start Date]],19),IF(Main[[#This Row],[Class]]="A",WORKDAY(Main[[#This Row],[Tech Start Date]],9),""))))</f>
        <v/>
      </c>
      <c r="Q1292" s="129">
        <v>40167</v>
      </c>
      <c r="R1292" s="129"/>
      <c r="S1292" s="139" t="s">
        <v>17</v>
      </c>
      <c r="T1292" s="115" t="s">
        <v>4</v>
      </c>
      <c r="U1292" s="139" t="s">
        <v>14</v>
      </c>
      <c r="V1292" s="139" t="s">
        <v>1917</v>
      </c>
      <c r="W1292" s="139" t="s">
        <v>1922</v>
      </c>
      <c r="X1292" s="139" t="s">
        <v>50</v>
      </c>
      <c r="Y1292" s="112" t="s">
        <v>2943</v>
      </c>
      <c r="Z1292" s="112" t="s">
        <v>852</v>
      </c>
      <c r="AA1292" s="139" t="s">
        <v>2824</v>
      </c>
    </row>
    <row r="1293" spans="1:27" ht="17.25" customHeight="1">
      <c r="A1293" s="69" t="str">
        <f>IF(priority(Main[[#This Row],[Comments]])&lt;&gt;0, priority(Main[[#This Row],[Comments]]),"")</f>
        <v/>
      </c>
      <c r="B1293" s="63" t="s">
        <v>3186</v>
      </c>
      <c r="C1293" s="148" t="s">
        <v>31</v>
      </c>
      <c r="D1293" s="113" t="s">
        <v>3187</v>
      </c>
      <c r="E1293" s="129"/>
      <c r="F1293" s="129">
        <v>41122</v>
      </c>
      <c r="G1293" s="69" t="str">
        <f>IF(stdProdLT(Main[[#This Row],[Comments]])=0.1,"N/A",IF(stdProdLT(Main[[#This Row],[Comments]])=0,"",stdProdLT(Main[[#This Row],[Comments]])))</f>
        <v/>
      </c>
      <c r="H1293" s="138" t="str">
        <f>IF(Main[[#This Row],[In Stock Date]]="N/A", "N/A",IF(AND(Main[[#This Row],[In Stock Date]]&lt;&gt;"",Main[[#This Row],[Revised Due Date]]&lt;&gt;"",Main[[#This Row],[In Stock Date]]&lt;&gt;""),Main[[#This Row],[In Stock Date]]-Main[[#This Row],[Revised Due Date]],""))</f>
        <v/>
      </c>
      <c r="I1293" s="139" t="s">
        <v>4</v>
      </c>
      <c r="J1293" s="139" t="s">
        <v>4</v>
      </c>
      <c r="K1293" s="139" t="s">
        <v>4</v>
      </c>
      <c r="L1293" s="129"/>
      <c r="M1293" s="114" t="str">
        <f>IF(Main[[#This Row],[Tech Start Date]]&lt;1/1/1990,"",IF(Main[[#This Row],[Class]]="C",WORKDAY(Main[[#This Row],[Tech Start Date]],9),IF(Main[[#This Row],[Class]]="B", WORKDAY(Main[[#This Row],[Tech Start Date]],6),IF(Main[[#This Row],[Class]]="A",WORKDAY(Main[[#This Row],[Tech Start Date]],2),""))))</f>
        <v/>
      </c>
      <c r="N1293" s="114" t="str">
        <f>IF(Main[[#This Row],[Tech Start Date]]&lt;1/1/1990,"",IF(Main[[#This Row],[Class]]="C",WORKDAY(Main[[#This Row],[Tech Start Date]],19),IF(Main[[#This Row],[Class]]="B", WORKDAY(Main[[#This Row],[Tech Start Date]],12),IF(Main[[#This Row],[Class]]="A",WORKDAY(Main[[#This Row],[Tech Start Date]],4),""))))</f>
        <v/>
      </c>
      <c r="O1293" s="114" t="str">
        <f>IF(Main[[#This Row],[Tech Start Date]]&lt;1/1/1990,"",IF(Main[[#This Row],[Class]]="C",WORKDAY(Main[[#This Row],[Tech Start Date]],23),IF(Main[[#This Row],[Class]]="B", WORKDAY(Main[[#This Row],[Tech Start Date]],15),IF(Main[[#This Row],[Class]]="A",WORKDAY(Main[[#This Row],[Tech Start Date]],5),""))))</f>
        <v/>
      </c>
      <c r="P1293" s="114" t="str">
        <f>IF(Main[[#This Row],[Tech Start Date]]&lt;1/1/1990,"",IF(Main[[#This Row],[Class]]="C",WORKDAY(Main[[#This Row],[Tech Start Date]],28),IF(Main[[#This Row],[Class]]="B", WORKDAY(Main[[#This Row],[Tech Start Date]],19),IF(Main[[#This Row],[Class]]="A",WORKDAY(Main[[#This Row],[Tech Start Date]],9),""))))</f>
        <v/>
      </c>
      <c r="Q1293" s="129">
        <v>40940</v>
      </c>
      <c r="R1293" s="129"/>
      <c r="S1293" s="139" t="s">
        <v>11</v>
      </c>
      <c r="T1293" s="115" t="s">
        <v>4</v>
      </c>
      <c r="U1293" s="139" t="s">
        <v>12</v>
      </c>
      <c r="V1293" s="139" t="s">
        <v>1917</v>
      </c>
      <c r="W1293" s="139" t="s">
        <v>1925</v>
      </c>
      <c r="X1293" s="139" t="s">
        <v>2846</v>
      </c>
      <c r="Y1293" s="112" t="s">
        <v>4</v>
      </c>
      <c r="Z1293" s="112" t="s">
        <v>4</v>
      </c>
      <c r="AA1293" s="139" t="s">
        <v>2846</v>
      </c>
    </row>
    <row r="1294" spans="1:27" ht="17.25" customHeight="1">
      <c r="A1294" s="69" t="str">
        <f>IF(priority(Main[[#This Row],[Comments]])&lt;&gt;0, priority(Main[[#This Row],[Comments]]),"")</f>
        <v/>
      </c>
      <c r="B1294" s="63" t="s">
        <v>3308</v>
      </c>
      <c r="C1294" s="148" t="s">
        <v>4</v>
      </c>
      <c r="D1294" s="113" t="s">
        <v>3309</v>
      </c>
      <c r="E1294" s="129">
        <v>40933.744606481479</v>
      </c>
      <c r="F1294" s="129"/>
      <c r="G1294" s="69" t="str">
        <f>IF(stdProdLT(Main[[#This Row],[Comments]])=0.1,"N/A",IF(stdProdLT(Main[[#This Row],[Comments]])=0,"",stdProdLT(Main[[#This Row],[Comments]])))</f>
        <v/>
      </c>
      <c r="H1294" s="138" t="str">
        <f>IF(Main[[#This Row],[In Stock Date]]="N/A", "N/A",IF(AND(Main[[#This Row],[In Stock Date]]&lt;&gt;"",Main[[#This Row],[Revised Due Date]]&lt;&gt;"",Main[[#This Row],[In Stock Date]]&lt;&gt;""),Main[[#This Row],[In Stock Date]]-Main[[#This Row],[Revised Due Date]],""))</f>
        <v/>
      </c>
      <c r="I1294" s="139" t="s">
        <v>4</v>
      </c>
      <c r="J1294" s="139" t="s">
        <v>28</v>
      </c>
      <c r="K1294" s="139" t="s">
        <v>1923</v>
      </c>
      <c r="L1294" s="129"/>
      <c r="M1294" s="114" t="str">
        <f>IF(Main[[#This Row],[Tech Start Date]]&lt;1/1/1990,"",IF(Main[[#This Row],[Class]]="C",WORKDAY(Main[[#This Row],[Tech Start Date]],9),IF(Main[[#This Row],[Class]]="B", WORKDAY(Main[[#This Row],[Tech Start Date]],6),IF(Main[[#This Row],[Class]]="A",WORKDAY(Main[[#This Row],[Tech Start Date]],2),""))))</f>
        <v/>
      </c>
      <c r="N1294" s="114" t="str">
        <f>IF(Main[[#This Row],[Tech Start Date]]&lt;1/1/1990,"",IF(Main[[#This Row],[Class]]="C",WORKDAY(Main[[#This Row],[Tech Start Date]],19),IF(Main[[#This Row],[Class]]="B", WORKDAY(Main[[#This Row],[Tech Start Date]],12),IF(Main[[#This Row],[Class]]="A",WORKDAY(Main[[#This Row],[Tech Start Date]],4),""))))</f>
        <v/>
      </c>
      <c r="O1294" s="114" t="str">
        <f>IF(Main[[#This Row],[Tech Start Date]]&lt;1/1/1990,"",IF(Main[[#This Row],[Class]]="C",WORKDAY(Main[[#This Row],[Tech Start Date]],23),IF(Main[[#This Row],[Class]]="B", WORKDAY(Main[[#This Row],[Tech Start Date]],15),IF(Main[[#This Row],[Class]]="A",WORKDAY(Main[[#This Row],[Tech Start Date]],5),""))))</f>
        <v/>
      </c>
      <c r="P1294" s="114" t="str">
        <f>IF(Main[[#This Row],[Tech Start Date]]&lt;1/1/1990,"",IF(Main[[#This Row],[Class]]="C",WORKDAY(Main[[#This Row],[Tech Start Date]],28),IF(Main[[#This Row],[Class]]="B", WORKDAY(Main[[#This Row],[Tech Start Date]],19),IF(Main[[#This Row],[Class]]="A",WORKDAY(Main[[#This Row],[Tech Start Date]],9),""))))</f>
        <v/>
      </c>
      <c r="Q1294" s="129">
        <v>40934</v>
      </c>
      <c r="R1294" s="129"/>
      <c r="S1294" s="139" t="s">
        <v>6</v>
      </c>
      <c r="T1294" s="115" t="s">
        <v>4</v>
      </c>
      <c r="U1294" s="139" t="s">
        <v>29</v>
      </c>
      <c r="V1294" s="139" t="s">
        <v>1914</v>
      </c>
      <c r="W1294" s="139" t="s">
        <v>1918</v>
      </c>
      <c r="X1294" s="139" t="s">
        <v>2895</v>
      </c>
      <c r="Y1294" s="112" t="s">
        <v>3060</v>
      </c>
      <c r="Z1294" s="112" t="s">
        <v>4</v>
      </c>
      <c r="AA1294" s="139" t="s">
        <v>2895</v>
      </c>
    </row>
    <row r="1295" spans="1:27" ht="17.25" customHeight="1">
      <c r="A1295" s="69" t="str">
        <f>IF(priority(Main[[#This Row],[Comments]])&lt;&gt;0, priority(Main[[#This Row],[Comments]]),"")</f>
        <v/>
      </c>
      <c r="B1295" s="63" t="s">
        <v>3572</v>
      </c>
      <c r="C1295" s="148" t="s">
        <v>4</v>
      </c>
      <c r="D1295" s="113" t="s">
        <v>3721</v>
      </c>
      <c r="E1295" s="129">
        <v>40952.339131944442</v>
      </c>
      <c r="F1295" s="129"/>
      <c r="G1295" s="69" t="str">
        <f>IF(stdProdLT(Main[[#This Row],[Comments]])=0.1,"N/A",IF(stdProdLT(Main[[#This Row],[Comments]])=0,"",stdProdLT(Main[[#This Row],[Comments]])))</f>
        <v/>
      </c>
      <c r="H1295" s="138" t="str">
        <f>IF(Main[[#This Row],[In Stock Date]]="N/A", "N/A",IF(AND(Main[[#This Row],[In Stock Date]]&lt;&gt;"",Main[[#This Row],[Revised Due Date]]&lt;&gt;"",Main[[#This Row],[In Stock Date]]&lt;&gt;""),Main[[#This Row],[In Stock Date]]-Main[[#This Row],[Revised Due Date]],""))</f>
        <v/>
      </c>
      <c r="I1295" s="139" t="s">
        <v>69</v>
      </c>
      <c r="J1295" s="139" t="s">
        <v>70</v>
      </c>
      <c r="K1295" s="139" t="s">
        <v>1923</v>
      </c>
      <c r="L1295" s="129"/>
      <c r="M1295" s="114" t="str">
        <f>IF(Main[[#This Row],[Tech Start Date]]&lt;1/1/1990,"",IF(Main[[#This Row],[Class]]="C",WORKDAY(Main[[#This Row],[Tech Start Date]],9),IF(Main[[#This Row],[Class]]="B", WORKDAY(Main[[#This Row],[Tech Start Date]],6),IF(Main[[#This Row],[Class]]="A",WORKDAY(Main[[#This Row],[Tech Start Date]],2),""))))</f>
        <v/>
      </c>
      <c r="N1295" s="114" t="str">
        <f>IF(Main[[#This Row],[Tech Start Date]]&lt;1/1/1990,"",IF(Main[[#This Row],[Class]]="C",WORKDAY(Main[[#This Row],[Tech Start Date]],19),IF(Main[[#This Row],[Class]]="B", WORKDAY(Main[[#This Row],[Tech Start Date]],12),IF(Main[[#This Row],[Class]]="A",WORKDAY(Main[[#This Row],[Tech Start Date]],4),""))))</f>
        <v/>
      </c>
      <c r="O1295" s="114" t="str">
        <f>IF(Main[[#This Row],[Tech Start Date]]&lt;1/1/1990,"",IF(Main[[#This Row],[Class]]="C",WORKDAY(Main[[#This Row],[Tech Start Date]],23),IF(Main[[#This Row],[Class]]="B", WORKDAY(Main[[#This Row],[Tech Start Date]],15),IF(Main[[#This Row],[Class]]="A",WORKDAY(Main[[#This Row],[Tech Start Date]],5),""))))</f>
        <v/>
      </c>
      <c r="P1295" s="114" t="str">
        <f>IF(Main[[#This Row],[Tech Start Date]]&lt;1/1/1990,"",IF(Main[[#This Row],[Class]]="C",WORKDAY(Main[[#This Row],[Tech Start Date]],28),IF(Main[[#This Row],[Class]]="B", WORKDAY(Main[[#This Row],[Tech Start Date]],19),IF(Main[[#This Row],[Class]]="A",WORKDAY(Main[[#This Row],[Tech Start Date]],9),""))))</f>
        <v/>
      </c>
      <c r="Q1295" s="129">
        <v>40984</v>
      </c>
      <c r="R1295" s="129"/>
      <c r="S1295" s="139" t="s">
        <v>6</v>
      </c>
      <c r="T1295" s="115" t="s">
        <v>4</v>
      </c>
      <c r="U1295" s="139" t="s">
        <v>29</v>
      </c>
      <c r="V1295" s="139" t="s">
        <v>1917</v>
      </c>
      <c r="W1295" s="139" t="s">
        <v>1918</v>
      </c>
      <c r="X1295" s="139" t="s">
        <v>2903</v>
      </c>
      <c r="Y1295" s="112" t="s">
        <v>3083</v>
      </c>
      <c r="Z1295" s="112" t="s">
        <v>30</v>
      </c>
      <c r="AA1295" s="139" t="s">
        <v>2903</v>
      </c>
    </row>
    <row r="1296" spans="1:27" ht="17.25" customHeight="1">
      <c r="A1296" s="69" t="str">
        <f>IF(priority(Main[[#This Row],[Comments]])&lt;&gt;0, priority(Main[[#This Row],[Comments]]),"")</f>
        <v/>
      </c>
      <c r="B1296" s="63" t="s">
        <v>1848</v>
      </c>
      <c r="C1296" s="148" t="s">
        <v>4</v>
      </c>
      <c r="D1296" s="113" t="s">
        <v>904</v>
      </c>
      <c r="E1296" s="129">
        <v>39968.569513888891</v>
      </c>
      <c r="F1296" s="129">
        <v>40298</v>
      </c>
      <c r="G1296" s="69" t="str">
        <f>IF(stdProdLT(Main[[#This Row],[Comments]])=0.1,"N/A",IF(stdProdLT(Main[[#This Row],[Comments]])=0,"",stdProdLT(Main[[#This Row],[Comments]])))</f>
        <v/>
      </c>
      <c r="H1296" s="138">
        <f>IF(Main[[#This Row],[In Stock Date]]="N/A", "N/A",IF(AND(Main[[#This Row],[In Stock Date]]&lt;&gt;"",Main[[#This Row],[Revised Due Date]]&lt;&gt;"",Main[[#This Row],[In Stock Date]]&lt;&gt;""),Main[[#This Row],[In Stock Date]]-Main[[#This Row],[Revised Due Date]],""))</f>
        <v>-704</v>
      </c>
      <c r="I1296" s="139" t="s">
        <v>974</v>
      </c>
      <c r="J1296" s="139" t="s">
        <v>4</v>
      </c>
      <c r="K1296" s="139" t="s">
        <v>1926</v>
      </c>
      <c r="L1296" s="129"/>
      <c r="M1296" s="114" t="str">
        <f>IF(Main[[#This Row],[Tech Start Date]]&lt;1/1/1990,"",IF(Main[[#This Row],[Class]]="C",WORKDAY(Main[[#This Row],[Tech Start Date]],9),IF(Main[[#This Row],[Class]]="B", WORKDAY(Main[[#This Row],[Tech Start Date]],6),IF(Main[[#This Row],[Class]]="A",WORKDAY(Main[[#This Row],[Tech Start Date]],2),""))))</f>
        <v/>
      </c>
      <c r="N1296" s="114" t="str">
        <f>IF(Main[[#This Row],[Tech Start Date]]&lt;1/1/1990,"",IF(Main[[#This Row],[Class]]="C",WORKDAY(Main[[#This Row],[Tech Start Date]],19),IF(Main[[#This Row],[Class]]="B", WORKDAY(Main[[#This Row],[Tech Start Date]],12),IF(Main[[#This Row],[Class]]="A",WORKDAY(Main[[#This Row],[Tech Start Date]],4),""))))</f>
        <v/>
      </c>
      <c r="O1296" s="114" t="str">
        <f>IF(Main[[#This Row],[Tech Start Date]]&lt;1/1/1990,"",IF(Main[[#This Row],[Class]]="C",WORKDAY(Main[[#This Row],[Tech Start Date]],23),IF(Main[[#This Row],[Class]]="B", WORKDAY(Main[[#This Row],[Tech Start Date]],15),IF(Main[[#This Row],[Class]]="A",WORKDAY(Main[[#This Row],[Tech Start Date]],5),""))))</f>
        <v/>
      </c>
      <c r="P1296" s="114" t="str">
        <f>IF(Main[[#This Row],[Tech Start Date]]&lt;1/1/1990,"",IF(Main[[#This Row],[Class]]="C",WORKDAY(Main[[#This Row],[Tech Start Date]],28),IF(Main[[#This Row],[Class]]="B", WORKDAY(Main[[#This Row],[Tech Start Date]],19),IF(Main[[#This Row],[Class]]="A",WORKDAY(Main[[#This Row],[Tech Start Date]],9),""))))</f>
        <v/>
      </c>
      <c r="Q1296" s="129">
        <v>40165</v>
      </c>
      <c r="R1296" s="129">
        <v>41002</v>
      </c>
      <c r="S1296" s="139" t="s">
        <v>17</v>
      </c>
      <c r="T1296" s="115" t="s">
        <v>4</v>
      </c>
      <c r="U1296" s="139" t="s">
        <v>29</v>
      </c>
      <c r="V1296" s="139" t="s">
        <v>1917</v>
      </c>
      <c r="W1296" s="139" t="s">
        <v>1919</v>
      </c>
      <c r="X1296" s="139" t="s">
        <v>968</v>
      </c>
      <c r="Y1296" s="112" t="s">
        <v>3115</v>
      </c>
      <c r="Z1296" s="112" t="s">
        <v>415</v>
      </c>
      <c r="AA1296" s="139" t="s">
        <v>968</v>
      </c>
    </row>
    <row r="1297" spans="1:27" ht="17.25" customHeight="1">
      <c r="A1297" s="69" t="str">
        <f>IF(priority(Main[[#This Row],[Comments]])&lt;&gt;0, priority(Main[[#This Row],[Comments]]),"")</f>
        <v/>
      </c>
      <c r="B1297" s="63" t="s">
        <v>1037</v>
      </c>
      <c r="C1297" s="148" t="s">
        <v>33</v>
      </c>
      <c r="D1297" s="113" t="s">
        <v>3724</v>
      </c>
      <c r="E1297" s="129">
        <v>40345.428090277775</v>
      </c>
      <c r="F1297" s="129"/>
      <c r="G1297" s="69" t="str">
        <f>IF(stdProdLT(Main[[#This Row],[Comments]])=0.1,"N/A",IF(stdProdLT(Main[[#This Row],[Comments]])=0,"",stdProdLT(Main[[#This Row],[Comments]])))</f>
        <v/>
      </c>
      <c r="H1297" s="138" t="str">
        <f>IF(Main[[#This Row],[In Stock Date]]="N/A", "N/A",IF(AND(Main[[#This Row],[In Stock Date]]&lt;&gt;"",Main[[#This Row],[Revised Due Date]]&lt;&gt;"",Main[[#This Row],[In Stock Date]]&lt;&gt;""),Main[[#This Row],[In Stock Date]]-Main[[#This Row],[Revised Due Date]],""))</f>
        <v/>
      </c>
      <c r="I1297" s="139" t="s">
        <v>969</v>
      </c>
      <c r="J1297" s="139" t="s">
        <v>28</v>
      </c>
      <c r="K1297" s="139" t="s">
        <v>4</v>
      </c>
      <c r="L1297" s="129"/>
      <c r="M1297" s="114" t="str">
        <f>IF(Main[[#This Row],[Tech Start Date]]&lt;1/1/1990,"",IF(Main[[#This Row],[Class]]="C",WORKDAY(Main[[#This Row],[Tech Start Date]],9),IF(Main[[#This Row],[Class]]="B", WORKDAY(Main[[#This Row],[Tech Start Date]],6),IF(Main[[#This Row],[Class]]="A",WORKDAY(Main[[#This Row],[Tech Start Date]],2),""))))</f>
        <v/>
      </c>
      <c r="N1297" s="114" t="str">
        <f>IF(Main[[#This Row],[Tech Start Date]]&lt;1/1/1990,"",IF(Main[[#This Row],[Class]]="C",WORKDAY(Main[[#This Row],[Tech Start Date]],19),IF(Main[[#This Row],[Class]]="B", WORKDAY(Main[[#This Row],[Tech Start Date]],12),IF(Main[[#This Row],[Class]]="A",WORKDAY(Main[[#This Row],[Tech Start Date]],4),""))))</f>
        <v/>
      </c>
      <c r="O1297" s="114" t="str">
        <f>IF(Main[[#This Row],[Tech Start Date]]&lt;1/1/1990,"",IF(Main[[#This Row],[Class]]="C",WORKDAY(Main[[#This Row],[Tech Start Date]],23),IF(Main[[#This Row],[Class]]="B", WORKDAY(Main[[#This Row],[Tech Start Date]],15),IF(Main[[#This Row],[Class]]="A",WORKDAY(Main[[#This Row],[Tech Start Date]],5),""))))</f>
        <v/>
      </c>
      <c r="P1297" s="114" t="str">
        <f>IF(Main[[#This Row],[Tech Start Date]]&lt;1/1/1990,"",IF(Main[[#This Row],[Class]]="C",WORKDAY(Main[[#This Row],[Tech Start Date]],28),IF(Main[[#This Row],[Class]]="B", WORKDAY(Main[[#This Row],[Tech Start Date]],19),IF(Main[[#This Row],[Class]]="A",WORKDAY(Main[[#This Row],[Tech Start Date]],9),""))))</f>
        <v/>
      </c>
      <c r="Q1297" s="129">
        <v>40384</v>
      </c>
      <c r="R1297" s="129">
        <v>41029</v>
      </c>
      <c r="S1297" s="139" t="s">
        <v>17</v>
      </c>
      <c r="T1297" s="115" t="s">
        <v>2320</v>
      </c>
      <c r="U1297" s="139" t="s">
        <v>29</v>
      </c>
      <c r="V1297" s="139" t="s">
        <v>1914</v>
      </c>
      <c r="W1297" s="139" t="s">
        <v>1919</v>
      </c>
      <c r="X1297" s="139" t="s">
        <v>2875</v>
      </c>
      <c r="Y1297" s="112" t="s">
        <v>3021</v>
      </c>
      <c r="Z1297" s="112" t="s">
        <v>129</v>
      </c>
      <c r="AA1297" s="139" t="s">
        <v>2875</v>
      </c>
    </row>
    <row r="1298" spans="1:27" ht="17.25" customHeight="1">
      <c r="A1298" s="69" t="str">
        <f>IF(priority(Main[[#This Row],[Comments]])&lt;&gt;0, priority(Main[[#This Row],[Comments]]),"")</f>
        <v/>
      </c>
      <c r="B1298" s="63" t="s">
        <v>3273</v>
      </c>
      <c r="C1298" s="148" t="s">
        <v>4</v>
      </c>
      <c r="D1298" s="113" t="s">
        <v>3725</v>
      </c>
      <c r="E1298" s="129">
        <v>40932.302083333336</v>
      </c>
      <c r="F1298" s="129"/>
      <c r="G1298" s="69" t="str">
        <f>IF(stdProdLT(Main[[#This Row],[Comments]])=0.1,"N/A",IF(stdProdLT(Main[[#This Row],[Comments]])=0,"",stdProdLT(Main[[#This Row],[Comments]])))</f>
        <v/>
      </c>
      <c r="H1298" s="138" t="str">
        <f>IF(Main[[#This Row],[In Stock Date]]="N/A", "N/A",IF(AND(Main[[#This Row],[In Stock Date]]&lt;&gt;"",Main[[#This Row],[Revised Due Date]]&lt;&gt;"",Main[[#This Row],[In Stock Date]]&lt;&gt;""),Main[[#This Row],[In Stock Date]]-Main[[#This Row],[Revised Due Date]],""))</f>
        <v/>
      </c>
      <c r="I1298" s="139" t="s">
        <v>69</v>
      </c>
      <c r="J1298" s="139" t="s">
        <v>70</v>
      </c>
      <c r="K1298" s="139" t="s">
        <v>1923</v>
      </c>
      <c r="L1298" s="129"/>
      <c r="M1298" s="114" t="str">
        <f>IF(Main[[#This Row],[Tech Start Date]]&lt;1/1/1990,"",IF(Main[[#This Row],[Class]]="C",WORKDAY(Main[[#This Row],[Tech Start Date]],9),IF(Main[[#This Row],[Class]]="B", WORKDAY(Main[[#This Row],[Tech Start Date]],6),IF(Main[[#This Row],[Class]]="A",WORKDAY(Main[[#This Row],[Tech Start Date]],2),""))))</f>
        <v/>
      </c>
      <c r="N1298" s="114" t="str">
        <f>IF(Main[[#This Row],[Tech Start Date]]&lt;1/1/1990,"",IF(Main[[#This Row],[Class]]="C",WORKDAY(Main[[#This Row],[Tech Start Date]],19),IF(Main[[#This Row],[Class]]="B", WORKDAY(Main[[#This Row],[Tech Start Date]],12),IF(Main[[#This Row],[Class]]="A",WORKDAY(Main[[#This Row],[Tech Start Date]],4),""))))</f>
        <v/>
      </c>
      <c r="O1298" s="114" t="str">
        <f>IF(Main[[#This Row],[Tech Start Date]]&lt;1/1/1990,"",IF(Main[[#This Row],[Class]]="C",WORKDAY(Main[[#This Row],[Tech Start Date]],23),IF(Main[[#This Row],[Class]]="B", WORKDAY(Main[[#This Row],[Tech Start Date]],15),IF(Main[[#This Row],[Class]]="A",WORKDAY(Main[[#This Row],[Tech Start Date]],5),""))))</f>
        <v/>
      </c>
      <c r="P1298" s="114" t="str">
        <f>IF(Main[[#This Row],[Tech Start Date]]&lt;1/1/1990,"",IF(Main[[#This Row],[Class]]="C",WORKDAY(Main[[#This Row],[Tech Start Date]],28),IF(Main[[#This Row],[Class]]="B", WORKDAY(Main[[#This Row],[Tech Start Date]],19),IF(Main[[#This Row],[Class]]="A",WORKDAY(Main[[#This Row],[Tech Start Date]],9),""))))</f>
        <v/>
      </c>
      <c r="Q1298" s="129">
        <v>40999</v>
      </c>
      <c r="R1298" s="129"/>
      <c r="S1298" s="139" t="s">
        <v>6</v>
      </c>
      <c r="T1298" s="115" t="s">
        <v>4</v>
      </c>
      <c r="U1298" s="139" t="s">
        <v>29</v>
      </c>
      <c r="V1298" s="139" t="s">
        <v>1917</v>
      </c>
      <c r="W1298" s="139" t="s">
        <v>1918</v>
      </c>
      <c r="X1298" s="139" t="s">
        <v>2903</v>
      </c>
      <c r="Y1298" s="112" t="s">
        <v>3083</v>
      </c>
      <c r="Z1298" s="112" t="s">
        <v>30</v>
      </c>
      <c r="AA1298" s="139" t="s">
        <v>2903</v>
      </c>
    </row>
    <row r="1299" spans="1:27" ht="17.25" customHeight="1">
      <c r="A1299" s="69" t="str">
        <f>IF(priority(Main[[#This Row],[Comments]])&lt;&gt;0, priority(Main[[#This Row],[Comments]]),"")</f>
        <v/>
      </c>
      <c r="B1299" s="63" t="s">
        <v>3726</v>
      </c>
      <c r="C1299" s="148" t="s">
        <v>4</v>
      </c>
      <c r="D1299" s="113" t="s">
        <v>3727</v>
      </c>
      <c r="E1299" s="129">
        <v>40961.570833333331</v>
      </c>
      <c r="F1299" s="129"/>
      <c r="G1299" s="69" t="str">
        <f>IF(stdProdLT(Main[[#This Row],[Comments]])=0.1,"N/A",IF(stdProdLT(Main[[#This Row],[Comments]])=0,"",stdProdLT(Main[[#This Row],[Comments]])))</f>
        <v/>
      </c>
      <c r="H1299" s="138" t="str">
        <f>IF(Main[[#This Row],[In Stock Date]]="N/A", "N/A",IF(AND(Main[[#This Row],[In Stock Date]]&lt;&gt;"",Main[[#This Row],[Revised Due Date]]&lt;&gt;"",Main[[#This Row],[In Stock Date]]&lt;&gt;""),Main[[#This Row],[In Stock Date]]-Main[[#This Row],[Revised Due Date]],""))</f>
        <v/>
      </c>
      <c r="I1299" s="139" t="s">
        <v>2051</v>
      </c>
      <c r="J1299" s="139" t="s">
        <v>28</v>
      </c>
      <c r="K1299" s="139" t="s">
        <v>1923</v>
      </c>
      <c r="L1299" s="129"/>
      <c r="M1299" s="114" t="str">
        <f>IF(Main[[#This Row],[Tech Start Date]]&lt;1/1/1990,"",IF(Main[[#This Row],[Class]]="C",WORKDAY(Main[[#This Row],[Tech Start Date]],9),IF(Main[[#This Row],[Class]]="B", WORKDAY(Main[[#This Row],[Tech Start Date]],6),IF(Main[[#This Row],[Class]]="A",WORKDAY(Main[[#This Row],[Tech Start Date]],2),""))))</f>
        <v/>
      </c>
      <c r="N1299" s="114" t="str">
        <f>IF(Main[[#This Row],[Tech Start Date]]&lt;1/1/1990,"",IF(Main[[#This Row],[Class]]="C",WORKDAY(Main[[#This Row],[Tech Start Date]],19),IF(Main[[#This Row],[Class]]="B", WORKDAY(Main[[#This Row],[Tech Start Date]],12),IF(Main[[#This Row],[Class]]="A",WORKDAY(Main[[#This Row],[Tech Start Date]],4),""))))</f>
        <v/>
      </c>
      <c r="O1299" s="114" t="str">
        <f>IF(Main[[#This Row],[Tech Start Date]]&lt;1/1/1990,"",IF(Main[[#This Row],[Class]]="C",WORKDAY(Main[[#This Row],[Tech Start Date]],23),IF(Main[[#This Row],[Class]]="B", WORKDAY(Main[[#This Row],[Tech Start Date]],15),IF(Main[[#This Row],[Class]]="A",WORKDAY(Main[[#This Row],[Tech Start Date]],5),""))))</f>
        <v/>
      </c>
      <c r="P1299" s="114" t="str">
        <f>IF(Main[[#This Row],[Tech Start Date]]&lt;1/1/1990,"",IF(Main[[#This Row],[Class]]="C",WORKDAY(Main[[#This Row],[Tech Start Date]],28),IF(Main[[#This Row],[Class]]="B", WORKDAY(Main[[#This Row],[Tech Start Date]],19),IF(Main[[#This Row],[Class]]="A",WORKDAY(Main[[#This Row],[Tech Start Date]],9),""))))</f>
        <v/>
      </c>
      <c r="Q1299" s="129"/>
      <c r="R1299" s="129"/>
      <c r="S1299" s="139" t="s">
        <v>6</v>
      </c>
      <c r="T1299" s="115" t="s">
        <v>4</v>
      </c>
      <c r="U1299" s="139" t="s">
        <v>29</v>
      </c>
      <c r="V1299" s="139" t="s">
        <v>1917</v>
      </c>
      <c r="W1299" s="139" t="s">
        <v>1918</v>
      </c>
      <c r="X1299" s="139" t="s">
        <v>2841</v>
      </c>
      <c r="Y1299" s="112" t="s">
        <v>2971</v>
      </c>
      <c r="Z1299" s="112" t="s">
        <v>30</v>
      </c>
      <c r="AA1299" s="139" t="s">
        <v>2841</v>
      </c>
    </row>
    <row r="1300" spans="1:27" ht="17.25" customHeight="1">
      <c r="A1300" s="69" t="str">
        <f>IF(priority(Main[[#This Row],[Comments]])&lt;&gt;0, priority(Main[[#This Row],[Comments]]),"")</f>
        <v/>
      </c>
      <c r="B1300" s="63" t="s">
        <v>3281</v>
      </c>
      <c r="C1300" s="148" t="s">
        <v>4</v>
      </c>
      <c r="D1300" s="113" t="s">
        <v>3728</v>
      </c>
      <c r="E1300" s="129">
        <v>40932.643865740742</v>
      </c>
      <c r="F1300" s="129"/>
      <c r="G1300" s="69" t="str">
        <f>IF(stdProdLT(Main[[#This Row],[Comments]])=0.1,"N/A",IF(stdProdLT(Main[[#This Row],[Comments]])=0,"",stdProdLT(Main[[#This Row],[Comments]])))</f>
        <v/>
      </c>
      <c r="H1300" s="138" t="str">
        <f>IF(Main[[#This Row],[In Stock Date]]="N/A", "N/A",IF(AND(Main[[#This Row],[In Stock Date]]&lt;&gt;"",Main[[#This Row],[Revised Due Date]]&lt;&gt;"",Main[[#This Row],[In Stock Date]]&lt;&gt;""),Main[[#This Row],[In Stock Date]]-Main[[#This Row],[Revised Due Date]],""))</f>
        <v/>
      </c>
      <c r="I1300" s="139" t="s">
        <v>69</v>
      </c>
      <c r="J1300" s="139" t="s">
        <v>4</v>
      </c>
      <c r="K1300" s="140" t="s">
        <v>4</v>
      </c>
      <c r="L1300" s="129"/>
      <c r="M1300" s="114" t="str">
        <f>IF(Main[[#This Row],[Tech Start Date]]&lt;1/1/1990,"",IF(Main[[#This Row],[Class]]="C",WORKDAY(Main[[#This Row],[Tech Start Date]],9),IF(Main[[#This Row],[Class]]="B", WORKDAY(Main[[#This Row],[Tech Start Date]],6),IF(Main[[#This Row],[Class]]="A",WORKDAY(Main[[#This Row],[Tech Start Date]],2),""))))</f>
        <v/>
      </c>
      <c r="N1300" s="114" t="str">
        <f>IF(Main[[#This Row],[Tech Start Date]]&lt;1/1/1990,"",IF(Main[[#This Row],[Class]]="C",WORKDAY(Main[[#This Row],[Tech Start Date]],19),IF(Main[[#This Row],[Class]]="B", WORKDAY(Main[[#This Row],[Tech Start Date]],12),IF(Main[[#This Row],[Class]]="A",WORKDAY(Main[[#This Row],[Tech Start Date]],4),""))))</f>
        <v/>
      </c>
      <c r="O1300" s="114" t="str">
        <f>IF(Main[[#This Row],[Tech Start Date]]&lt;1/1/1990,"",IF(Main[[#This Row],[Class]]="C",WORKDAY(Main[[#This Row],[Tech Start Date]],23),IF(Main[[#This Row],[Class]]="B", WORKDAY(Main[[#This Row],[Tech Start Date]],15),IF(Main[[#This Row],[Class]]="A",WORKDAY(Main[[#This Row],[Tech Start Date]],5),""))))</f>
        <v/>
      </c>
      <c r="P1300" s="114" t="str">
        <f>IF(Main[[#This Row],[Tech Start Date]]&lt;1/1/1990,"",IF(Main[[#This Row],[Class]]="C",WORKDAY(Main[[#This Row],[Tech Start Date]],28),IF(Main[[#This Row],[Class]]="B", WORKDAY(Main[[#This Row],[Tech Start Date]],19),IF(Main[[#This Row],[Class]]="A",WORKDAY(Main[[#This Row],[Tech Start Date]],9),""))))</f>
        <v/>
      </c>
      <c r="Q1300" s="129">
        <v>40968</v>
      </c>
      <c r="R1300" s="129"/>
      <c r="S1300" s="139" t="s">
        <v>6</v>
      </c>
      <c r="T1300" s="115" t="s">
        <v>4</v>
      </c>
      <c r="U1300" s="139" t="s">
        <v>29</v>
      </c>
      <c r="V1300" s="139" t="s">
        <v>1924</v>
      </c>
      <c r="W1300" s="139" t="s">
        <v>1918</v>
      </c>
      <c r="X1300" s="139" t="s">
        <v>2819</v>
      </c>
      <c r="Y1300" s="112" t="s">
        <v>2932</v>
      </c>
      <c r="Z1300" s="112" t="s">
        <v>30</v>
      </c>
      <c r="AA1300" s="139" t="s">
        <v>2819</v>
      </c>
    </row>
    <row r="1301" spans="1:27" ht="17.25" customHeight="1">
      <c r="A1301" s="69" t="str">
        <f>IF(priority(Main[[#This Row],[Comments]])&lt;&gt;0, priority(Main[[#This Row],[Comments]]),"")</f>
        <v/>
      </c>
      <c r="B1301" s="63" t="s">
        <v>3729</v>
      </c>
      <c r="C1301" s="148" t="s">
        <v>4</v>
      </c>
      <c r="D1301" s="113" t="s">
        <v>3730</v>
      </c>
      <c r="E1301" s="129">
        <v>40961.263599537036</v>
      </c>
      <c r="F1301" s="129"/>
      <c r="G1301" s="69" t="str">
        <f>IF(stdProdLT(Main[[#This Row],[Comments]])=0.1,"N/A",IF(stdProdLT(Main[[#This Row],[Comments]])=0,"",stdProdLT(Main[[#This Row],[Comments]])))</f>
        <v/>
      </c>
      <c r="H1301" s="138" t="str">
        <f>IF(Main[[#This Row],[In Stock Date]]="N/A", "N/A",IF(AND(Main[[#This Row],[In Stock Date]]&lt;&gt;"",Main[[#This Row],[Revised Due Date]]&lt;&gt;"",Main[[#This Row],[In Stock Date]]&lt;&gt;""),Main[[#This Row],[In Stock Date]]-Main[[#This Row],[Revised Due Date]],""))</f>
        <v/>
      </c>
      <c r="I1301" s="139" t="s">
        <v>4</v>
      </c>
      <c r="J1301" s="139" t="s">
        <v>4</v>
      </c>
      <c r="K1301" s="139" t="s">
        <v>4</v>
      </c>
      <c r="L1301" s="129"/>
      <c r="M1301" s="114" t="str">
        <f>IF(Main[[#This Row],[Tech Start Date]]&lt;1/1/1990,"",IF(Main[[#This Row],[Class]]="C",WORKDAY(Main[[#This Row],[Tech Start Date]],9),IF(Main[[#This Row],[Class]]="B", WORKDAY(Main[[#This Row],[Tech Start Date]],6),IF(Main[[#This Row],[Class]]="A",WORKDAY(Main[[#This Row],[Tech Start Date]],2),""))))</f>
        <v/>
      </c>
      <c r="N1301" s="114" t="str">
        <f>IF(Main[[#This Row],[Tech Start Date]]&lt;1/1/1990,"",IF(Main[[#This Row],[Class]]="C",WORKDAY(Main[[#This Row],[Tech Start Date]],19),IF(Main[[#This Row],[Class]]="B", WORKDAY(Main[[#This Row],[Tech Start Date]],12),IF(Main[[#This Row],[Class]]="A",WORKDAY(Main[[#This Row],[Tech Start Date]],4),""))))</f>
        <v/>
      </c>
      <c r="O1301" s="114" t="str">
        <f>IF(Main[[#This Row],[Tech Start Date]]&lt;1/1/1990,"",IF(Main[[#This Row],[Class]]="C",WORKDAY(Main[[#This Row],[Tech Start Date]],23),IF(Main[[#This Row],[Class]]="B", WORKDAY(Main[[#This Row],[Tech Start Date]],15),IF(Main[[#This Row],[Class]]="A",WORKDAY(Main[[#This Row],[Tech Start Date]],5),""))))</f>
        <v/>
      </c>
      <c r="P1301" s="114" t="str">
        <f>IF(Main[[#This Row],[Tech Start Date]]&lt;1/1/1990,"",IF(Main[[#This Row],[Class]]="C",WORKDAY(Main[[#This Row],[Tech Start Date]],28),IF(Main[[#This Row],[Class]]="B", WORKDAY(Main[[#This Row],[Tech Start Date]],19),IF(Main[[#This Row],[Class]]="A",WORKDAY(Main[[#This Row],[Tech Start Date]],9),""))))</f>
        <v/>
      </c>
      <c r="Q1301" s="129">
        <v>40990</v>
      </c>
      <c r="R1301" s="129"/>
      <c r="S1301" s="139" t="s">
        <v>6</v>
      </c>
      <c r="T1301" s="115" t="s">
        <v>4</v>
      </c>
      <c r="U1301" s="139" t="s">
        <v>7</v>
      </c>
      <c r="V1301" s="139" t="s">
        <v>1914</v>
      </c>
      <c r="W1301" s="139" t="s">
        <v>4</v>
      </c>
      <c r="X1301" s="139" t="s">
        <v>2822</v>
      </c>
      <c r="Y1301" s="112" t="s">
        <v>2938</v>
      </c>
      <c r="Z1301" s="112" t="s">
        <v>4</v>
      </c>
      <c r="AA1301" s="139" t="s">
        <v>2822</v>
      </c>
    </row>
    <row r="1302" spans="1:27" ht="17.25" customHeight="1">
      <c r="A1302" s="69" t="str">
        <f>IF(priority(Main[[#This Row],[Comments]])&lt;&gt;0, priority(Main[[#This Row],[Comments]]),"")</f>
        <v/>
      </c>
      <c r="B1302" s="63" t="s">
        <v>2676</v>
      </c>
      <c r="C1302" s="148" t="s">
        <v>4</v>
      </c>
      <c r="D1302" s="113" t="s">
        <v>3731</v>
      </c>
      <c r="E1302" s="129">
        <v>40882.142546296294</v>
      </c>
      <c r="F1302" s="129"/>
      <c r="G1302" s="69" t="str">
        <f>IF(stdProdLT(Main[[#This Row],[Comments]])=0.1,"N/A",IF(stdProdLT(Main[[#This Row],[Comments]])=0,"",stdProdLT(Main[[#This Row],[Comments]])))</f>
        <v/>
      </c>
      <c r="H1302" s="138" t="str">
        <f>IF(Main[[#This Row],[In Stock Date]]="N/A", "N/A",IF(AND(Main[[#This Row],[In Stock Date]]&lt;&gt;"",Main[[#This Row],[Revised Due Date]]&lt;&gt;"",Main[[#This Row],[In Stock Date]]&lt;&gt;""),Main[[#This Row],[In Stock Date]]-Main[[#This Row],[Revised Due Date]],""))</f>
        <v/>
      </c>
      <c r="I1302" s="139" t="s">
        <v>69</v>
      </c>
      <c r="J1302" s="139" t="s">
        <v>70</v>
      </c>
      <c r="K1302" s="139" t="s">
        <v>1923</v>
      </c>
      <c r="L1302" s="129"/>
      <c r="M1302" s="114" t="str">
        <f>IF(Main[[#This Row],[Tech Start Date]]&lt;1/1/1990,"",IF(Main[[#This Row],[Class]]="C",WORKDAY(Main[[#This Row],[Tech Start Date]],9),IF(Main[[#This Row],[Class]]="B", WORKDAY(Main[[#This Row],[Tech Start Date]],6),IF(Main[[#This Row],[Class]]="A",WORKDAY(Main[[#This Row],[Tech Start Date]],2),""))))</f>
        <v/>
      </c>
      <c r="N1302" s="114" t="str">
        <f>IF(Main[[#This Row],[Tech Start Date]]&lt;1/1/1990,"",IF(Main[[#This Row],[Class]]="C",WORKDAY(Main[[#This Row],[Tech Start Date]],19),IF(Main[[#This Row],[Class]]="B", WORKDAY(Main[[#This Row],[Tech Start Date]],12),IF(Main[[#This Row],[Class]]="A",WORKDAY(Main[[#This Row],[Tech Start Date]],4),""))))</f>
        <v/>
      </c>
      <c r="O1302" s="114" t="str">
        <f>IF(Main[[#This Row],[Tech Start Date]]&lt;1/1/1990,"",IF(Main[[#This Row],[Class]]="C",WORKDAY(Main[[#This Row],[Tech Start Date]],23),IF(Main[[#This Row],[Class]]="B", WORKDAY(Main[[#This Row],[Tech Start Date]],15),IF(Main[[#This Row],[Class]]="A",WORKDAY(Main[[#This Row],[Tech Start Date]],5),""))))</f>
        <v/>
      </c>
      <c r="P1302" s="114" t="str">
        <f>IF(Main[[#This Row],[Tech Start Date]]&lt;1/1/1990,"",IF(Main[[#This Row],[Class]]="C",WORKDAY(Main[[#This Row],[Tech Start Date]],28),IF(Main[[#This Row],[Class]]="B", WORKDAY(Main[[#This Row],[Tech Start Date]],19),IF(Main[[#This Row],[Class]]="A",WORKDAY(Main[[#This Row],[Tech Start Date]],9),""))))</f>
        <v/>
      </c>
      <c r="Q1302" s="129">
        <v>40913</v>
      </c>
      <c r="R1302" s="129"/>
      <c r="S1302" s="139" t="s">
        <v>6</v>
      </c>
      <c r="T1302" s="115" t="s">
        <v>4</v>
      </c>
      <c r="U1302" s="139" t="s">
        <v>29</v>
      </c>
      <c r="V1302" s="139" t="s">
        <v>1917</v>
      </c>
      <c r="W1302" s="139" t="s">
        <v>1918</v>
      </c>
      <c r="X1302" s="139" t="s">
        <v>2822</v>
      </c>
      <c r="Y1302" s="112" t="s">
        <v>2938</v>
      </c>
      <c r="Z1302" s="112" t="s">
        <v>30</v>
      </c>
      <c r="AA1302" s="139" t="s">
        <v>2822</v>
      </c>
    </row>
    <row r="1303" spans="1:27" ht="17.25" customHeight="1">
      <c r="A1303" s="69" t="str">
        <f>IF(priority(Main[[#This Row],[Comments]])&lt;&gt;0, priority(Main[[#This Row],[Comments]]),"")</f>
        <v/>
      </c>
      <c r="B1303" s="63" t="s">
        <v>2677</v>
      </c>
      <c r="C1303" s="148" t="s">
        <v>4</v>
      </c>
      <c r="D1303" s="113" t="s">
        <v>3732</v>
      </c>
      <c r="E1303" s="129">
        <v>40882.367037037038</v>
      </c>
      <c r="F1303" s="129"/>
      <c r="G1303" s="69" t="str">
        <f>IF(stdProdLT(Main[[#This Row],[Comments]])=0.1,"N/A",IF(stdProdLT(Main[[#This Row],[Comments]])=0,"",stdProdLT(Main[[#This Row],[Comments]])))</f>
        <v/>
      </c>
      <c r="H1303" s="138" t="str">
        <f>IF(Main[[#This Row],[In Stock Date]]="N/A", "N/A",IF(AND(Main[[#This Row],[In Stock Date]]&lt;&gt;"",Main[[#This Row],[Revised Due Date]]&lt;&gt;"",Main[[#This Row],[In Stock Date]]&lt;&gt;""),Main[[#This Row],[In Stock Date]]-Main[[#This Row],[Revised Due Date]],""))</f>
        <v/>
      </c>
      <c r="I1303" s="139" t="s">
        <v>69</v>
      </c>
      <c r="J1303" s="139" t="s">
        <v>70</v>
      </c>
      <c r="K1303" s="139" t="s">
        <v>1923</v>
      </c>
      <c r="L1303" s="129"/>
      <c r="M1303" s="114" t="str">
        <f>IF(Main[[#This Row],[Tech Start Date]]&lt;1/1/1990,"",IF(Main[[#This Row],[Class]]="C",WORKDAY(Main[[#This Row],[Tech Start Date]],9),IF(Main[[#This Row],[Class]]="B", WORKDAY(Main[[#This Row],[Tech Start Date]],6),IF(Main[[#This Row],[Class]]="A",WORKDAY(Main[[#This Row],[Tech Start Date]],2),""))))</f>
        <v/>
      </c>
      <c r="N1303" s="114" t="str">
        <f>IF(Main[[#This Row],[Tech Start Date]]&lt;1/1/1990,"",IF(Main[[#This Row],[Class]]="C",WORKDAY(Main[[#This Row],[Tech Start Date]],19),IF(Main[[#This Row],[Class]]="B", WORKDAY(Main[[#This Row],[Tech Start Date]],12),IF(Main[[#This Row],[Class]]="A",WORKDAY(Main[[#This Row],[Tech Start Date]],4),""))))</f>
        <v/>
      </c>
      <c r="O1303" s="114" t="str">
        <f>IF(Main[[#This Row],[Tech Start Date]]&lt;1/1/1990,"",IF(Main[[#This Row],[Class]]="C",WORKDAY(Main[[#This Row],[Tech Start Date]],23),IF(Main[[#This Row],[Class]]="B", WORKDAY(Main[[#This Row],[Tech Start Date]],15),IF(Main[[#This Row],[Class]]="A",WORKDAY(Main[[#This Row],[Tech Start Date]],5),""))))</f>
        <v/>
      </c>
      <c r="P1303" s="114" t="str">
        <f>IF(Main[[#This Row],[Tech Start Date]]&lt;1/1/1990,"",IF(Main[[#This Row],[Class]]="C",WORKDAY(Main[[#This Row],[Tech Start Date]],28),IF(Main[[#This Row],[Class]]="B", WORKDAY(Main[[#This Row],[Tech Start Date]],19),IF(Main[[#This Row],[Class]]="A",WORKDAY(Main[[#This Row],[Tech Start Date]],9),""))))</f>
        <v/>
      </c>
      <c r="Q1303" s="129">
        <v>40928</v>
      </c>
      <c r="R1303" s="129"/>
      <c r="S1303" s="139" t="s">
        <v>6</v>
      </c>
      <c r="T1303" s="115" t="s">
        <v>4</v>
      </c>
      <c r="U1303" s="139" t="s">
        <v>29</v>
      </c>
      <c r="V1303" s="139" t="s">
        <v>1917</v>
      </c>
      <c r="W1303" s="139" t="s">
        <v>1918</v>
      </c>
      <c r="X1303" s="139" t="s">
        <v>2818</v>
      </c>
      <c r="Y1303" s="112" t="s">
        <v>2929</v>
      </c>
      <c r="Z1303" s="112" t="s">
        <v>30</v>
      </c>
      <c r="AA1303" s="139" t="s">
        <v>2818</v>
      </c>
    </row>
    <row r="1304" spans="1:27" ht="17.25" customHeight="1">
      <c r="A1304" s="69" t="str">
        <f>IF(priority(Main[[#This Row],[Comments]])&lt;&gt;0, priority(Main[[#This Row],[Comments]]),"")</f>
        <v/>
      </c>
      <c r="B1304" s="63" t="s">
        <v>3733</v>
      </c>
      <c r="C1304" s="148" t="s">
        <v>79</v>
      </c>
      <c r="D1304" s="113" t="s">
        <v>3734</v>
      </c>
      <c r="E1304" s="129"/>
      <c r="F1304" s="129">
        <v>41004</v>
      </c>
      <c r="G1304" s="69" t="str">
        <f>IF(stdProdLT(Main[[#This Row],[Comments]])=0.1,"N/A",IF(stdProdLT(Main[[#This Row],[Comments]])=0,"",stdProdLT(Main[[#This Row],[Comments]])))</f>
        <v/>
      </c>
      <c r="H1304" s="138" t="str">
        <f>IF(Main[[#This Row],[In Stock Date]]="N/A", "N/A",IF(AND(Main[[#This Row],[In Stock Date]]&lt;&gt;"",Main[[#This Row],[Revised Due Date]]&lt;&gt;"",Main[[#This Row],[In Stock Date]]&lt;&gt;""),Main[[#This Row],[In Stock Date]]-Main[[#This Row],[Revised Due Date]],""))</f>
        <v/>
      </c>
      <c r="I1304" s="139" t="s">
        <v>4</v>
      </c>
      <c r="J1304" s="139" t="s">
        <v>4</v>
      </c>
      <c r="K1304" s="139" t="s">
        <v>4</v>
      </c>
      <c r="L1304" s="129"/>
      <c r="M1304" s="114" t="str">
        <f>IF(Main[[#This Row],[Tech Start Date]]&lt;1/1/1990,"",IF(Main[[#This Row],[Class]]="C",WORKDAY(Main[[#This Row],[Tech Start Date]],9),IF(Main[[#This Row],[Class]]="B", WORKDAY(Main[[#This Row],[Tech Start Date]],6),IF(Main[[#This Row],[Class]]="A",WORKDAY(Main[[#This Row],[Tech Start Date]],2),""))))</f>
        <v/>
      </c>
      <c r="N1304" s="114" t="str">
        <f>IF(Main[[#This Row],[Tech Start Date]]&lt;1/1/1990,"",IF(Main[[#This Row],[Class]]="C",WORKDAY(Main[[#This Row],[Tech Start Date]],19),IF(Main[[#This Row],[Class]]="B", WORKDAY(Main[[#This Row],[Tech Start Date]],12),IF(Main[[#This Row],[Class]]="A",WORKDAY(Main[[#This Row],[Tech Start Date]],4),""))))</f>
        <v/>
      </c>
      <c r="O1304" s="114" t="str">
        <f>IF(Main[[#This Row],[Tech Start Date]]&lt;1/1/1990,"",IF(Main[[#This Row],[Class]]="C",WORKDAY(Main[[#This Row],[Tech Start Date]],23),IF(Main[[#This Row],[Class]]="B", WORKDAY(Main[[#This Row],[Tech Start Date]],15),IF(Main[[#This Row],[Class]]="A",WORKDAY(Main[[#This Row],[Tech Start Date]],5),""))))</f>
        <v/>
      </c>
      <c r="P1304" s="114" t="str">
        <f>IF(Main[[#This Row],[Tech Start Date]]&lt;1/1/1990,"",IF(Main[[#This Row],[Class]]="C",WORKDAY(Main[[#This Row],[Tech Start Date]],28),IF(Main[[#This Row],[Class]]="B", WORKDAY(Main[[#This Row],[Tech Start Date]],19),IF(Main[[#This Row],[Class]]="A",WORKDAY(Main[[#This Row],[Tech Start Date]],9),""))))</f>
        <v/>
      </c>
      <c r="Q1304" s="129">
        <v>40960</v>
      </c>
      <c r="R1304" s="129"/>
      <c r="S1304" s="139" t="s">
        <v>11</v>
      </c>
      <c r="T1304" s="115" t="s">
        <v>4</v>
      </c>
      <c r="U1304" s="139" t="s">
        <v>12</v>
      </c>
      <c r="V1304" s="139" t="s">
        <v>1914</v>
      </c>
      <c r="W1304" s="139" t="s">
        <v>1920</v>
      </c>
      <c r="X1304" s="139" t="s">
        <v>2905</v>
      </c>
      <c r="Y1304" s="112" t="s">
        <v>2943</v>
      </c>
      <c r="Z1304" s="112" t="s">
        <v>4</v>
      </c>
      <c r="AA1304" s="139" t="s">
        <v>2824</v>
      </c>
    </row>
    <row r="1305" spans="1:27" ht="17.25" customHeight="1">
      <c r="A1305" s="69" t="str">
        <f>IF(priority(Main[[#This Row],[Comments]])&lt;&gt;0, priority(Main[[#This Row],[Comments]]),"")</f>
        <v/>
      </c>
      <c r="B1305" s="63" t="s">
        <v>3490</v>
      </c>
      <c r="C1305" s="148" t="s">
        <v>4</v>
      </c>
      <c r="D1305" s="113" t="s">
        <v>3491</v>
      </c>
      <c r="E1305" s="129"/>
      <c r="F1305" s="129"/>
      <c r="G1305" s="69" t="str">
        <f>IF(stdProdLT(Main[[#This Row],[Comments]])=0.1,"N/A",IF(stdProdLT(Main[[#This Row],[Comments]])=0,"",stdProdLT(Main[[#This Row],[Comments]])))</f>
        <v/>
      </c>
      <c r="H1305" s="138" t="str">
        <f>IF(Main[[#This Row],[In Stock Date]]="N/A", "N/A",IF(AND(Main[[#This Row],[In Stock Date]]&lt;&gt;"",Main[[#This Row],[Revised Due Date]]&lt;&gt;"",Main[[#This Row],[In Stock Date]]&lt;&gt;""),Main[[#This Row],[In Stock Date]]-Main[[#This Row],[Revised Due Date]],""))</f>
        <v/>
      </c>
      <c r="I1305" s="139" t="s">
        <v>530</v>
      </c>
      <c r="J1305" s="139" t="s">
        <v>28</v>
      </c>
      <c r="K1305" s="139" t="s">
        <v>1923</v>
      </c>
      <c r="L1305" s="129"/>
      <c r="M1305" s="114" t="str">
        <f>IF(Main[[#This Row],[Tech Start Date]]&lt;1/1/1990,"",IF(Main[[#This Row],[Class]]="C",WORKDAY(Main[[#This Row],[Tech Start Date]],9),IF(Main[[#This Row],[Class]]="B", WORKDAY(Main[[#This Row],[Tech Start Date]],6),IF(Main[[#This Row],[Class]]="A",WORKDAY(Main[[#This Row],[Tech Start Date]],2),""))))</f>
        <v/>
      </c>
      <c r="N1305" s="114" t="str">
        <f>IF(Main[[#This Row],[Tech Start Date]]&lt;1/1/1990,"",IF(Main[[#This Row],[Class]]="C",WORKDAY(Main[[#This Row],[Tech Start Date]],19),IF(Main[[#This Row],[Class]]="B", WORKDAY(Main[[#This Row],[Tech Start Date]],12),IF(Main[[#This Row],[Class]]="A",WORKDAY(Main[[#This Row],[Tech Start Date]],4),""))))</f>
        <v/>
      </c>
      <c r="O1305" s="114" t="str">
        <f>IF(Main[[#This Row],[Tech Start Date]]&lt;1/1/1990,"",IF(Main[[#This Row],[Class]]="C",WORKDAY(Main[[#This Row],[Tech Start Date]],23),IF(Main[[#This Row],[Class]]="B", WORKDAY(Main[[#This Row],[Tech Start Date]],15),IF(Main[[#This Row],[Class]]="A",WORKDAY(Main[[#This Row],[Tech Start Date]],5),""))))</f>
        <v/>
      </c>
      <c r="P1305" s="114" t="str">
        <f>IF(Main[[#This Row],[Tech Start Date]]&lt;1/1/1990,"",IF(Main[[#This Row],[Class]]="C",WORKDAY(Main[[#This Row],[Tech Start Date]],28),IF(Main[[#This Row],[Class]]="B", WORKDAY(Main[[#This Row],[Tech Start Date]],19),IF(Main[[#This Row],[Class]]="A",WORKDAY(Main[[#This Row],[Tech Start Date]],9),""))))</f>
        <v/>
      </c>
      <c r="Q1305" s="129">
        <v>40970</v>
      </c>
      <c r="R1305" s="129"/>
      <c r="S1305" s="139" t="s">
        <v>6</v>
      </c>
      <c r="T1305" s="115" t="s">
        <v>4</v>
      </c>
      <c r="U1305" s="139" t="s">
        <v>14</v>
      </c>
      <c r="V1305" s="139" t="s">
        <v>1917</v>
      </c>
      <c r="W1305" s="139" t="s">
        <v>1918</v>
      </c>
      <c r="X1305" s="139" t="s">
        <v>2822</v>
      </c>
      <c r="Y1305" s="112" t="s">
        <v>2938</v>
      </c>
      <c r="Z1305" s="112" t="s">
        <v>30</v>
      </c>
      <c r="AA1305" s="139" t="s">
        <v>2822</v>
      </c>
    </row>
    <row r="1306" spans="1:27" ht="17.25" customHeight="1">
      <c r="A1306" s="69" t="str">
        <f>IF(priority(Main[[#This Row],[Comments]])&lt;&gt;0, priority(Main[[#This Row],[Comments]]),"")</f>
        <v/>
      </c>
      <c r="B1306" s="63" t="s">
        <v>2740</v>
      </c>
      <c r="C1306" s="148" t="s">
        <v>4</v>
      </c>
      <c r="D1306" s="113" t="s">
        <v>2741</v>
      </c>
      <c r="E1306" s="129">
        <v>40897.524594907409</v>
      </c>
      <c r="F1306" s="129"/>
      <c r="G1306" s="69" t="str">
        <f>IF(stdProdLT(Main[[#This Row],[Comments]])=0.1,"N/A",IF(stdProdLT(Main[[#This Row],[Comments]])=0,"",stdProdLT(Main[[#This Row],[Comments]])))</f>
        <v/>
      </c>
      <c r="H1306" s="138" t="str">
        <f>IF(Main[[#This Row],[In Stock Date]]="N/A", "N/A",IF(AND(Main[[#This Row],[In Stock Date]]&lt;&gt;"",Main[[#This Row],[Revised Due Date]]&lt;&gt;"",Main[[#This Row],[In Stock Date]]&lt;&gt;""),Main[[#This Row],[In Stock Date]]-Main[[#This Row],[Revised Due Date]],""))</f>
        <v/>
      </c>
      <c r="I1306" s="139" t="s">
        <v>69</v>
      </c>
      <c r="J1306" s="139" t="s">
        <v>28</v>
      </c>
      <c r="K1306" s="139" t="s">
        <v>1923</v>
      </c>
      <c r="L1306" s="129"/>
      <c r="M1306" s="114" t="str">
        <f>IF(Main[[#This Row],[Tech Start Date]]&lt;1/1/1990,"",IF(Main[[#This Row],[Class]]="C",WORKDAY(Main[[#This Row],[Tech Start Date]],9),IF(Main[[#This Row],[Class]]="B", WORKDAY(Main[[#This Row],[Tech Start Date]],6),IF(Main[[#This Row],[Class]]="A",WORKDAY(Main[[#This Row],[Tech Start Date]],2),""))))</f>
        <v/>
      </c>
      <c r="N1306" s="114" t="str">
        <f>IF(Main[[#This Row],[Tech Start Date]]&lt;1/1/1990,"",IF(Main[[#This Row],[Class]]="C",WORKDAY(Main[[#This Row],[Tech Start Date]],19),IF(Main[[#This Row],[Class]]="B", WORKDAY(Main[[#This Row],[Tech Start Date]],12),IF(Main[[#This Row],[Class]]="A",WORKDAY(Main[[#This Row],[Tech Start Date]],4),""))))</f>
        <v/>
      </c>
      <c r="O1306" s="114" t="str">
        <f>IF(Main[[#This Row],[Tech Start Date]]&lt;1/1/1990,"",IF(Main[[#This Row],[Class]]="C",WORKDAY(Main[[#This Row],[Tech Start Date]],23),IF(Main[[#This Row],[Class]]="B", WORKDAY(Main[[#This Row],[Tech Start Date]],15),IF(Main[[#This Row],[Class]]="A",WORKDAY(Main[[#This Row],[Tech Start Date]],5),""))))</f>
        <v/>
      </c>
      <c r="P1306" s="114" t="str">
        <f>IF(Main[[#This Row],[Tech Start Date]]&lt;1/1/1990,"",IF(Main[[#This Row],[Class]]="C",WORKDAY(Main[[#This Row],[Tech Start Date]],28),IF(Main[[#This Row],[Class]]="B", WORKDAY(Main[[#This Row],[Tech Start Date]],19),IF(Main[[#This Row],[Class]]="A",WORKDAY(Main[[#This Row],[Tech Start Date]],9),""))))</f>
        <v/>
      </c>
      <c r="Q1306" s="129">
        <v>40966</v>
      </c>
      <c r="R1306" s="129"/>
      <c r="S1306" s="139" t="s">
        <v>6</v>
      </c>
      <c r="T1306" s="115" t="s">
        <v>4</v>
      </c>
      <c r="U1306" s="139" t="s">
        <v>29</v>
      </c>
      <c r="V1306" s="139" t="s">
        <v>1924</v>
      </c>
      <c r="W1306" s="139" t="s">
        <v>1918</v>
      </c>
      <c r="X1306" s="139" t="s">
        <v>2866</v>
      </c>
      <c r="Y1306" s="112" t="s">
        <v>3000</v>
      </c>
      <c r="Z1306" s="112" t="s">
        <v>30</v>
      </c>
      <c r="AA1306" s="139" t="s">
        <v>2866</v>
      </c>
    </row>
    <row r="1307" spans="1:27" ht="17.25" customHeight="1">
      <c r="A1307" s="69" t="str">
        <f>IF(priority(Main[[#This Row],[Comments]])&lt;&gt;0, priority(Main[[#This Row],[Comments]]),"")</f>
        <v/>
      </c>
      <c r="B1307" s="63" t="s">
        <v>2728</v>
      </c>
      <c r="C1307" s="148" t="s">
        <v>4</v>
      </c>
      <c r="D1307" s="113" t="s">
        <v>2729</v>
      </c>
      <c r="E1307" s="129"/>
      <c r="F1307" s="129"/>
      <c r="G1307" s="69" t="str">
        <f>IF(stdProdLT(Main[[#This Row],[Comments]])=0.1,"N/A",IF(stdProdLT(Main[[#This Row],[Comments]])=0,"",stdProdLT(Main[[#This Row],[Comments]])))</f>
        <v/>
      </c>
      <c r="H1307" s="138" t="str">
        <f>IF(Main[[#This Row],[In Stock Date]]="N/A", "N/A",IF(AND(Main[[#This Row],[In Stock Date]]&lt;&gt;"",Main[[#This Row],[Revised Due Date]]&lt;&gt;"",Main[[#This Row],[In Stock Date]]&lt;&gt;""),Main[[#This Row],[In Stock Date]]-Main[[#This Row],[Revised Due Date]],""))</f>
        <v/>
      </c>
      <c r="I1307" s="139" t="s">
        <v>4</v>
      </c>
      <c r="J1307" s="139" t="s">
        <v>4</v>
      </c>
      <c r="K1307" s="139" t="s">
        <v>4</v>
      </c>
      <c r="L1307" s="129"/>
      <c r="M1307" s="114" t="str">
        <f>IF(Main[[#This Row],[Tech Start Date]]&lt;1/1/1990,"",IF(Main[[#This Row],[Class]]="C",WORKDAY(Main[[#This Row],[Tech Start Date]],9),IF(Main[[#This Row],[Class]]="B", WORKDAY(Main[[#This Row],[Tech Start Date]],6),IF(Main[[#This Row],[Class]]="A",WORKDAY(Main[[#This Row],[Tech Start Date]],2),""))))</f>
        <v/>
      </c>
      <c r="N1307" s="114" t="str">
        <f>IF(Main[[#This Row],[Tech Start Date]]&lt;1/1/1990,"",IF(Main[[#This Row],[Class]]="C",WORKDAY(Main[[#This Row],[Tech Start Date]],19),IF(Main[[#This Row],[Class]]="B", WORKDAY(Main[[#This Row],[Tech Start Date]],12),IF(Main[[#This Row],[Class]]="A",WORKDAY(Main[[#This Row],[Tech Start Date]],4),""))))</f>
        <v/>
      </c>
      <c r="O1307" s="114" t="str">
        <f>IF(Main[[#This Row],[Tech Start Date]]&lt;1/1/1990,"",IF(Main[[#This Row],[Class]]="C",WORKDAY(Main[[#This Row],[Tech Start Date]],23),IF(Main[[#This Row],[Class]]="B", WORKDAY(Main[[#This Row],[Tech Start Date]],15),IF(Main[[#This Row],[Class]]="A",WORKDAY(Main[[#This Row],[Tech Start Date]],5),""))))</f>
        <v/>
      </c>
      <c r="P1307" s="114" t="str">
        <f>IF(Main[[#This Row],[Tech Start Date]]&lt;1/1/1990,"",IF(Main[[#This Row],[Class]]="C",WORKDAY(Main[[#This Row],[Tech Start Date]],28),IF(Main[[#This Row],[Class]]="B", WORKDAY(Main[[#This Row],[Tech Start Date]],19),IF(Main[[#This Row],[Class]]="A",WORKDAY(Main[[#This Row],[Tech Start Date]],9),""))))</f>
        <v/>
      </c>
      <c r="Q1307" s="129"/>
      <c r="R1307" s="129"/>
      <c r="S1307" s="139" t="s">
        <v>6</v>
      </c>
      <c r="T1307" s="115" t="s">
        <v>4</v>
      </c>
      <c r="U1307" s="139" t="s">
        <v>14</v>
      </c>
      <c r="V1307" s="139" t="s">
        <v>1914</v>
      </c>
      <c r="W1307" s="139" t="s">
        <v>1918</v>
      </c>
      <c r="X1307" s="139" t="s">
        <v>2902</v>
      </c>
      <c r="Y1307" s="112" t="s">
        <v>3081</v>
      </c>
      <c r="Z1307" s="112" t="s">
        <v>4</v>
      </c>
      <c r="AA1307" s="139" t="s">
        <v>2902</v>
      </c>
    </row>
    <row r="1308" spans="1:27" ht="17.25" customHeight="1">
      <c r="A1308" s="69" t="str">
        <f>IF(priority(Main[[#This Row],[Comments]])&lt;&gt;0, priority(Main[[#This Row],[Comments]]),"")</f>
        <v/>
      </c>
      <c r="B1308" s="63" t="s">
        <v>2782</v>
      </c>
      <c r="C1308" s="148" t="s">
        <v>4</v>
      </c>
      <c r="D1308" s="113" t="s">
        <v>2783</v>
      </c>
      <c r="E1308" s="129">
        <v>40913.323819444442</v>
      </c>
      <c r="F1308" s="129"/>
      <c r="G1308" s="69" t="str">
        <f>IF(stdProdLT(Main[[#This Row],[Comments]])=0.1,"N/A",IF(stdProdLT(Main[[#This Row],[Comments]])=0,"",stdProdLT(Main[[#This Row],[Comments]])))</f>
        <v/>
      </c>
      <c r="H1308" s="138" t="str">
        <f>IF(Main[[#This Row],[In Stock Date]]="N/A", "N/A",IF(AND(Main[[#This Row],[In Stock Date]]&lt;&gt;"",Main[[#This Row],[Revised Due Date]]&lt;&gt;"",Main[[#This Row],[In Stock Date]]&lt;&gt;""),Main[[#This Row],[In Stock Date]]-Main[[#This Row],[Revised Due Date]],""))</f>
        <v/>
      </c>
      <c r="I1308" s="139" t="s">
        <v>4</v>
      </c>
      <c r="J1308" s="139" t="s">
        <v>4</v>
      </c>
      <c r="K1308" s="139" t="s">
        <v>4</v>
      </c>
      <c r="L1308" s="129"/>
      <c r="M1308" s="114" t="str">
        <f>IF(Main[[#This Row],[Tech Start Date]]&lt;1/1/1990,"",IF(Main[[#This Row],[Class]]="C",WORKDAY(Main[[#This Row],[Tech Start Date]],9),IF(Main[[#This Row],[Class]]="B", WORKDAY(Main[[#This Row],[Tech Start Date]],6),IF(Main[[#This Row],[Class]]="A",WORKDAY(Main[[#This Row],[Tech Start Date]],2),""))))</f>
        <v/>
      </c>
      <c r="N1308" s="114" t="str">
        <f>IF(Main[[#This Row],[Tech Start Date]]&lt;1/1/1990,"",IF(Main[[#This Row],[Class]]="C",WORKDAY(Main[[#This Row],[Tech Start Date]],19),IF(Main[[#This Row],[Class]]="B", WORKDAY(Main[[#This Row],[Tech Start Date]],12),IF(Main[[#This Row],[Class]]="A",WORKDAY(Main[[#This Row],[Tech Start Date]],4),""))))</f>
        <v/>
      </c>
      <c r="O1308" s="114" t="str">
        <f>IF(Main[[#This Row],[Tech Start Date]]&lt;1/1/1990,"",IF(Main[[#This Row],[Class]]="C",WORKDAY(Main[[#This Row],[Tech Start Date]],23),IF(Main[[#This Row],[Class]]="B", WORKDAY(Main[[#This Row],[Tech Start Date]],15),IF(Main[[#This Row],[Class]]="A",WORKDAY(Main[[#This Row],[Tech Start Date]],5),""))))</f>
        <v/>
      </c>
      <c r="P1308" s="114" t="str">
        <f>IF(Main[[#This Row],[Tech Start Date]]&lt;1/1/1990,"",IF(Main[[#This Row],[Class]]="C",WORKDAY(Main[[#This Row],[Tech Start Date]],28),IF(Main[[#This Row],[Class]]="B", WORKDAY(Main[[#This Row],[Tech Start Date]],19),IF(Main[[#This Row],[Class]]="A",WORKDAY(Main[[#This Row],[Tech Start Date]],9),""))))</f>
        <v/>
      </c>
      <c r="Q1308" s="129">
        <v>40945</v>
      </c>
      <c r="R1308" s="129"/>
      <c r="S1308" s="139" t="s">
        <v>6</v>
      </c>
      <c r="T1308" s="115" t="s">
        <v>4</v>
      </c>
      <c r="U1308" s="139" t="s">
        <v>7</v>
      </c>
      <c r="V1308" s="139" t="s">
        <v>1914</v>
      </c>
      <c r="W1308" s="139" t="s">
        <v>4</v>
      </c>
      <c r="X1308" s="139" t="s">
        <v>2819</v>
      </c>
      <c r="Y1308" s="112" t="s">
        <v>2932</v>
      </c>
      <c r="Z1308" s="112" t="s">
        <v>4</v>
      </c>
      <c r="AA1308" s="139" t="s">
        <v>2819</v>
      </c>
    </row>
    <row r="1309" spans="1:27" ht="17.25" customHeight="1">
      <c r="A1309" s="69" t="str">
        <f>IF(priority(Main[[#This Row],[Comments]])&lt;&gt;0, priority(Main[[#This Row],[Comments]]),"")</f>
        <v/>
      </c>
      <c r="B1309" s="63" t="s">
        <v>2748</v>
      </c>
      <c r="C1309" s="148" t="s">
        <v>2749</v>
      </c>
      <c r="D1309" s="113" t="s">
        <v>3735</v>
      </c>
      <c r="E1309" s="129">
        <v>40883.362615740742</v>
      </c>
      <c r="F1309" s="129"/>
      <c r="G1309" s="69" t="str">
        <f>IF(stdProdLT(Main[[#This Row],[Comments]])=0.1,"N/A",IF(stdProdLT(Main[[#This Row],[Comments]])=0,"",stdProdLT(Main[[#This Row],[Comments]])))</f>
        <v/>
      </c>
      <c r="H1309" s="138" t="str">
        <f>IF(Main[[#This Row],[In Stock Date]]="N/A", "N/A",IF(AND(Main[[#This Row],[In Stock Date]]&lt;&gt;"",Main[[#This Row],[Revised Due Date]]&lt;&gt;"",Main[[#This Row],[In Stock Date]]&lt;&gt;""),Main[[#This Row],[In Stock Date]]-Main[[#This Row],[Revised Due Date]],""))</f>
        <v/>
      </c>
      <c r="I1309" s="139" t="s">
        <v>4</v>
      </c>
      <c r="J1309" s="139" t="s">
        <v>4</v>
      </c>
      <c r="K1309" s="139" t="s">
        <v>4</v>
      </c>
      <c r="L1309" s="129"/>
      <c r="M1309" s="114" t="str">
        <f>IF(Main[[#This Row],[Tech Start Date]]&lt;1/1/1990,"",IF(Main[[#This Row],[Class]]="C",WORKDAY(Main[[#This Row],[Tech Start Date]],9),IF(Main[[#This Row],[Class]]="B", WORKDAY(Main[[#This Row],[Tech Start Date]],6),IF(Main[[#This Row],[Class]]="A",WORKDAY(Main[[#This Row],[Tech Start Date]],2),""))))</f>
        <v/>
      </c>
      <c r="N1309" s="114" t="str">
        <f>IF(Main[[#This Row],[Tech Start Date]]&lt;1/1/1990,"",IF(Main[[#This Row],[Class]]="C",WORKDAY(Main[[#This Row],[Tech Start Date]],19),IF(Main[[#This Row],[Class]]="B", WORKDAY(Main[[#This Row],[Tech Start Date]],12),IF(Main[[#This Row],[Class]]="A",WORKDAY(Main[[#This Row],[Tech Start Date]],4),""))))</f>
        <v/>
      </c>
      <c r="O1309" s="114" t="str">
        <f>IF(Main[[#This Row],[Tech Start Date]]&lt;1/1/1990,"",IF(Main[[#This Row],[Class]]="C",WORKDAY(Main[[#This Row],[Tech Start Date]],23),IF(Main[[#This Row],[Class]]="B", WORKDAY(Main[[#This Row],[Tech Start Date]],15),IF(Main[[#This Row],[Class]]="A",WORKDAY(Main[[#This Row],[Tech Start Date]],5),""))))</f>
        <v/>
      </c>
      <c r="P1309" s="114" t="str">
        <f>IF(Main[[#This Row],[Tech Start Date]]&lt;1/1/1990,"",IF(Main[[#This Row],[Class]]="C",WORKDAY(Main[[#This Row],[Tech Start Date]],28),IF(Main[[#This Row],[Class]]="B", WORKDAY(Main[[#This Row],[Tech Start Date]],19),IF(Main[[#This Row],[Class]]="A",WORKDAY(Main[[#This Row],[Tech Start Date]],9),""))))</f>
        <v/>
      </c>
      <c r="Q1309" s="129"/>
      <c r="R1309" s="129"/>
      <c r="S1309" s="139" t="s">
        <v>17</v>
      </c>
      <c r="T1309" s="115" t="s">
        <v>4</v>
      </c>
      <c r="U1309" s="139" t="s">
        <v>7</v>
      </c>
      <c r="V1309" s="139" t="s">
        <v>1917</v>
      </c>
      <c r="W1309" s="139" t="s">
        <v>1919</v>
      </c>
      <c r="X1309" s="139" t="s">
        <v>652</v>
      </c>
      <c r="Y1309" s="112" t="s">
        <v>3126</v>
      </c>
      <c r="Z1309" s="112" t="s">
        <v>4</v>
      </c>
      <c r="AA1309" s="139" t="s">
        <v>652</v>
      </c>
    </row>
    <row r="1310" spans="1:27" ht="17.25" customHeight="1">
      <c r="A1310" s="69" t="str">
        <f>IF(priority(Main[[#This Row],[Comments]])&lt;&gt;0, priority(Main[[#This Row],[Comments]]),"")</f>
        <v/>
      </c>
      <c r="B1310" s="63" t="s">
        <v>1605</v>
      </c>
      <c r="C1310" s="148" t="s">
        <v>4</v>
      </c>
      <c r="D1310" s="113" t="s">
        <v>3736</v>
      </c>
      <c r="E1310" s="129">
        <v>40666.673935185187</v>
      </c>
      <c r="F1310" s="129"/>
      <c r="G1310" s="69" t="str">
        <f>IF(stdProdLT(Main[[#This Row],[Comments]])=0.1,"N/A",IF(stdProdLT(Main[[#This Row],[Comments]])=0,"",stdProdLT(Main[[#This Row],[Comments]])))</f>
        <v/>
      </c>
      <c r="H1310" s="138" t="str">
        <f>IF(Main[[#This Row],[In Stock Date]]="N/A", "N/A",IF(AND(Main[[#This Row],[In Stock Date]]&lt;&gt;"",Main[[#This Row],[Revised Due Date]]&lt;&gt;"",Main[[#This Row],[In Stock Date]]&lt;&gt;""),Main[[#This Row],[In Stock Date]]-Main[[#This Row],[Revised Due Date]],""))</f>
        <v/>
      </c>
      <c r="I1310" s="139" t="s">
        <v>2208</v>
      </c>
      <c r="J1310" s="139" t="s">
        <v>75</v>
      </c>
      <c r="K1310" s="139" t="s">
        <v>1923</v>
      </c>
      <c r="L1310" s="129"/>
      <c r="M1310" s="114" t="str">
        <f>IF(Main[[#This Row],[Tech Start Date]]&lt;1/1/1990,"",IF(Main[[#This Row],[Class]]="C",WORKDAY(Main[[#This Row],[Tech Start Date]],9),IF(Main[[#This Row],[Class]]="B", WORKDAY(Main[[#This Row],[Tech Start Date]],6),IF(Main[[#This Row],[Class]]="A",WORKDAY(Main[[#This Row],[Tech Start Date]],2),""))))</f>
        <v/>
      </c>
      <c r="N1310" s="114" t="str">
        <f>IF(Main[[#This Row],[Tech Start Date]]&lt;1/1/1990,"",IF(Main[[#This Row],[Class]]="C",WORKDAY(Main[[#This Row],[Tech Start Date]],19),IF(Main[[#This Row],[Class]]="B", WORKDAY(Main[[#This Row],[Tech Start Date]],12),IF(Main[[#This Row],[Class]]="A",WORKDAY(Main[[#This Row],[Tech Start Date]],4),""))))</f>
        <v/>
      </c>
      <c r="O1310" s="114" t="str">
        <f>IF(Main[[#This Row],[Tech Start Date]]&lt;1/1/1990,"",IF(Main[[#This Row],[Class]]="C",WORKDAY(Main[[#This Row],[Tech Start Date]],23),IF(Main[[#This Row],[Class]]="B", WORKDAY(Main[[#This Row],[Tech Start Date]],15),IF(Main[[#This Row],[Class]]="A",WORKDAY(Main[[#This Row],[Tech Start Date]],5),""))))</f>
        <v/>
      </c>
      <c r="P1310" s="114" t="str">
        <f>IF(Main[[#This Row],[Tech Start Date]]&lt;1/1/1990,"",IF(Main[[#This Row],[Class]]="C",WORKDAY(Main[[#This Row],[Tech Start Date]],28),IF(Main[[#This Row],[Class]]="B", WORKDAY(Main[[#This Row],[Tech Start Date]],19),IF(Main[[#This Row],[Class]]="A",WORKDAY(Main[[#This Row],[Tech Start Date]],9),""))))</f>
        <v/>
      </c>
      <c r="Q1310" s="129"/>
      <c r="R1310" s="129"/>
      <c r="S1310" s="139" t="s">
        <v>6</v>
      </c>
      <c r="T1310" s="115" t="s">
        <v>4</v>
      </c>
      <c r="U1310" s="139" t="s">
        <v>29</v>
      </c>
      <c r="V1310" s="139" t="s">
        <v>1917</v>
      </c>
      <c r="W1310" s="139" t="s">
        <v>1918</v>
      </c>
      <c r="X1310" s="139" t="s">
        <v>74</v>
      </c>
      <c r="Y1310" s="112" t="s">
        <v>3031</v>
      </c>
      <c r="Z1310" s="112" t="s">
        <v>415</v>
      </c>
      <c r="AA1310" s="139" t="s">
        <v>74</v>
      </c>
    </row>
    <row r="1311" spans="1:27" ht="17.25" customHeight="1">
      <c r="A1311" s="69" t="str">
        <f>IF(priority(Main[[#This Row],[Comments]])&lt;&gt;0, priority(Main[[#This Row],[Comments]]),"")</f>
        <v/>
      </c>
      <c r="B1311" s="63" t="s">
        <v>3737</v>
      </c>
      <c r="C1311" s="148" t="s">
        <v>2354</v>
      </c>
      <c r="D1311" s="113" t="s">
        <v>3738</v>
      </c>
      <c r="E1311" s="129"/>
      <c r="F1311" s="129">
        <v>41014</v>
      </c>
      <c r="G1311" s="69" t="str">
        <f>IF(stdProdLT(Main[[#This Row],[Comments]])=0.1,"N/A",IF(stdProdLT(Main[[#This Row],[Comments]])=0,"",stdProdLT(Main[[#This Row],[Comments]])))</f>
        <v/>
      </c>
      <c r="H1311" s="138" t="str">
        <f>IF(Main[[#This Row],[In Stock Date]]="N/A", "N/A",IF(AND(Main[[#This Row],[In Stock Date]]&lt;&gt;"",Main[[#This Row],[Revised Due Date]]&lt;&gt;"",Main[[#This Row],[In Stock Date]]&lt;&gt;""),Main[[#This Row],[In Stock Date]]-Main[[#This Row],[Revised Due Date]],""))</f>
        <v/>
      </c>
      <c r="I1311" s="139" t="s">
        <v>4</v>
      </c>
      <c r="J1311" s="139" t="s">
        <v>4</v>
      </c>
      <c r="K1311" s="139" t="s">
        <v>4</v>
      </c>
      <c r="L1311" s="129"/>
      <c r="M1311" s="114" t="str">
        <f>IF(Main[[#This Row],[Tech Start Date]]&lt;1/1/1990,"",IF(Main[[#This Row],[Class]]="C",WORKDAY(Main[[#This Row],[Tech Start Date]],9),IF(Main[[#This Row],[Class]]="B", WORKDAY(Main[[#This Row],[Tech Start Date]],6),IF(Main[[#This Row],[Class]]="A",WORKDAY(Main[[#This Row],[Tech Start Date]],2),""))))</f>
        <v/>
      </c>
      <c r="N1311" s="114" t="str">
        <f>IF(Main[[#This Row],[Tech Start Date]]&lt;1/1/1990,"",IF(Main[[#This Row],[Class]]="C",WORKDAY(Main[[#This Row],[Tech Start Date]],19),IF(Main[[#This Row],[Class]]="B", WORKDAY(Main[[#This Row],[Tech Start Date]],12),IF(Main[[#This Row],[Class]]="A",WORKDAY(Main[[#This Row],[Tech Start Date]],4),""))))</f>
        <v/>
      </c>
      <c r="O1311" s="114" t="str">
        <f>IF(Main[[#This Row],[Tech Start Date]]&lt;1/1/1990,"",IF(Main[[#This Row],[Class]]="C",WORKDAY(Main[[#This Row],[Tech Start Date]],23),IF(Main[[#This Row],[Class]]="B", WORKDAY(Main[[#This Row],[Tech Start Date]],15),IF(Main[[#This Row],[Class]]="A",WORKDAY(Main[[#This Row],[Tech Start Date]],5),""))))</f>
        <v/>
      </c>
      <c r="P1311" s="114" t="str">
        <f>IF(Main[[#This Row],[Tech Start Date]]&lt;1/1/1990,"",IF(Main[[#This Row],[Class]]="C",WORKDAY(Main[[#This Row],[Tech Start Date]],28),IF(Main[[#This Row],[Class]]="B", WORKDAY(Main[[#This Row],[Tech Start Date]],19),IF(Main[[#This Row],[Class]]="A",WORKDAY(Main[[#This Row],[Tech Start Date]],9),""))))</f>
        <v/>
      </c>
      <c r="Q1311" s="129">
        <v>40916</v>
      </c>
      <c r="R1311" s="129"/>
      <c r="S1311" s="139" t="s">
        <v>11</v>
      </c>
      <c r="T1311" s="115" t="s">
        <v>4</v>
      </c>
      <c r="U1311" s="139" t="s">
        <v>12</v>
      </c>
      <c r="V1311" s="139" t="s">
        <v>1924</v>
      </c>
      <c r="W1311" s="139" t="s">
        <v>1922</v>
      </c>
      <c r="X1311" s="139" t="s">
        <v>2843</v>
      </c>
      <c r="Y1311" s="112" t="s">
        <v>4</v>
      </c>
      <c r="Z1311" s="112" t="s">
        <v>4</v>
      </c>
      <c r="AA1311" s="139" t="s">
        <v>2843</v>
      </c>
    </row>
    <row r="1312" spans="1:27" ht="17.25" customHeight="1">
      <c r="A1312" s="69" t="str">
        <f>IF(priority(Main[[#This Row],[Comments]])&lt;&gt;0, priority(Main[[#This Row],[Comments]]),"")</f>
        <v/>
      </c>
      <c r="B1312" s="63" t="s">
        <v>3739</v>
      </c>
      <c r="C1312" s="148" t="s">
        <v>2354</v>
      </c>
      <c r="D1312" s="113" t="s">
        <v>3740</v>
      </c>
      <c r="E1312" s="129"/>
      <c r="F1312" s="129">
        <v>41014</v>
      </c>
      <c r="G1312" s="69" t="str">
        <f>IF(stdProdLT(Main[[#This Row],[Comments]])=0.1,"N/A",IF(stdProdLT(Main[[#This Row],[Comments]])=0,"",stdProdLT(Main[[#This Row],[Comments]])))</f>
        <v/>
      </c>
      <c r="H1312" s="138" t="str">
        <f>IF(Main[[#This Row],[In Stock Date]]="N/A", "N/A",IF(AND(Main[[#This Row],[In Stock Date]]&lt;&gt;"",Main[[#This Row],[Revised Due Date]]&lt;&gt;"",Main[[#This Row],[In Stock Date]]&lt;&gt;""),Main[[#This Row],[In Stock Date]]-Main[[#This Row],[Revised Due Date]],""))</f>
        <v/>
      </c>
      <c r="I1312" s="139" t="s">
        <v>4</v>
      </c>
      <c r="J1312" s="139" t="s">
        <v>4</v>
      </c>
      <c r="K1312" s="139" t="s">
        <v>4</v>
      </c>
      <c r="L1312" s="129"/>
      <c r="M1312" s="114" t="str">
        <f>IF(Main[[#This Row],[Tech Start Date]]&lt;1/1/1990,"",IF(Main[[#This Row],[Class]]="C",WORKDAY(Main[[#This Row],[Tech Start Date]],9),IF(Main[[#This Row],[Class]]="B", WORKDAY(Main[[#This Row],[Tech Start Date]],6),IF(Main[[#This Row],[Class]]="A",WORKDAY(Main[[#This Row],[Tech Start Date]],2),""))))</f>
        <v/>
      </c>
      <c r="N1312" s="114" t="str">
        <f>IF(Main[[#This Row],[Tech Start Date]]&lt;1/1/1990,"",IF(Main[[#This Row],[Class]]="C",WORKDAY(Main[[#This Row],[Tech Start Date]],19),IF(Main[[#This Row],[Class]]="B", WORKDAY(Main[[#This Row],[Tech Start Date]],12),IF(Main[[#This Row],[Class]]="A",WORKDAY(Main[[#This Row],[Tech Start Date]],4),""))))</f>
        <v/>
      </c>
      <c r="O1312" s="114" t="str">
        <f>IF(Main[[#This Row],[Tech Start Date]]&lt;1/1/1990,"",IF(Main[[#This Row],[Class]]="C",WORKDAY(Main[[#This Row],[Tech Start Date]],23),IF(Main[[#This Row],[Class]]="B", WORKDAY(Main[[#This Row],[Tech Start Date]],15),IF(Main[[#This Row],[Class]]="A",WORKDAY(Main[[#This Row],[Tech Start Date]],5),""))))</f>
        <v/>
      </c>
      <c r="P1312" s="114" t="str">
        <f>IF(Main[[#This Row],[Tech Start Date]]&lt;1/1/1990,"",IF(Main[[#This Row],[Class]]="C",WORKDAY(Main[[#This Row],[Tech Start Date]],28),IF(Main[[#This Row],[Class]]="B", WORKDAY(Main[[#This Row],[Tech Start Date]],19),IF(Main[[#This Row],[Class]]="A",WORKDAY(Main[[#This Row],[Tech Start Date]],9),""))))</f>
        <v/>
      </c>
      <c r="Q1312" s="129">
        <v>40916</v>
      </c>
      <c r="R1312" s="129"/>
      <c r="S1312" s="139" t="s">
        <v>11</v>
      </c>
      <c r="T1312" s="115" t="s">
        <v>4</v>
      </c>
      <c r="U1312" s="139" t="s">
        <v>12</v>
      </c>
      <c r="V1312" s="139" t="s">
        <v>1924</v>
      </c>
      <c r="W1312" s="139" t="s">
        <v>1919</v>
      </c>
      <c r="X1312" s="139" t="s">
        <v>2843</v>
      </c>
      <c r="Y1312" s="112" t="s">
        <v>4</v>
      </c>
      <c r="Z1312" s="112" t="s">
        <v>4</v>
      </c>
      <c r="AA1312" s="139" t="s">
        <v>2843</v>
      </c>
    </row>
    <row r="1313" spans="1:27" ht="17.25" customHeight="1">
      <c r="A1313" s="69" t="str">
        <f>IF(priority(Main[[#This Row],[Comments]])&lt;&gt;0, priority(Main[[#This Row],[Comments]]),"")</f>
        <v/>
      </c>
      <c r="B1313" s="63" t="s">
        <v>2543</v>
      </c>
      <c r="C1313" s="148" t="s">
        <v>4</v>
      </c>
      <c r="D1313" s="113" t="s">
        <v>2544</v>
      </c>
      <c r="E1313" s="129">
        <v>40834.332835648151</v>
      </c>
      <c r="F1313" s="129"/>
      <c r="G1313" s="69" t="str">
        <f>IF(stdProdLT(Main[[#This Row],[Comments]])=0.1,"N/A",IF(stdProdLT(Main[[#This Row],[Comments]])=0,"",stdProdLT(Main[[#This Row],[Comments]])))</f>
        <v/>
      </c>
      <c r="H1313" s="138" t="str">
        <f>IF(Main[[#This Row],[In Stock Date]]="N/A", "N/A",IF(AND(Main[[#This Row],[In Stock Date]]&lt;&gt;"",Main[[#This Row],[Revised Due Date]]&lt;&gt;"",Main[[#This Row],[In Stock Date]]&lt;&gt;""),Main[[#This Row],[In Stock Date]]-Main[[#This Row],[Revised Due Date]],""))</f>
        <v/>
      </c>
      <c r="I1313" s="139" t="s">
        <v>883</v>
      </c>
      <c r="J1313" s="139" t="s">
        <v>51</v>
      </c>
      <c r="K1313" s="139" t="s">
        <v>4</v>
      </c>
      <c r="L1313" s="129"/>
      <c r="M1313" s="114" t="str">
        <f>IF(Main[[#This Row],[Tech Start Date]]&lt;1/1/1990,"",IF(Main[[#This Row],[Class]]="C",WORKDAY(Main[[#This Row],[Tech Start Date]],9),IF(Main[[#This Row],[Class]]="B", WORKDAY(Main[[#This Row],[Tech Start Date]],6),IF(Main[[#This Row],[Class]]="A",WORKDAY(Main[[#This Row],[Tech Start Date]],2),""))))</f>
        <v/>
      </c>
      <c r="N1313" s="114" t="str">
        <f>IF(Main[[#This Row],[Tech Start Date]]&lt;1/1/1990,"",IF(Main[[#This Row],[Class]]="C",WORKDAY(Main[[#This Row],[Tech Start Date]],19),IF(Main[[#This Row],[Class]]="B", WORKDAY(Main[[#This Row],[Tech Start Date]],12),IF(Main[[#This Row],[Class]]="A",WORKDAY(Main[[#This Row],[Tech Start Date]],4),""))))</f>
        <v/>
      </c>
      <c r="O1313" s="114" t="str">
        <f>IF(Main[[#This Row],[Tech Start Date]]&lt;1/1/1990,"",IF(Main[[#This Row],[Class]]="C",WORKDAY(Main[[#This Row],[Tech Start Date]],23),IF(Main[[#This Row],[Class]]="B", WORKDAY(Main[[#This Row],[Tech Start Date]],15),IF(Main[[#This Row],[Class]]="A",WORKDAY(Main[[#This Row],[Tech Start Date]],5),""))))</f>
        <v/>
      </c>
      <c r="P1313" s="114" t="str">
        <f>IF(Main[[#This Row],[Tech Start Date]]&lt;1/1/1990,"",IF(Main[[#This Row],[Class]]="C",WORKDAY(Main[[#This Row],[Tech Start Date]],28),IF(Main[[#This Row],[Class]]="B", WORKDAY(Main[[#This Row],[Tech Start Date]],19),IF(Main[[#This Row],[Class]]="A",WORKDAY(Main[[#This Row],[Tech Start Date]],9),""))))</f>
        <v/>
      </c>
      <c r="Q1313" s="129"/>
      <c r="R1313" s="129"/>
      <c r="S1313" s="139" t="s">
        <v>6</v>
      </c>
      <c r="T1313" s="115" t="s">
        <v>4</v>
      </c>
      <c r="U1313" s="139" t="s">
        <v>29</v>
      </c>
      <c r="V1313" s="139" t="s">
        <v>1917</v>
      </c>
      <c r="W1313" s="139" t="s">
        <v>1918</v>
      </c>
      <c r="X1313" s="139" t="s">
        <v>399</v>
      </c>
      <c r="Y1313" s="112" t="s">
        <v>4</v>
      </c>
      <c r="Z1313" s="112" t="s">
        <v>4</v>
      </c>
      <c r="AA1313" s="139" t="s">
        <v>306</v>
      </c>
    </row>
    <row r="1314" spans="1:27" ht="17.25" customHeight="1">
      <c r="A1314" s="69" t="str">
        <f>IF(priority(Main[[#This Row],[Comments]])&lt;&gt;0, priority(Main[[#This Row],[Comments]]),"")</f>
        <v/>
      </c>
      <c r="B1314" s="63" t="s">
        <v>3741</v>
      </c>
      <c r="C1314" s="148" t="s">
        <v>148</v>
      </c>
      <c r="D1314" s="113" t="s">
        <v>3742</v>
      </c>
      <c r="E1314" s="129">
        <v>40967.383240740739</v>
      </c>
      <c r="F1314" s="129">
        <v>41096</v>
      </c>
      <c r="G1314" s="69" t="str">
        <f>IF(stdProdLT(Main[[#This Row],[Comments]])=0.1,"N/A",IF(stdProdLT(Main[[#This Row],[Comments]])=0,"",stdProdLT(Main[[#This Row],[Comments]])))</f>
        <v/>
      </c>
      <c r="H1314" s="138" t="str">
        <f>IF(Main[[#This Row],[In Stock Date]]="N/A", "N/A",IF(AND(Main[[#This Row],[In Stock Date]]&lt;&gt;"",Main[[#This Row],[Revised Due Date]]&lt;&gt;"",Main[[#This Row],[In Stock Date]]&lt;&gt;""),Main[[#This Row],[In Stock Date]]-Main[[#This Row],[Revised Due Date]],""))</f>
        <v/>
      </c>
      <c r="I1314" s="139" t="s">
        <v>4</v>
      </c>
      <c r="J1314" s="139" t="s">
        <v>4</v>
      </c>
      <c r="K1314" s="139" t="s">
        <v>4</v>
      </c>
      <c r="L1314" s="129"/>
      <c r="M1314" s="114" t="str">
        <f>IF(Main[[#This Row],[Tech Start Date]]&lt;1/1/1990,"",IF(Main[[#This Row],[Class]]="C",WORKDAY(Main[[#This Row],[Tech Start Date]],9),IF(Main[[#This Row],[Class]]="B", WORKDAY(Main[[#This Row],[Tech Start Date]],6),IF(Main[[#This Row],[Class]]="A",WORKDAY(Main[[#This Row],[Tech Start Date]],2),""))))</f>
        <v/>
      </c>
      <c r="N1314" s="114" t="str">
        <f>IF(Main[[#This Row],[Tech Start Date]]&lt;1/1/1990,"",IF(Main[[#This Row],[Class]]="C",WORKDAY(Main[[#This Row],[Tech Start Date]],19),IF(Main[[#This Row],[Class]]="B", WORKDAY(Main[[#This Row],[Tech Start Date]],12),IF(Main[[#This Row],[Class]]="A",WORKDAY(Main[[#This Row],[Tech Start Date]],4),""))))</f>
        <v/>
      </c>
      <c r="O1314" s="114" t="str">
        <f>IF(Main[[#This Row],[Tech Start Date]]&lt;1/1/1990,"",IF(Main[[#This Row],[Class]]="C",WORKDAY(Main[[#This Row],[Tech Start Date]],23),IF(Main[[#This Row],[Class]]="B", WORKDAY(Main[[#This Row],[Tech Start Date]],15),IF(Main[[#This Row],[Class]]="A",WORKDAY(Main[[#This Row],[Tech Start Date]],5),""))))</f>
        <v/>
      </c>
      <c r="P1314" s="114" t="str">
        <f>IF(Main[[#This Row],[Tech Start Date]]&lt;1/1/1990,"",IF(Main[[#This Row],[Class]]="C",WORKDAY(Main[[#This Row],[Tech Start Date]],28),IF(Main[[#This Row],[Class]]="B", WORKDAY(Main[[#This Row],[Tech Start Date]],19),IF(Main[[#This Row],[Class]]="A",WORKDAY(Main[[#This Row],[Tech Start Date]],9),""))))</f>
        <v/>
      </c>
      <c r="Q1314" s="129"/>
      <c r="R1314" s="129"/>
      <c r="S1314" s="139" t="s">
        <v>11</v>
      </c>
      <c r="T1314" s="115" t="s">
        <v>4</v>
      </c>
      <c r="U1314" s="139" t="s">
        <v>7</v>
      </c>
      <c r="V1314" s="139" t="s">
        <v>1917</v>
      </c>
      <c r="W1314" s="139" t="s">
        <v>1922</v>
      </c>
      <c r="X1314" s="139" t="s">
        <v>50</v>
      </c>
      <c r="Y1314" s="112" t="s">
        <v>3744</v>
      </c>
      <c r="Z1314" s="112" t="s">
        <v>4</v>
      </c>
      <c r="AA1314" s="139" t="s">
        <v>3743</v>
      </c>
    </row>
    <row r="1315" spans="1:27" ht="17.25" customHeight="1">
      <c r="A1315" s="69" t="str">
        <f>IF(priority(Main[[#This Row],[Comments]])&lt;&gt;0, priority(Main[[#This Row],[Comments]]),"")</f>
        <v/>
      </c>
      <c r="B1315" s="63" t="s">
        <v>2457</v>
      </c>
      <c r="C1315" s="148" t="s">
        <v>4</v>
      </c>
      <c r="D1315" s="113" t="s">
        <v>2458</v>
      </c>
      <c r="E1315" s="129">
        <v>40855.432083333333</v>
      </c>
      <c r="F1315" s="129">
        <v>40877</v>
      </c>
      <c r="G1315" s="69" t="str">
        <f>IF(stdProdLT(Main[[#This Row],[Comments]])=0.1,"N/A",IF(stdProdLT(Main[[#This Row],[Comments]])=0,"",stdProdLT(Main[[#This Row],[Comments]])))</f>
        <v/>
      </c>
      <c r="H1315" s="138" t="str">
        <f>IF(Main[[#This Row],[In Stock Date]]="N/A", "N/A",IF(AND(Main[[#This Row],[In Stock Date]]&lt;&gt;"",Main[[#This Row],[Revised Due Date]]&lt;&gt;"",Main[[#This Row],[In Stock Date]]&lt;&gt;""),Main[[#This Row],[In Stock Date]]-Main[[#This Row],[Revised Due Date]],""))</f>
        <v/>
      </c>
      <c r="I1315" s="139" t="s">
        <v>4</v>
      </c>
      <c r="J1315" s="139" t="s">
        <v>4</v>
      </c>
      <c r="K1315" s="140" t="s">
        <v>4</v>
      </c>
      <c r="L1315" s="129"/>
      <c r="M1315" s="114" t="str">
        <f>IF(Main[[#This Row],[Tech Start Date]]&lt;1/1/1990,"",IF(Main[[#This Row],[Class]]="C",WORKDAY(Main[[#This Row],[Tech Start Date]],9),IF(Main[[#This Row],[Class]]="B", WORKDAY(Main[[#This Row],[Tech Start Date]],6),IF(Main[[#This Row],[Class]]="A",WORKDAY(Main[[#This Row],[Tech Start Date]],2),""))))</f>
        <v/>
      </c>
      <c r="N1315" s="114" t="str">
        <f>IF(Main[[#This Row],[Tech Start Date]]&lt;1/1/1990,"",IF(Main[[#This Row],[Class]]="C",WORKDAY(Main[[#This Row],[Tech Start Date]],19),IF(Main[[#This Row],[Class]]="B", WORKDAY(Main[[#This Row],[Tech Start Date]],12),IF(Main[[#This Row],[Class]]="A",WORKDAY(Main[[#This Row],[Tech Start Date]],4),""))))</f>
        <v/>
      </c>
      <c r="O1315" s="114" t="str">
        <f>IF(Main[[#This Row],[Tech Start Date]]&lt;1/1/1990,"",IF(Main[[#This Row],[Class]]="C",WORKDAY(Main[[#This Row],[Tech Start Date]],23),IF(Main[[#This Row],[Class]]="B", WORKDAY(Main[[#This Row],[Tech Start Date]],15),IF(Main[[#This Row],[Class]]="A",WORKDAY(Main[[#This Row],[Tech Start Date]],5),""))))</f>
        <v/>
      </c>
      <c r="P1315" s="114" t="str">
        <f>IF(Main[[#This Row],[Tech Start Date]]&lt;1/1/1990,"",IF(Main[[#This Row],[Class]]="C",WORKDAY(Main[[#This Row],[Tech Start Date]],28),IF(Main[[#This Row],[Class]]="B", WORKDAY(Main[[#This Row],[Tech Start Date]],19),IF(Main[[#This Row],[Class]]="A",WORKDAY(Main[[#This Row],[Tech Start Date]],9),""))))</f>
        <v/>
      </c>
      <c r="Q1315" s="129">
        <v>40865</v>
      </c>
      <c r="R1315" s="129"/>
      <c r="S1315" s="139" t="s">
        <v>11</v>
      </c>
      <c r="T1315" s="115" t="s">
        <v>4</v>
      </c>
      <c r="U1315" s="139" t="s">
        <v>7</v>
      </c>
      <c r="V1315" s="139" t="s">
        <v>2283</v>
      </c>
      <c r="W1315" s="139" t="s">
        <v>1922</v>
      </c>
      <c r="X1315" s="139" t="s">
        <v>2913</v>
      </c>
      <c r="Y1315" s="112" t="s">
        <v>3136</v>
      </c>
      <c r="Z1315" s="112" t="s">
        <v>4</v>
      </c>
      <c r="AA1315" s="139" t="s">
        <v>3466</v>
      </c>
    </row>
    <row r="1316" spans="1:27" ht="17.25" customHeight="1">
      <c r="A1316" s="69" t="str">
        <f>IF(priority(Main[[#This Row],[Comments]])&lt;&gt;0, priority(Main[[#This Row],[Comments]]),"")</f>
        <v/>
      </c>
      <c r="B1316" s="63" t="s">
        <v>2484</v>
      </c>
      <c r="C1316" s="148" t="s">
        <v>4</v>
      </c>
      <c r="D1316" s="113" t="s">
        <v>2485</v>
      </c>
      <c r="E1316" s="129">
        <v>40864.625219907408</v>
      </c>
      <c r="F1316" s="129"/>
      <c r="G1316" s="69" t="str">
        <f>IF(stdProdLT(Main[[#This Row],[Comments]])=0.1,"N/A",IF(stdProdLT(Main[[#This Row],[Comments]])=0,"",stdProdLT(Main[[#This Row],[Comments]])))</f>
        <v/>
      </c>
      <c r="H1316" s="138" t="str">
        <f>IF(Main[[#This Row],[In Stock Date]]="N/A", "N/A",IF(AND(Main[[#This Row],[In Stock Date]]&lt;&gt;"",Main[[#This Row],[Revised Due Date]]&lt;&gt;"",Main[[#This Row],[In Stock Date]]&lt;&gt;""),Main[[#This Row],[In Stock Date]]-Main[[#This Row],[Revised Due Date]],""))</f>
        <v/>
      </c>
      <c r="I1316" s="139" t="s">
        <v>4</v>
      </c>
      <c r="J1316" s="139" t="s">
        <v>4</v>
      </c>
      <c r="K1316" s="139" t="s">
        <v>4</v>
      </c>
      <c r="L1316" s="129"/>
      <c r="M1316" s="114" t="str">
        <f>IF(Main[[#This Row],[Tech Start Date]]&lt;1/1/1990,"",IF(Main[[#This Row],[Class]]="C",WORKDAY(Main[[#This Row],[Tech Start Date]],9),IF(Main[[#This Row],[Class]]="B", WORKDAY(Main[[#This Row],[Tech Start Date]],6),IF(Main[[#This Row],[Class]]="A",WORKDAY(Main[[#This Row],[Tech Start Date]],2),""))))</f>
        <v/>
      </c>
      <c r="N1316" s="114" t="str">
        <f>IF(Main[[#This Row],[Tech Start Date]]&lt;1/1/1990,"",IF(Main[[#This Row],[Class]]="C",WORKDAY(Main[[#This Row],[Tech Start Date]],19),IF(Main[[#This Row],[Class]]="B", WORKDAY(Main[[#This Row],[Tech Start Date]],12),IF(Main[[#This Row],[Class]]="A",WORKDAY(Main[[#This Row],[Tech Start Date]],4),""))))</f>
        <v/>
      </c>
      <c r="O1316" s="114" t="str">
        <f>IF(Main[[#This Row],[Tech Start Date]]&lt;1/1/1990,"",IF(Main[[#This Row],[Class]]="C",WORKDAY(Main[[#This Row],[Tech Start Date]],23),IF(Main[[#This Row],[Class]]="B", WORKDAY(Main[[#This Row],[Tech Start Date]],15),IF(Main[[#This Row],[Class]]="A",WORKDAY(Main[[#This Row],[Tech Start Date]],5),""))))</f>
        <v/>
      </c>
      <c r="P1316" s="114" t="str">
        <f>IF(Main[[#This Row],[Tech Start Date]]&lt;1/1/1990,"",IF(Main[[#This Row],[Class]]="C",WORKDAY(Main[[#This Row],[Tech Start Date]],28),IF(Main[[#This Row],[Class]]="B", WORKDAY(Main[[#This Row],[Tech Start Date]],19),IF(Main[[#This Row],[Class]]="A",WORKDAY(Main[[#This Row],[Tech Start Date]],9),""))))</f>
        <v/>
      </c>
      <c r="Q1316" s="129"/>
      <c r="R1316" s="129"/>
      <c r="S1316" s="139" t="s">
        <v>17</v>
      </c>
      <c r="T1316" s="115" t="s">
        <v>4</v>
      </c>
      <c r="U1316" s="139" t="s">
        <v>7</v>
      </c>
      <c r="V1316" s="139" t="s">
        <v>1915</v>
      </c>
      <c r="W1316" s="139" t="s">
        <v>1918</v>
      </c>
      <c r="X1316" s="139" t="s">
        <v>2866</v>
      </c>
      <c r="Y1316" s="112" t="s">
        <v>3000</v>
      </c>
      <c r="Z1316" s="112" t="s">
        <v>4</v>
      </c>
      <c r="AA1316" s="139" t="s">
        <v>2866</v>
      </c>
    </row>
    <row r="1317" spans="1:27" ht="17.25" customHeight="1">
      <c r="A1317" s="69" t="str">
        <f>IF(priority(Main[[#This Row],[Comments]])&lt;&gt;0, priority(Main[[#This Row],[Comments]]),"")</f>
        <v/>
      </c>
      <c r="B1317" s="63" t="s">
        <v>2232</v>
      </c>
      <c r="C1317" s="148" t="s">
        <v>4</v>
      </c>
      <c r="D1317" s="113" t="s">
        <v>2571</v>
      </c>
      <c r="E1317" s="129">
        <v>40798.47016203704</v>
      </c>
      <c r="F1317" s="129"/>
      <c r="G1317" s="69" t="str">
        <f>IF(stdProdLT(Main[[#This Row],[Comments]])=0.1,"N/A",IF(stdProdLT(Main[[#This Row],[Comments]])=0,"",stdProdLT(Main[[#This Row],[Comments]])))</f>
        <v/>
      </c>
      <c r="H1317" s="138" t="str">
        <f>IF(Main[[#This Row],[In Stock Date]]="N/A", "N/A",IF(AND(Main[[#This Row],[In Stock Date]]&lt;&gt;"",Main[[#This Row],[Revised Due Date]]&lt;&gt;"",Main[[#This Row],[In Stock Date]]&lt;&gt;""),Main[[#This Row],[In Stock Date]]-Main[[#This Row],[Revised Due Date]],""))</f>
        <v/>
      </c>
      <c r="I1317" s="139" t="s">
        <v>130</v>
      </c>
      <c r="J1317" s="139" t="s">
        <v>28</v>
      </c>
      <c r="K1317" s="139" t="s">
        <v>1923</v>
      </c>
      <c r="L1317" s="129"/>
      <c r="M1317" s="114" t="str">
        <f>IF(Main[[#This Row],[Tech Start Date]]&lt;1/1/1990,"",IF(Main[[#This Row],[Class]]="C",WORKDAY(Main[[#This Row],[Tech Start Date]],9),IF(Main[[#This Row],[Class]]="B", WORKDAY(Main[[#This Row],[Tech Start Date]],6),IF(Main[[#This Row],[Class]]="A",WORKDAY(Main[[#This Row],[Tech Start Date]],2),""))))</f>
        <v/>
      </c>
      <c r="N1317" s="114" t="str">
        <f>IF(Main[[#This Row],[Tech Start Date]]&lt;1/1/1990,"",IF(Main[[#This Row],[Class]]="C",WORKDAY(Main[[#This Row],[Tech Start Date]],19),IF(Main[[#This Row],[Class]]="B", WORKDAY(Main[[#This Row],[Tech Start Date]],12),IF(Main[[#This Row],[Class]]="A",WORKDAY(Main[[#This Row],[Tech Start Date]],4),""))))</f>
        <v/>
      </c>
      <c r="O1317" s="114" t="str">
        <f>IF(Main[[#This Row],[Tech Start Date]]&lt;1/1/1990,"",IF(Main[[#This Row],[Class]]="C",WORKDAY(Main[[#This Row],[Tech Start Date]],23),IF(Main[[#This Row],[Class]]="B", WORKDAY(Main[[#This Row],[Tech Start Date]],15),IF(Main[[#This Row],[Class]]="A",WORKDAY(Main[[#This Row],[Tech Start Date]],5),""))))</f>
        <v/>
      </c>
      <c r="P1317" s="114" t="str">
        <f>IF(Main[[#This Row],[Tech Start Date]]&lt;1/1/1990,"",IF(Main[[#This Row],[Class]]="C",WORKDAY(Main[[#This Row],[Tech Start Date]],28),IF(Main[[#This Row],[Class]]="B", WORKDAY(Main[[#This Row],[Tech Start Date]],19),IF(Main[[#This Row],[Class]]="A",WORKDAY(Main[[#This Row],[Tech Start Date]],9),""))))</f>
        <v/>
      </c>
      <c r="Q1317" s="129">
        <v>40847</v>
      </c>
      <c r="R1317" s="129"/>
      <c r="S1317" s="139" t="s">
        <v>6</v>
      </c>
      <c r="T1317" s="115" t="s">
        <v>4</v>
      </c>
      <c r="U1317" s="139" t="s">
        <v>29</v>
      </c>
      <c r="V1317" s="139" t="s">
        <v>1917</v>
      </c>
      <c r="W1317" s="139" t="s">
        <v>1918</v>
      </c>
      <c r="X1317" s="139" t="s">
        <v>30</v>
      </c>
      <c r="Y1317" s="112" t="s">
        <v>3137</v>
      </c>
      <c r="Z1317" s="112" t="s">
        <v>30</v>
      </c>
      <c r="AA1317" s="139" t="s">
        <v>3467</v>
      </c>
    </row>
    <row r="1318" spans="1:27" ht="17.25" customHeight="1">
      <c r="A1318" s="69" t="str">
        <f>IF(priority(Main[[#This Row],[Comments]])&lt;&gt;0, priority(Main[[#This Row],[Comments]]),"")</f>
        <v/>
      </c>
      <c r="B1318" s="63" t="s">
        <v>1601</v>
      </c>
      <c r="C1318" s="148" t="s">
        <v>275</v>
      </c>
      <c r="D1318" s="113" t="s">
        <v>676</v>
      </c>
      <c r="E1318" s="129">
        <v>40500.611724537041</v>
      </c>
      <c r="F1318" s="129">
        <v>40444</v>
      </c>
      <c r="G1318" s="69" t="str">
        <f>IF(stdProdLT(Main[[#This Row],[Comments]])=0.1,"N/A",IF(stdProdLT(Main[[#This Row],[Comments]])=0,"",stdProdLT(Main[[#This Row],[Comments]])))</f>
        <v/>
      </c>
      <c r="H1318" s="138">
        <f>IF(Main[[#This Row],[In Stock Date]]="N/A", "N/A",IF(AND(Main[[#This Row],[In Stock Date]]&lt;&gt;"",Main[[#This Row],[Revised Due Date]]&lt;&gt;"",Main[[#This Row],[In Stock Date]]&lt;&gt;""),Main[[#This Row],[In Stock Date]]-Main[[#This Row],[Revised Due Date]],""))</f>
        <v>-349</v>
      </c>
      <c r="I1318" s="139" t="s">
        <v>4</v>
      </c>
      <c r="J1318" s="139" t="s">
        <v>4</v>
      </c>
      <c r="K1318" s="139" t="s">
        <v>4</v>
      </c>
      <c r="L1318" s="129"/>
      <c r="M1318" s="114" t="str">
        <f>IF(Main[[#This Row],[Tech Start Date]]&lt;1/1/1990,"",IF(Main[[#This Row],[Class]]="C",WORKDAY(Main[[#This Row],[Tech Start Date]],9),IF(Main[[#This Row],[Class]]="B", WORKDAY(Main[[#This Row],[Tech Start Date]],6),IF(Main[[#This Row],[Class]]="A",WORKDAY(Main[[#This Row],[Tech Start Date]],2),""))))</f>
        <v/>
      </c>
      <c r="N1318" s="114" t="str">
        <f>IF(Main[[#This Row],[Tech Start Date]]&lt;1/1/1990,"",IF(Main[[#This Row],[Class]]="C",WORKDAY(Main[[#This Row],[Tech Start Date]],19),IF(Main[[#This Row],[Class]]="B", WORKDAY(Main[[#This Row],[Tech Start Date]],12),IF(Main[[#This Row],[Class]]="A",WORKDAY(Main[[#This Row],[Tech Start Date]],4),""))))</f>
        <v/>
      </c>
      <c r="O1318" s="114" t="str">
        <f>IF(Main[[#This Row],[Tech Start Date]]&lt;1/1/1990,"",IF(Main[[#This Row],[Class]]="C",WORKDAY(Main[[#This Row],[Tech Start Date]],23),IF(Main[[#This Row],[Class]]="B", WORKDAY(Main[[#This Row],[Tech Start Date]],15),IF(Main[[#This Row],[Class]]="A",WORKDAY(Main[[#This Row],[Tech Start Date]],5),""))))</f>
        <v/>
      </c>
      <c r="P1318" s="114" t="str">
        <f>IF(Main[[#This Row],[Tech Start Date]]&lt;1/1/1990,"",IF(Main[[#This Row],[Class]]="C",WORKDAY(Main[[#This Row],[Tech Start Date]],28),IF(Main[[#This Row],[Class]]="B", WORKDAY(Main[[#This Row],[Tech Start Date]],19),IF(Main[[#This Row],[Class]]="A",WORKDAY(Main[[#This Row],[Tech Start Date]],9),""))))</f>
        <v/>
      </c>
      <c r="Q1318" s="129">
        <v>40262</v>
      </c>
      <c r="R1318" s="129">
        <v>40793</v>
      </c>
      <c r="S1318" s="139" t="s">
        <v>17</v>
      </c>
      <c r="T1318" s="115" t="s">
        <v>4</v>
      </c>
      <c r="U1318" s="139" t="s">
        <v>29</v>
      </c>
      <c r="V1318" s="139" t="s">
        <v>1917</v>
      </c>
      <c r="W1318" s="139" t="s">
        <v>1919</v>
      </c>
      <c r="X1318" s="139" t="s">
        <v>306</v>
      </c>
      <c r="Y1318" s="112" t="s">
        <v>4</v>
      </c>
      <c r="Z1318" s="112" t="s">
        <v>4</v>
      </c>
      <c r="AA1318" s="139" t="s">
        <v>65</v>
      </c>
    </row>
    <row r="1319" spans="1:27" ht="17.25" customHeight="1">
      <c r="A1319" s="69" t="str">
        <f>IF(priority(Main[[#This Row],[Comments]])&lt;&gt;0, priority(Main[[#This Row],[Comments]]),"")</f>
        <v/>
      </c>
      <c r="B1319" s="63" t="s">
        <v>2353</v>
      </c>
      <c r="C1319" s="148" t="s">
        <v>2354</v>
      </c>
      <c r="D1319" s="113" t="s">
        <v>2355</v>
      </c>
      <c r="E1319" s="129"/>
      <c r="F1319" s="129">
        <v>41008</v>
      </c>
      <c r="G1319" s="69" t="str">
        <f>IF(stdProdLT(Main[[#This Row],[Comments]])=0.1,"N/A",IF(stdProdLT(Main[[#This Row],[Comments]])=0,"",stdProdLT(Main[[#This Row],[Comments]])))</f>
        <v/>
      </c>
      <c r="H1319" s="138" t="str">
        <f>IF(Main[[#This Row],[In Stock Date]]="N/A", "N/A",IF(AND(Main[[#This Row],[In Stock Date]]&lt;&gt;"",Main[[#This Row],[Revised Due Date]]&lt;&gt;"",Main[[#This Row],[In Stock Date]]&lt;&gt;""),Main[[#This Row],[In Stock Date]]-Main[[#This Row],[Revised Due Date]],""))</f>
        <v/>
      </c>
      <c r="I1319" s="139" t="s">
        <v>4</v>
      </c>
      <c r="J1319" s="139" t="s">
        <v>4</v>
      </c>
      <c r="K1319" s="139" t="s">
        <v>4</v>
      </c>
      <c r="L1319" s="129"/>
      <c r="M1319" s="114" t="str">
        <f>IF(Main[[#This Row],[Tech Start Date]]&lt;1/1/1990,"",IF(Main[[#This Row],[Class]]="C",WORKDAY(Main[[#This Row],[Tech Start Date]],9),IF(Main[[#This Row],[Class]]="B", WORKDAY(Main[[#This Row],[Tech Start Date]],6),IF(Main[[#This Row],[Class]]="A",WORKDAY(Main[[#This Row],[Tech Start Date]],2),""))))</f>
        <v/>
      </c>
      <c r="N1319" s="114" t="str">
        <f>IF(Main[[#This Row],[Tech Start Date]]&lt;1/1/1990,"",IF(Main[[#This Row],[Class]]="C",WORKDAY(Main[[#This Row],[Tech Start Date]],19),IF(Main[[#This Row],[Class]]="B", WORKDAY(Main[[#This Row],[Tech Start Date]],12),IF(Main[[#This Row],[Class]]="A",WORKDAY(Main[[#This Row],[Tech Start Date]],4),""))))</f>
        <v/>
      </c>
      <c r="O1319" s="114" t="str">
        <f>IF(Main[[#This Row],[Tech Start Date]]&lt;1/1/1990,"",IF(Main[[#This Row],[Class]]="C",WORKDAY(Main[[#This Row],[Tech Start Date]],23),IF(Main[[#This Row],[Class]]="B", WORKDAY(Main[[#This Row],[Tech Start Date]],15),IF(Main[[#This Row],[Class]]="A",WORKDAY(Main[[#This Row],[Tech Start Date]],5),""))))</f>
        <v/>
      </c>
      <c r="P1319" s="114" t="str">
        <f>IF(Main[[#This Row],[Tech Start Date]]&lt;1/1/1990,"",IF(Main[[#This Row],[Class]]="C",WORKDAY(Main[[#This Row],[Tech Start Date]],28),IF(Main[[#This Row],[Class]]="B", WORKDAY(Main[[#This Row],[Tech Start Date]],19),IF(Main[[#This Row],[Class]]="A",WORKDAY(Main[[#This Row],[Tech Start Date]],9),""))))</f>
        <v/>
      </c>
      <c r="Q1319" s="129">
        <v>40826</v>
      </c>
      <c r="R1319" s="129"/>
      <c r="S1319" s="139" t="s">
        <v>11</v>
      </c>
      <c r="T1319" s="115" t="s">
        <v>4</v>
      </c>
      <c r="U1319" s="139" t="s">
        <v>12</v>
      </c>
      <c r="V1319" s="139" t="s">
        <v>1917</v>
      </c>
      <c r="W1319" s="139" t="s">
        <v>1920</v>
      </c>
      <c r="X1319" s="139" t="s">
        <v>2843</v>
      </c>
      <c r="Y1319" s="112" t="s">
        <v>4</v>
      </c>
      <c r="Z1319" s="112" t="s">
        <v>4</v>
      </c>
      <c r="AA1319" s="139" t="s">
        <v>2843</v>
      </c>
    </row>
    <row r="1320" spans="1:27" ht="17.25" customHeight="1">
      <c r="A1320" s="69" t="str">
        <f>IF(priority(Main[[#This Row],[Comments]])&lt;&gt;0, priority(Main[[#This Row],[Comments]]),"")</f>
        <v/>
      </c>
      <c r="B1320" s="63" t="s">
        <v>2586</v>
      </c>
      <c r="C1320" s="148" t="s">
        <v>4</v>
      </c>
      <c r="D1320" s="113" t="s">
        <v>2587</v>
      </c>
      <c r="E1320" s="129">
        <v>40843.713865740741</v>
      </c>
      <c r="F1320" s="129"/>
      <c r="G1320" s="69" t="str">
        <f>IF(stdProdLT(Main[[#This Row],[Comments]])=0.1,"N/A",IF(stdProdLT(Main[[#This Row],[Comments]])=0,"",stdProdLT(Main[[#This Row],[Comments]])))</f>
        <v/>
      </c>
      <c r="H1320" s="138" t="str">
        <f>IF(Main[[#This Row],[In Stock Date]]="N/A", "N/A",IF(AND(Main[[#This Row],[In Stock Date]]&lt;&gt;"",Main[[#This Row],[Revised Due Date]]&lt;&gt;"",Main[[#This Row],[In Stock Date]]&lt;&gt;""),Main[[#This Row],[In Stock Date]]-Main[[#This Row],[Revised Due Date]],""))</f>
        <v/>
      </c>
      <c r="I1320" s="139" t="s">
        <v>4</v>
      </c>
      <c r="J1320" s="139" t="s">
        <v>51</v>
      </c>
      <c r="K1320" s="139" t="s">
        <v>4</v>
      </c>
      <c r="L1320" s="129"/>
      <c r="M1320" s="114" t="str">
        <f>IF(Main[[#This Row],[Tech Start Date]]&lt;1/1/1990,"",IF(Main[[#This Row],[Class]]="C",WORKDAY(Main[[#This Row],[Tech Start Date]],9),IF(Main[[#This Row],[Class]]="B", WORKDAY(Main[[#This Row],[Tech Start Date]],6),IF(Main[[#This Row],[Class]]="A",WORKDAY(Main[[#This Row],[Tech Start Date]],2),""))))</f>
        <v/>
      </c>
      <c r="N1320" s="114" t="str">
        <f>IF(Main[[#This Row],[Tech Start Date]]&lt;1/1/1990,"",IF(Main[[#This Row],[Class]]="C",WORKDAY(Main[[#This Row],[Tech Start Date]],19),IF(Main[[#This Row],[Class]]="B", WORKDAY(Main[[#This Row],[Tech Start Date]],12),IF(Main[[#This Row],[Class]]="A",WORKDAY(Main[[#This Row],[Tech Start Date]],4),""))))</f>
        <v/>
      </c>
      <c r="O1320" s="114" t="str">
        <f>IF(Main[[#This Row],[Tech Start Date]]&lt;1/1/1990,"",IF(Main[[#This Row],[Class]]="C",WORKDAY(Main[[#This Row],[Tech Start Date]],23),IF(Main[[#This Row],[Class]]="B", WORKDAY(Main[[#This Row],[Tech Start Date]],15),IF(Main[[#This Row],[Class]]="A",WORKDAY(Main[[#This Row],[Tech Start Date]],5),""))))</f>
        <v/>
      </c>
      <c r="P1320" s="114" t="str">
        <f>IF(Main[[#This Row],[Tech Start Date]]&lt;1/1/1990,"",IF(Main[[#This Row],[Class]]="C",WORKDAY(Main[[#This Row],[Tech Start Date]],28),IF(Main[[#This Row],[Class]]="B", WORKDAY(Main[[#This Row],[Tech Start Date]],19),IF(Main[[#This Row],[Class]]="A",WORKDAY(Main[[#This Row],[Tech Start Date]],9),""))))</f>
        <v/>
      </c>
      <c r="Q1320" s="129"/>
      <c r="R1320" s="129"/>
      <c r="S1320" s="139" t="s">
        <v>6</v>
      </c>
      <c r="T1320" s="115" t="s">
        <v>2411</v>
      </c>
      <c r="U1320" s="139" t="s">
        <v>534</v>
      </c>
      <c r="V1320" s="139" t="s">
        <v>1914</v>
      </c>
      <c r="W1320" s="139" t="s">
        <v>1920</v>
      </c>
      <c r="X1320" s="139" t="s">
        <v>306</v>
      </c>
      <c r="Y1320" s="112" t="s">
        <v>4</v>
      </c>
      <c r="Z1320" s="112" t="s">
        <v>4</v>
      </c>
      <c r="AA1320" s="139" t="s">
        <v>2839</v>
      </c>
    </row>
    <row r="1321" spans="1:27" ht="17.25" customHeight="1">
      <c r="A1321" s="69" t="str">
        <f>IF(priority(Main[[#This Row],[Comments]])&lt;&gt;0, priority(Main[[#This Row],[Comments]]),"")</f>
        <v/>
      </c>
      <c r="B1321" s="63" t="s">
        <v>2295</v>
      </c>
      <c r="C1321" s="148" t="s">
        <v>4</v>
      </c>
      <c r="D1321" s="113" t="s">
        <v>2296</v>
      </c>
      <c r="E1321" s="129">
        <v>40815.373611111114</v>
      </c>
      <c r="F1321" s="129"/>
      <c r="G1321" s="69" t="str">
        <f>IF(stdProdLT(Main[[#This Row],[Comments]])=0.1,"N/A",IF(stdProdLT(Main[[#This Row],[Comments]])=0,"",stdProdLT(Main[[#This Row],[Comments]])))</f>
        <v/>
      </c>
      <c r="H1321" s="138" t="str">
        <f>IF(Main[[#This Row],[In Stock Date]]="N/A", "N/A",IF(AND(Main[[#This Row],[In Stock Date]]&lt;&gt;"",Main[[#This Row],[Revised Due Date]]&lt;&gt;"",Main[[#This Row],[In Stock Date]]&lt;&gt;""),Main[[#This Row],[In Stock Date]]-Main[[#This Row],[Revised Due Date]],""))</f>
        <v/>
      </c>
      <c r="I1321" s="139" t="s">
        <v>4</v>
      </c>
      <c r="J1321" s="139" t="s">
        <v>4</v>
      </c>
      <c r="K1321" s="139" t="s">
        <v>4</v>
      </c>
      <c r="L1321" s="129"/>
      <c r="M1321" s="114" t="str">
        <f>IF(Main[[#This Row],[Tech Start Date]]&lt;1/1/1990,"",IF(Main[[#This Row],[Class]]="C",WORKDAY(Main[[#This Row],[Tech Start Date]],9),IF(Main[[#This Row],[Class]]="B", WORKDAY(Main[[#This Row],[Tech Start Date]],6),IF(Main[[#This Row],[Class]]="A",WORKDAY(Main[[#This Row],[Tech Start Date]],2),""))))</f>
        <v/>
      </c>
      <c r="N1321" s="114" t="str">
        <f>IF(Main[[#This Row],[Tech Start Date]]&lt;1/1/1990,"",IF(Main[[#This Row],[Class]]="C",WORKDAY(Main[[#This Row],[Tech Start Date]],19),IF(Main[[#This Row],[Class]]="B", WORKDAY(Main[[#This Row],[Tech Start Date]],12),IF(Main[[#This Row],[Class]]="A",WORKDAY(Main[[#This Row],[Tech Start Date]],4),""))))</f>
        <v/>
      </c>
      <c r="O1321" s="114" t="str">
        <f>IF(Main[[#This Row],[Tech Start Date]]&lt;1/1/1990,"",IF(Main[[#This Row],[Class]]="C",WORKDAY(Main[[#This Row],[Tech Start Date]],23),IF(Main[[#This Row],[Class]]="B", WORKDAY(Main[[#This Row],[Tech Start Date]],15),IF(Main[[#This Row],[Class]]="A",WORKDAY(Main[[#This Row],[Tech Start Date]],5),""))))</f>
        <v/>
      </c>
      <c r="P1321" s="114" t="str">
        <f>IF(Main[[#This Row],[Tech Start Date]]&lt;1/1/1990,"",IF(Main[[#This Row],[Class]]="C",WORKDAY(Main[[#This Row],[Tech Start Date]],28),IF(Main[[#This Row],[Class]]="B", WORKDAY(Main[[#This Row],[Tech Start Date]],19),IF(Main[[#This Row],[Class]]="A",WORKDAY(Main[[#This Row],[Tech Start Date]],9),""))))</f>
        <v/>
      </c>
      <c r="Q1321" s="129"/>
      <c r="R1321" s="129"/>
      <c r="S1321" s="139" t="s">
        <v>6</v>
      </c>
      <c r="T1321" s="115" t="s">
        <v>4</v>
      </c>
      <c r="U1321" s="139" t="s">
        <v>29</v>
      </c>
      <c r="V1321" s="139" t="s">
        <v>1917</v>
      </c>
      <c r="W1321" s="139" t="s">
        <v>1918</v>
      </c>
      <c r="X1321" s="139" t="s">
        <v>102</v>
      </c>
      <c r="Y1321" s="112" t="s">
        <v>3138</v>
      </c>
      <c r="Z1321" s="112" t="s">
        <v>4</v>
      </c>
      <c r="AA1321" s="139" t="s">
        <v>3414</v>
      </c>
    </row>
    <row r="1322" spans="1:27" ht="17.25" customHeight="1">
      <c r="A1322" s="69" t="str">
        <f>IF(priority(Main[[#This Row],[Comments]])&lt;&gt;0, priority(Main[[#This Row],[Comments]]),"")</f>
        <v/>
      </c>
      <c r="B1322" s="63" t="s">
        <v>2314</v>
      </c>
      <c r="C1322" s="148" t="s">
        <v>2302</v>
      </c>
      <c r="D1322" s="113" t="s">
        <v>2303</v>
      </c>
      <c r="E1322" s="129"/>
      <c r="F1322" s="129">
        <v>40544</v>
      </c>
      <c r="G1322" s="69" t="str">
        <f>IF(stdProdLT(Main[[#This Row],[Comments]])=0.1,"N/A",IF(stdProdLT(Main[[#This Row],[Comments]])=0,"",stdProdLT(Main[[#This Row],[Comments]])))</f>
        <v/>
      </c>
      <c r="H1322" s="138" t="str">
        <f>IF(Main[[#This Row],[In Stock Date]]="N/A", "N/A",IF(AND(Main[[#This Row],[In Stock Date]]&lt;&gt;"",Main[[#This Row],[Revised Due Date]]&lt;&gt;"",Main[[#This Row],[In Stock Date]]&lt;&gt;""),Main[[#This Row],[In Stock Date]]-Main[[#This Row],[Revised Due Date]],""))</f>
        <v/>
      </c>
      <c r="I1322" s="139" t="s">
        <v>4</v>
      </c>
      <c r="J1322" s="139" t="s">
        <v>4</v>
      </c>
      <c r="K1322" s="140" t="s">
        <v>4</v>
      </c>
      <c r="L1322" s="129"/>
      <c r="M1322" s="114" t="str">
        <f>IF(Main[[#This Row],[Tech Start Date]]&lt;1/1/1990,"",IF(Main[[#This Row],[Class]]="C",WORKDAY(Main[[#This Row],[Tech Start Date]],9),IF(Main[[#This Row],[Class]]="B", WORKDAY(Main[[#This Row],[Tech Start Date]],6),IF(Main[[#This Row],[Class]]="A",WORKDAY(Main[[#This Row],[Tech Start Date]],2),""))))</f>
        <v/>
      </c>
      <c r="N1322" s="114" t="str">
        <f>IF(Main[[#This Row],[Tech Start Date]]&lt;1/1/1990,"",IF(Main[[#This Row],[Class]]="C",WORKDAY(Main[[#This Row],[Tech Start Date]],19),IF(Main[[#This Row],[Class]]="B", WORKDAY(Main[[#This Row],[Tech Start Date]],12),IF(Main[[#This Row],[Class]]="A",WORKDAY(Main[[#This Row],[Tech Start Date]],4),""))))</f>
        <v/>
      </c>
      <c r="O1322" s="114" t="str">
        <f>IF(Main[[#This Row],[Tech Start Date]]&lt;1/1/1990,"",IF(Main[[#This Row],[Class]]="C",WORKDAY(Main[[#This Row],[Tech Start Date]],23),IF(Main[[#This Row],[Class]]="B", WORKDAY(Main[[#This Row],[Tech Start Date]],15),IF(Main[[#This Row],[Class]]="A",WORKDAY(Main[[#This Row],[Tech Start Date]],5),""))))</f>
        <v/>
      </c>
      <c r="P1322" s="114" t="str">
        <f>IF(Main[[#This Row],[Tech Start Date]]&lt;1/1/1990,"",IF(Main[[#This Row],[Class]]="C",WORKDAY(Main[[#This Row],[Tech Start Date]],28),IF(Main[[#This Row],[Class]]="B", WORKDAY(Main[[#This Row],[Tech Start Date]],19),IF(Main[[#This Row],[Class]]="A",WORKDAY(Main[[#This Row],[Tech Start Date]],9),""))))</f>
        <v/>
      </c>
      <c r="Q1322" s="129"/>
      <c r="R1322" s="129"/>
      <c r="S1322" s="139" t="s">
        <v>11</v>
      </c>
      <c r="T1322" s="115" t="s">
        <v>4</v>
      </c>
      <c r="U1322" s="139" t="s">
        <v>12</v>
      </c>
      <c r="V1322" s="139" t="s">
        <v>1917</v>
      </c>
      <c r="W1322" s="139" t="s">
        <v>1922</v>
      </c>
      <c r="X1322" s="139" t="s">
        <v>2912</v>
      </c>
      <c r="Y1322" s="112" t="s">
        <v>3135</v>
      </c>
      <c r="Z1322" s="112" t="s">
        <v>4</v>
      </c>
      <c r="AA1322" s="139" t="s">
        <v>3465</v>
      </c>
    </row>
    <row r="1323" spans="1:27" ht="17.25" customHeight="1">
      <c r="A1323" s="69" t="str">
        <f>IF(priority(Main[[#This Row],[Comments]])&lt;&gt;0, priority(Main[[#This Row],[Comments]]),"")</f>
        <v/>
      </c>
      <c r="B1323" s="63" t="s">
        <v>1092</v>
      </c>
      <c r="C1323" s="148" t="s">
        <v>4</v>
      </c>
      <c r="D1323" s="113" t="s">
        <v>3745</v>
      </c>
      <c r="E1323" s="129">
        <v>40086.707800925928</v>
      </c>
      <c r="F1323" s="129"/>
      <c r="G1323" s="69" t="str">
        <f>IF(stdProdLT(Main[[#This Row],[Comments]])=0.1,"N/A",IF(stdProdLT(Main[[#This Row],[Comments]])=0,"",stdProdLT(Main[[#This Row],[Comments]])))</f>
        <v/>
      </c>
      <c r="H1323" s="138" t="str">
        <f>IF(Main[[#This Row],[In Stock Date]]="N/A", "N/A",IF(AND(Main[[#This Row],[In Stock Date]]&lt;&gt;"",Main[[#This Row],[Revised Due Date]]&lt;&gt;"",Main[[#This Row],[In Stock Date]]&lt;&gt;""),Main[[#This Row],[In Stock Date]]-Main[[#This Row],[Revised Due Date]],""))</f>
        <v/>
      </c>
      <c r="I1323" s="139" t="s">
        <v>907</v>
      </c>
      <c r="J1323" s="139" t="s">
        <v>4</v>
      </c>
      <c r="K1323" s="139" t="s">
        <v>1926</v>
      </c>
      <c r="L1323" s="129"/>
      <c r="M1323" s="114" t="str">
        <f>IF(Main[[#This Row],[Tech Start Date]]&lt;1/1/1990,"",IF(Main[[#This Row],[Class]]="C",WORKDAY(Main[[#This Row],[Tech Start Date]],9),IF(Main[[#This Row],[Class]]="B", WORKDAY(Main[[#This Row],[Tech Start Date]],6),IF(Main[[#This Row],[Class]]="A",WORKDAY(Main[[#This Row],[Tech Start Date]],2),""))))</f>
        <v/>
      </c>
      <c r="N1323" s="114" t="str">
        <f>IF(Main[[#This Row],[Tech Start Date]]&lt;1/1/1990,"",IF(Main[[#This Row],[Class]]="C",WORKDAY(Main[[#This Row],[Tech Start Date]],19),IF(Main[[#This Row],[Class]]="B", WORKDAY(Main[[#This Row],[Tech Start Date]],12),IF(Main[[#This Row],[Class]]="A",WORKDAY(Main[[#This Row],[Tech Start Date]],4),""))))</f>
        <v/>
      </c>
      <c r="O1323" s="114" t="str">
        <f>IF(Main[[#This Row],[Tech Start Date]]&lt;1/1/1990,"",IF(Main[[#This Row],[Class]]="C",WORKDAY(Main[[#This Row],[Tech Start Date]],23),IF(Main[[#This Row],[Class]]="B", WORKDAY(Main[[#This Row],[Tech Start Date]],15),IF(Main[[#This Row],[Class]]="A",WORKDAY(Main[[#This Row],[Tech Start Date]],5),""))))</f>
        <v/>
      </c>
      <c r="P1323" s="114" t="str">
        <f>IF(Main[[#This Row],[Tech Start Date]]&lt;1/1/1990,"",IF(Main[[#This Row],[Class]]="C",WORKDAY(Main[[#This Row],[Tech Start Date]],28),IF(Main[[#This Row],[Class]]="B", WORKDAY(Main[[#This Row],[Tech Start Date]],19),IF(Main[[#This Row],[Class]]="A",WORKDAY(Main[[#This Row],[Tech Start Date]],9),""))))</f>
        <v/>
      </c>
      <c r="Q1323" s="129">
        <v>41005</v>
      </c>
      <c r="R1323" s="129">
        <v>41005</v>
      </c>
      <c r="S1323" s="139" t="s">
        <v>17</v>
      </c>
      <c r="T1323" s="115" t="s">
        <v>4</v>
      </c>
      <c r="U1323" s="139" t="s">
        <v>29</v>
      </c>
      <c r="V1323" s="139" t="s">
        <v>1914</v>
      </c>
      <c r="W1323" s="139" t="s">
        <v>1919</v>
      </c>
      <c r="X1323" s="139" t="s">
        <v>129</v>
      </c>
      <c r="Y1323" s="112" t="s">
        <v>2933</v>
      </c>
      <c r="Z1323" s="112" t="s">
        <v>877</v>
      </c>
      <c r="AA1323" s="139" t="s">
        <v>129</v>
      </c>
    </row>
    <row r="1324" spans="1:27" ht="17.25" customHeight="1">
      <c r="A1324" s="69" t="str">
        <f>IF(priority(Main[[#This Row],[Comments]])&lt;&gt;0, priority(Main[[#This Row],[Comments]]),"")</f>
        <v/>
      </c>
      <c r="B1324" s="63" t="s">
        <v>3746</v>
      </c>
      <c r="C1324" s="148" t="s">
        <v>4</v>
      </c>
      <c r="D1324" s="113" t="s">
        <v>3747</v>
      </c>
      <c r="E1324" s="129">
        <v>40967.414942129632</v>
      </c>
      <c r="F1324" s="129"/>
      <c r="G1324" s="69" t="str">
        <f>IF(stdProdLT(Main[[#This Row],[Comments]])=0.1,"N/A",IF(stdProdLT(Main[[#This Row],[Comments]])=0,"",stdProdLT(Main[[#This Row],[Comments]])))</f>
        <v/>
      </c>
      <c r="H1324" s="138" t="str">
        <f>IF(Main[[#This Row],[In Stock Date]]="N/A", "N/A",IF(AND(Main[[#This Row],[In Stock Date]]&lt;&gt;"",Main[[#This Row],[Revised Due Date]]&lt;&gt;"",Main[[#This Row],[In Stock Date]]&lt;&gt;""),Main[[#This Row],[In Stock Date]]-Main[[#This Row],[Revised Due Date]],""))</f>
        <v/>
      </c>
      <c r="I1324" s="139" t="s">
        <v>4</v>
      </c>
      <c r="J1324" s="139" t="s">
        <v>4</v>
      </c>
      <c r="K1324" s="139" t="s">
        <v>4</v>
      </c>
      <c r="L1324" s="129"/>
      <c r="M1324" s="114" t="str">
        <f>IF(Main[[#This Row],[Tech Start Date]]&lt;1/1/1990,"",IF(Main[[#This Row],[Class]]="C",WORKDAY(Main[[#This Row],[Tech Start Date]],9),IF(Main[[#This Row],[Class]]="B", WORKDAY(Main[[#This Row],[Tech Start Date]],6),IF(Main[[#This Row],[Class]]="A",WORKDAY(Main[[#This Row],[Tech Start Date]],2),""))))</f>
        <v/>
      </c>
      <c r="N1324" s="114" t="str">
        <f>IF(Main[[#This Row],[Tech Start Date]]&lt;1/1/1990,"",IF(Main[[#This Row],[Class]]="C",WORKDAY(Main[[#This Row],[Tech Start Date]],19),IF(Main[[#This Row],[Class]]="B", WORKDAY(Main[[#This Row],[Tech Start Date]],12),IF(Main[[#This Row],[Class]]="A",WORKDAY(Main[[#This Row],[Tech Start Date]],4),""))))</f>
        <v/>
      </c>
      <c r="O1324" s="114" t="str">
        <f>IF(Main[[#This Row],[Tech Start Date]]&lt;1/1/1990,"",IF(Main[[#This Row],[Class]]="C",WORKDAY(Main[[#This Row],[Tech Start Date]],23),IF(Main[[#This Row],[Class]]="B", WORKDAY(Main[[#This Row],[Tech Start Date]],15),IF(Main[[#This Row],[Class]]="A",WORKDAY(Main[[#This Row],[Tech Start Date]],5),""))))</f>
        <v/>
      </c>
      <c r="P1324" s="114" t="str">
        <f>IF(Main[[#This Row],[Tech Start Date]]&lt;1/1/1990,"",IF(Main[[#This Row],[Class]]="C",WORKDAY(Main[[#This Row],[Tech Start Date]],28),IF(Main[[#This Row],[Class]]="B", WORKDAY(Main[[#This Row],[Tech Start Date]],19),IF(Main[[#This Row],[Class]]="A",WORKDAY(Main[[#This Row],[Tech Start Date]],9),""))))</f>
        <v/>
      </c>
      <c r="Q1324" s="129">
        <v>40977</v>
      </c>
      <c r="R1324" s="129"/>
      <c r="S1324" s="139" t="s">
        <v>6</v>
      </c>
      <c r="T1324" s="115" t="s">
        <v>4</v>
      </c>
      <c r="U1324" s="139" t="s">
        <v>7</v>
      </c>
      <c r="V1324" s="139" t="s">
        <v>1917</v>
      </c>
      <c r="W1324" s="139" t="s">
        <v>1918</v>
      </c>
      <c r="X1324" s="139" t="s">
        <v>2903</v>
      </c>
      <c r="Y1324" s="112" t="s">
        <v>3083</v>
      </c>
      <c r="Z1324" s="112" t="s">
        <v>4</v>
      </c>
      <c r="AA1324" s="139" t="s">
        <v>2903</v>
      </c>
    </row>
    <row r="1325" spans="1:27" ht="17.25" customHeight="1">
      <c r="A1325" s="69" t="str">
        <f>IF(priority(Main[[#This Row],[Comments]])&lt;&gt;0, priority(Main[[#This Row],[Comments]]),"")</f>
        <v/>
      </c>
      <c r="B1325" s="63" t="s">
        <v>3751</v>
      </c>
      <c r="C1325" s="148" t="s">
        <v>4</v>
      </c>
      <c r="D1325" s="113" t="s">
        <v>3752</v>
      </c>
      <c r="E1325" s="129">
        <v>40960.576238425929</v>
      </c>
      <c r="F1325" s="129"/>
      <c r="G1325" s="69" t="str">
        <f>IF(stdProdLT(Main[[#This Row],[Comments]])=0.1,"N/A",IF(stdProdLT(Main[[#This Row],[Comments]])=0,"",stdProdLT(Main[[#This Row],[Comments]])))</f>
        <v/>
      </c>
      <c r="H1325" s="138" t="str">
        <f>IF(Main[[#This Row],[In Stock Date]]="N/A", "N/A",IF(AND(Main[[#This Row],[In Stock Date]]&lt;&gt;"",Main[[#This Row],[Revised Due Date]]&lt;&gt;"",Main[[#This Row],[In Stock Date]]&lt;&gt;""),Main[[#This Row],[In Stock Date]]-Main[[#This Row],[Revised Due Date]],""))</f>
        <v/>
      </c>
      <c r="I1325" s="139" t="s">
        <v>239</v>
      </c>
      <c r="J1325" s="139" t="s">
        <v>70</v>
      </c>
      <c r="K1325" s="139" t="s">
        <v>1923</v>
      </c>
      <c r="L1325" s="129"/>
      <c r="M1325" s="114" t="str">
        <f>IF(Main[[#This Row],[Tech Start Date]]&lt;1/1/1990,"",IF(Main[[#This Row],[Class]]="C",WORKDAY(Main[[#This Row],[Tech Start Date]],9),IF(Main[[#This Row],[Class]]="B", WORKDAY(Main[[#This Row],[Tech Start Date]],6),IF(Main[[#This Row],[Class]]="A",WORKDAY(Main[[#This Row],[Tech Start Date]],2),""))))</f>
        <v/>
      </c>
      <c r="N1325" s="114" t="str">
        <f>IF(Main[[#This Row],[Tech Start Date]]&lt;1/1/1990,"",IF(Main[[#This Row],[Class]]="C",WORKDAY(Main[[#This Row],[Tech Start Date]],19),IF(Main[[#This Row],[Class]]="B", WORKDAY(Main[[#This Row],[Tech Start Date]],12),IF(Main[[#This Row],[Class]]="A",WORKDAY(Main[[#This Row],[Tech Start Date]],4),""))))</f>
        <v/>
      </c>
      <c r="O1325" s="114" t="str">
        <f>IF(Main[[#This Row],[Tech Start Date]]&lt;1/1/1990,"",IF(Main[[#This Row],[Class]]="C",WORKDAY(Main[[#This Row],[Tech Start Date]],23),IF(Main[[#This Row],[Class]]="B", WORKDAY(Main[[#This Row],[Tech Start Date]],15),IF(Main[[#This Row],[Class]]="A",WORKDAY(Main[[#This Row],[Tech Start Date]],5),""))))</f>
        <v/>
      </c>
      <c r="P1325" s="114" t="str">
        <f>IF(Main[[#This Row],[Tech Start Date]]&lt;1/1/1990,"",IF(Main[[#This Row],[Class]]="C",WORKDAY(Main[[#This Row],[Tech Start Date]],28),IF(Main[[#This Row],[Class]]="B", WORKDAY(Main[[#This Row],[Tech Start Date]],19),IF(Main[[#This Row],[Class]]="A",WORKDAY(Main[[#This Row],[Tech Start Date]],9),""))))</f>
        <v/>
      </c>
      <c r="Q1325" s="129">
        <v>41029</v>
      </c>
      <c r="R1325" s="129"/>
      <c r="S1325" s="139" t="s">
        <v>6</v>
      </c>
      <c r="T1325" s="115" t="s">
        <v>4</v>
      </c>
      <c r="U1325" s="139" t="s">
        <v>29</v>
      </c>
      <c r="V1325" s="139" t="s">
        <v>1917</v>
      </c>
      <c r="W1325" s="139" t="s">
        <v>1918</v>
      </c>
      <c r="X1325" s="139" t="s">
        <v>30</v>
      </c>
      <c r="Y1325" s="112" t="s">
        <v>3753</v>
      </c>
      <c r="Z1325" s="112" t="s">
        <v>30</v>
      </c>
      <c r="AA1325" s="139" t="s">
        <v>30</v>
      </c>
    </row>
    <row r="1326" spans="1:27" ht="17.25" customHeight="1">
      <c r="A1326" s="69" t="str">
        <f>IF(priority(Main[[#This Row],[Comments]])&lt;&gt;0, priority(Main[[#This Row],[Comments]]),"")</f>
        <v/>
      </c>
      <c r="B1326" s="63" t="s">
        <v>3754</v>
      </c>
      <c r="C1326" s="148" t="s">
        <v>4</v>
      </c>
      <c r="D1326" s="113" t="s">
        <v>3755</v>
      </c>
      <c r="E1326" s="129">
        <v>40959.601018518515</v>
      </c>
      <c r="F1326" s="129"/>
      <c r="G1326" s="69" t="str">
        <f>IF(stdProdLT(Main[[#This Row],[Comments]])=0.1,"N/A",IF(stdProdLT(Main[[#This Row],[Comments]])=0,"",stdProdLT(Main[[#This Row],[Comments]])))</f>
        <v/>
      </c>
      <c r="H1326" s="138" t="str">
        <f>IF(Main[[#This Row],[In Stock Date]]="N/A", "N/A",IF(AND(Main[[#This Row],[In Stock Date]]&lt;&gt;"",Main[[#This Row],[Revised Due Date]]&lt;&gt;"",Main[[#This Row],[In Stock Date]]&lt;&gt;""),Main[[#This Row],[In Stock Date]]-Main[[#This Row],[Revised Due Date]],""))</f>
        <v/>
      </c>
      <c r="I1326" s="139" t="s">
        <v>561</v>
      </c>
      <c r="J1326" s="139" t="s">
        <v>28</v>
      </c>
      <c r="K1326" s="140" t="s">
        <v>4</v>
      </c>
      <c r="L1326" s="129"/>
      <c r="M1326" s="114" t="str">
        <f>IF(Main[[#This Row],[Tech Start Date]]&lt;1/1/1990,"",IF(Main[[#This Row],[Class]]="C",WORKDAY(Main[[#This Row],[Tech Start Date]],9),IF(Main[[#This Row],[Class]]="B", WORKDAY(Main[[#This Row],[Tech Start Date]],6),IF(Main[[#This Row],[Class]]="A",WORKDAY(Main[[#This Row],[Tech Start Date]],2),""))))</f>
        <v/>
      </c>
      <c r="N1326" s="114" t="str">
        <f>IF(Main[[#This Row],[Tech Start Date]]&lt;1/1/1990,"",IF(Main[[#This Row],[Class]]="C",WORKDAY(Main[[#This Row],[Tech Start Date]],19),IF(Main[[#This Row],[Class]]="B", WORKDAY(Main[[#This Row],[Tech Start Date]],12),IF(Main[[#This Row],[Class]]="A",WORKDAY(Main[[#This Row],[Tech Start Date]],4),""))))</f>
        <v/>
      </c>
      <c r="O1326" s="114" t="str">
        <f>IF(Main[[#This Row],[Tech Start Date]]&lt;1/1/1990,"",IF(Main[[#This Row],[Class]]="C",WORKDAY(Main[[#This Row],[Tech Start Date]],23),IF(Main[[#This Row],[Class]]="B", WORKDAY(Main[[#This Row],[Tech Start Date]],15),IF(Main[[#This Row],[Class]]="A",WORKDAY(Main[[#This Row],[Tech Start Date]],5),""))))</f>
        <v/>
      </c>
      <c r="P1326" s="114" t="str">
        <f>IF(Main[[#This Row],[Tech Start Date]]&lt;1/1/1990,"",IF(Main[[#This Row],[Class]]="C",WORKDAY(Main[[#This Row],[Tech Start Date]],28),IF(Main[[#This Row],[Class]]="B", WORKDAY(Main[[#This Row],[Tech Start Date]],19),IF(Main[[#This Row],[Class]]="A",WORKDAY(Main[[#This Row],[Tech Start Date]],9),""))))</f>
        <v/>
      </c>
      <c r="Q1326" s="129"/>
      <c r="R1326" s="129"/>
      <c r="S1326" s="139" t="s">
        <v>6</v>
      </c>
      <c r="T1326" s="115" t="s">
        <v>4</v>
      </c>
      <c r="U1326" s="139" t="s">
        <v>29</v>
      </c>
      <c r="V1326" s="139" t="s">
        <v>1914</v>
      </c>
      <c r="W1326" s="139" t="s">
        <v>4</v>
      </c>
      <c r="X1326" s="139" t="s">
        <v>561</v>
      </c>
      <c r="Y1326" s="112" t="s">
        <v>3056</v>
      </c>
      <c r="Z1326" s="112" t="s">
        <v>4</v>
      </c>
      <c r="AA1326" s="139" t="s">
        <v>561</v>
      </c>
    </row>
    <row r="1327" spans="1:27" ht="17.25" customHeight="1">
      <c r="A1327" s="69" t="str">
        <f>IF(priority(Main[[#This Row],[Comments]])&lt;&gt;0, priority(Main[[#This Row],[Comments]]),"")</f>
        <v/>
      </c>
      <c r="B1327" s="63" t="s">
        <v>3756</v>
      </c>
      <c r="C1327" s="148" t="s">
        <v>4</v>
      </c>
      <c r="D1327" s="113" t="s">
        <v>3757</v>
      </c>
      <c r="E1327" s="129">
        <v>40955.139027777775</v>
      </c>
      <c r="F1327" s="129"/>
      <c r="G1327" s="69" t="str">
        <f>IF(stdProdLT(Main[[#This Row],[Comments]])=0.1,"N/A",IF(stdProdLT(Main[[#This Row],[Comments]])=0,"",stdProdLT(Main[[#This Row],[Comments]])))</f>
        <v/>
      </c>
      <c r="H1327" s="138" t="str">
        <f>IF(Main[[#This Row],[In Stock Date]]="N/A", "N/A",IF(AND(Main[[#This Row],[In Stock Date]]&lt;&gt;"",Main[[#This Row],[Revised Due Date]]&lt;&gt;"",Main[[#This Row],[In Stock Date]]&lt;&gt;""),Main[[#This Row],[In Stock Date]]-Main[[#This Row],[Revised Due Date]],""))</f>
        <v/>
      </c>
      <c r="I1327" s="139" t="s">
        <v>4</v>
      </c>
      <c r="J1327" s="139" t="s">
        <v>4</v>
      </c>
      <c r="K1327" s="139" t="s">
        <v>4</v>
      </c>
      <c r="L1327" s="129"/>
      <c r="M1327" s="114" t="str">
        <f>IF(Main[[#This Row],[Tech Start Date]]&lt;1/1/1990,"",IF(Main[[#This Row],[Class]]="C",WORKDAY(Main[[#This Row],[Tech Start Date]],9),IF(Main[[#This Row],[Class]]="B", WORKDAY(Main[[#This Row],[Tech Start Date]],6),IF(Main[[#This Row],[Class]]="A",WORKDAY(Main[[#This Row],[Tech Start Date]],2),""))))</f>
        <v/>
      </c>
      <c r="N1327" s="114" t="str">
        <f>IF(Main[[#This Row],[Tech Start Date]]&lt;1/1/1990,"",IF(Main[[#This Row],[Class]]="C",WORKDAY(Main[[#This Row],[Tech Start Date]],19),IF(Main[[#This Row],[Class]]="B", WORKDAY(Main[[#This Row],[Tech Start Date]],12),IF(Main[[#This Row],[Class]]="A",WORKDAY(Main[[#This Row],[Tech Start Date]],4),""))))</f>
        <v/>
      </c>
      <c r="O1327" s="114" t="str">
        <f>IF(Main[[#This Row],[Tech Start Date]]&lt;1/1/1990,"",IF(Main[[#This Row],[Class]]="C",WORKDAY(Main[[#This Row],[Tech Start Date]],23),IF(Main[[#This Row],[Class]]="B", WORKDAY(Main[[#This Row],[Tech Start Date]],15),IF(Main[[#This Row],[Class]]="A",WORKDAY(Main[[#This Row],[Tech Start Date]],5),""))))</f>
        <v/>
      </c>
      <c r="P1327" s="114" t="str">
        <f>IF(Main[[#This Row],[Tech Start Date]]&lt;1/1/1990,"",IF(Main[[#This Row],[Class]]="C",WORKDAY(Main[[#This Row],[Tech Start Date]],28),IF(Main[[#This Row],[Class]]="B", WORKDAY(Main[[#This Row],[Tech Start Date]],19),IF(Main[[#This Row],[Class]]="A",WORKDAY(Main[[#This Row],[Tech Start Date]],9),""))))</f>
        <v/>
      </c>
      <c r="Q1327" s="129">
        <v>40984</v>
      </c>
      <c r="R1327" s="129"/>
      <c r="S1327" s="139" t="s">
        <v>6</v>
      </c>
      <c r="T1327" s="115" t="s">
        <v>4</v>
      </c>
      <c r="U1327" s="139" t="s">
        <v>7</v>
      </c>
      <c r="V1327" s="139" t="s">
        <v>1914</v>
      </c>
      <c r="W1327" s="139" t="s">
        <v>4</v>
      </c>
      <c r="X1327" s="139" t="s">
        <v>2822</v>
      </c>
      <c r="Y1327" s="112" t="s">
        <v>2938</v>
      </c>
      <c r="Z1327" s="112" t="s">
        <v>4</v>
      </c>
      <c r="AA1327" s="139" t="s">
        <v>2822</v>
      </c>
    </row>
    <row r="1328" spans="1:27" ht="17.25" customHeight="1">
      <c r="A1328" s="69" t="str">
        <f>IF(priority(Main[[#This Row],[Comments]])&lt;&gt;0, priority(Main[[#This Row],[Comments]]),"")</f>
        <v/>
      </c>
      <c r="B1328" s="63" t="s">
        <v>2788</v>
      </c>
      <c r="C1328" s="148" t="s">
        <v>4</v>
      </c>
      <c r="D1328" s="113" t="s">
        <v>2789</v>
      </c>
      <c r="E1328" s="129">
        <v>40883.621099537035</v>
      </c>
      <c r="F1328" s="129"/>
      <c r="G1328" s="69" t="str">
        <f>IF(stdProdLT(Main[[#This Row],[Comments]])=0.1,"N/A",IF(stdProdLT(Main[[#This Row],[Comments]])=0,"",stdProdLT(Main[[#This Row],[Comments]])))</f>
        <v/>
      </c>
      <c r="H1328" s="138" t="str">
        <f>IF(Main[[#This Row],[In Stock Date]]="N/A", "N/A",IF(AND(Main[[#This Row],[In Stock Date]]&lt;&gt;"",Main[[#This Row],[Revised Due Date]]&lt;&gt;"",Main[[#This Row],[In Stock Date]]&lt;&gt;""),Main[[#This Row],[In Stock Date]]-Main[[#This Row],[Revised Due Date]],""))</f>
        <v/>
      </c>
      <c r="I1328" s="139" t="s">
        <v>3540</v>
      </c>
      <c r="J1328" s="139" t="s">
        <v>4</v>
      </c>
      <c r="K1328" s="139" t="s">
        <v>1926</v>
      </c>
      <c r="L1328" s="129"/>
      <c r="M1328" s="114" t="str">
        <f>IF(Main[[#This Row],[Tech Start Date]]&lt;1/1/1990,"",IF(Main[[#This Row],[Class]]="C",WORKDAY(Main[[#This Row],[Tech Start Date]],9),IF(Main[[#This Row],[Class]]="B", WORKDAY(Main[[#This Row],[Tech Start Date]],6),IF(Main[[#This Row],[Class]]="A",WORKDAY(Main[[#This Row],[Tech Start Date]],2),""))))</f>
        <v/>
      </c>
      <c r="N1328" s="114" t="str">
        <f>IF(Main[[#This Row],[Tech Start Date]]&lt;1/1/1990,"",IF(Main[[#This Row],[Class]]="C",WORKDAY(Main[[#This Row],[Tech Start Date]],19),IF(Main[[#This Row],[Class]]="B", WORKDAY(Main[[#This Row],[Tech Start Date]],12),IF(Main[[#This Row],[Class]]="A",WORKDAY(Main[[#This Row],[Tech Start Date]],4),""))))</f>
        <v/>
      </c>
      <c r="O1328" s="114" t="str">
        <f>IF(Main[[#This Row],[Tech Start Date]]&lt;1/1/1990,"",IF(Main[[#This Row],[Class]]="C",WORKDAY(Main[[#This Row],[Tech Start Date]],23),IF(Main[[#This Row],[Class]]="B", WORKDAY(Main[[#This Row],[Tech Start Date]],15),IF(Main[[#This Row],[Class]]="A",WORKDAY(Main[[#This Row],[Tech Start Date]],5),""))))</f>
        <v/>
      </c>
      <c r="P1328" s="114" t="str">
        <f>IF(Main[[#This Row],[Tech Start Date]]&lt;1/1/1990,"",IF(Main[[#This Row],[Class]]="C",WORKDAY(Main[[#This Row],[Tech Start Date]],28),IF(Main[[#This Row],[Class]]="B", WORKDAY(Main[[#This Row],[Tech Start Date]],19),IF(Main[[#This Row],[Class]]="A",WORKDAY(Main[[#This Row],[Tech Start Date]],9),""))))</f>
        <v/>
      </c>
      <c r="Q1328" s="129"/>
      <c r="R1328" s="129"/>
      <c r="S1328" s="139" t="s">
        <v>17</v>
      </c>
      <c r="T1328" s="115" t="s">
        <v>4</v>
      </c>
      <c r="U1328" s="139" t="s">
        <v>29</v>
      </c>
      <c r="V1328" s="139" t="s">
        <v>1917</v>
      </c>
      <c r="W1328" s="139" t="s">
        <v>1919</v>
      </c>
      <c r="X1328" s="139" t="s">
        <v>415</v>
      </c>
      <c r="Y1328" s="112" t="s">
        <v>2975</v>
      </c>
      <c r="Z1328" s="112" t="s">
        <v>652</v>
      </c>
      <c r="AA1328" s="139" t="s">
        <v>415</v>
      </c>
    </row>
    <row r="1329" spans="1:27" ht="17.25" customHeight="1">
      <c r="A1329" s="69" t="str">
        <f>IF(priority(Main[[#This Row],[Comments]])&lt;&gt;0, priority(Main[[#This Row],[Comments]]),"")</f>
        <v/>
      </c>
      <c r="B1329" s="63" t="s">
        <v>1114</v>
      </c>
      <c r="C1329" s="148" t="s">
        <v>4</v>
      </c>
      <c r="D1329" s="113" t="s">
        <v>3758</v>
      </c>
      <c r="E1329" s="129"/>
      <c r="F1329" s="129">
        <v>40602</v>
      </c>
      <c r="G1329" s="69" t="str">
        <f>IF(stdProdLT(Main[[#This Row],[Comments]])=0.1,"N/A",IF(stdProdLT(Main[[#This Row],[Comments]])=0,"",stdProdLT(Main[[#This Row],[Comments]])))</f>
        <v/>
      </c>
      <c r="H1329" s="138" t="str">
        <f>IF(Main[[#This Row],[In Stock Date]]="N/A", "N/A",IF(AND(Main[[#This Row],[In Stock Date]]&lt;&gt;"",Main[[#This Row],[Revised Due Date]]&lt;&gt;"",Main[[#This Row],[In Stock Date]]&lt;&gt;""),Main[[#This Row],[In Stock Date]]-Main[[#This Row],[Revised Due Date]],""))</f>
        <v/>
      </c>
      <c r="I1329" s="139" t="s">
        <v>2208</v>
      </c>
      <c r="J1329" s="139" t="s">
        <v>75</v>
      </c>
      <c r="K1329" s="139" t="s">
        <v>1923</v>
      </c>
      <c r="L1329" s="129"/>
      <c r="M1329" s="114" t="str">
        <f>IF(Main[[#This Row],[Tech Start Date]]&lt;1/1/1990,"",IF(Main[[#This Row],[Class]]="C",WORKDAY(Main[[#This Row],[Tech Start Date]],9),IF(Main[[#This Row],[Class]]="B", WORKDAY(Main[[#This Row],[Tech Start Date]],6),IF(Main[[#This Row],[Class]]="A",WORKDAY(Main[[#This Row],[Tech Start Date]],2),""))))</f>
        <v/>
      </c>
      <c r="N1329" s="114" t="str">
        <f>IF(Main[[#This Row],[Tech Start Date]]&lt;1/1/1990,"",IF(Main[[#This Row],[Class]]="C",WORKDAY(Main[[#This Row],[Tech Start Date]],19),IF(Main[[#This Row],[Class]]="B", WORKDAY(Main[[#This Row],[Tech Start Date]],12),IF(Main[[#This Row],[Class]]="A",WORKDAY(Main[[#This Row],[Tech Start Date]],4),""))))</f>
        <v/>
      </c>
      <c r="O1329" s="114" t="str">
        <f>IF(Main[[#This Row],[Tech Start Date]]&lt;1/1/1990,"",IF(Main[[#This Row],[Class]]="C",WORKDAY(Main[[#This Row],[Tech Start Date]],23),IF(Main[[#This Row],[Class]]="B", WORKDAY(Main[[#This Row],[Tech Start Date]],15),IF(Main[[#This Row],[Class]]="A",WORKDAY(Main[[#This Row],[Tech Start Date]],5),""))))</f>
        <v/>
      </c>
      <c r="P1329" s="114" t="str">
        <f>IF(Main[[#This Row],[Tech Start Date]]&lt;1/1/1990,"",IF(Main[[#This Row],[Class]]="C",WORKDAY(Main[[#This Row],[Tech Start Date]],28),IF(Main[[#This Row],[Class]]="B", WORKDAY(Main[[#This Row],[Tech Start Date]],19),IF(Main[[#This Row],[Class]]="A",WORKDAY(Main[[#This Row],[Tech Start Date]],9),""))))</f>
        <v/>
      </c>
      <c r="Q1329" s="129">
        <v>40602</v>
      </c>
      <c r="R1329" s="129"/>
      <c r="S1329" s="139" t="s">
        <v>6</v>
      </c>
      <c r="T1329" s="115" t="s">
        <v>4</v>
      </c>
      <c r="U1329" s="139" t="s">
        <v>14</v>
      </c>
      <c r="V1329" s="139" t="s">
        <v>1917</v>
      </c>
      <c r="W1329" s="139" t="s">
        <v>1916</v>
      </c>
      <c r="X1329" s="139" t="s">
        <v>30</v>
      </c>
      <c r="Y1329" s="112" t="s">
        <v>2957</v>
      </c>
      <c r="Z1329" s="112" t="s">
        <v>415</v>
      </c>
      <c r="AA1329" s="139" t="s">
        <v>30</v>
      </c>
    </row>
    <row r="1330" spans="1:27" ht="17.25" customHeight="1">
      <c r="A1330" s="69" t="str">
        <f>IF(priority(Main[[#This Row],[Comments]])&lt;&gt;0, priority(Main[[#This Row],[Comments]]),"")</f>
        <v/>
      </c>
      <c r="B1330" s="63" t="s">
        <v>2588</v>
      </c>
      <c r="C1330" s="148" t="s">
        <v>4</v>
      </c>
      <c r="D1330" s="113" t="s">
        <v>2589</v>
      </c>
      <c r="E1330" s="129"/>
      <c r="F1330" s="129"/>
      <c r="G1330" s="69" t="str">
        <f>IF(stdProdLT(Main[[#This Row],[Comments]])=0.1,"N/A",IF(stdProdLT(Main[[#This Row],[Comments]])=0,"",stdProdLT(Main[[#This Row],[Comments]])))</f>
        <v/>
      </c>
      <c r="H1330" s="138" t="str">
        <f>IF(Main[[#This Row],[In Stock Date]]="N/A", "N/A",IF(AND(Main[[#This Row],[In Stock Date]]&lt;&gt;"",Main[[#This Row],[Revised Due Date]]&lt;&gt;"",Main[[#This Row],[In Stock Date]]&lt;&gt;""),Main[[#This Row],[In Stock Date]]-Main[[#This Row],[Revised Due Date]],""))</f>
        <v/>
      </c>
      <c r="I1330" s="139" t="s">
        <v>4</v>
      </c>
      <c r="J1330" s="139" t="s">
        <v>4</v>
      </c>
      <c r="K1330" s="139" t="s">
        <v>4</v>
      </c>
      <c r="L1330" s="129"/>
      <c r="M1330" s="114" t="str">
        <f>IF(Main[[#This Row],[Tech Start Date]]&lt;1/1/1990,"",IF(Main[[#This Row],[Class]]="C",WORKDAY(Main[[#This Row],[Tech Start Date]],9),IF(Main[[#This Row],[Class]]="B", WORKDAY(Main[[#This Row],[Tech Start Date]],6),IF(Main[[#This Row],[Class]]="A",WORKDAY(Main[[#This Row],[Tech Start Date]],2),""))))</f>
        <v/>
      </c>
      <c r="N1330" s="114" t="str">
        <f>IF(Main[[#This Row],[Tech Start Date]]&lt;1/1/1990,"",IF(Main[[#This Row],[Class]]="C",WORKDAY(Main[[#This Row],[Tech Start Date]],19),IF(Main[[#This Row],[Class]]="B", WORKDAY(Main[[#This Row],[Tech Start Date]],12),IF(Main[[#This Row],[Class]]="A",WORKDAY(Main[[#This Row],[Tech Start Date]],4),""))))</f>
        <v/>
      </c>
      <c r="O1330" s="114" t="str">
        <f>IF(Main[[#This Row],[Tech Start Date]]&lt;1/1/1990,"",IF(Main[[#This Row],[Class]]="C",WORKDAY(Main[[#This Row],[Tech Start Date]],23),IF(Main[[#This Row],[Class]]="B", WORKDAY(Main[[#This Row],[Tech Start Date]],15),IF(Main[[#This Row],[Class]]="A",WORKDAY(Main[[#This Row],[Tech Start Date]],5),""))))</f>
        <v/>
      </c>
      <c r="P1330" s="114" t="str">
        <f>IF(Main[[#This Row],[Tech Start Date]]&lt;1/1/1990,"",IF(Main[[#This Row],[Class]]="C",WORKDAY(Main[[#This Row],[Tech Start Date]],28),IF(Main[[#This Row],[Class]]="B", WORKDAY(Main[[#This Row],[Tech Start Date]],19),IF(Main[[#This Row],[Class]]="A",WORKDAY(Main[[#This Row],[Tech Start Date]],9),""))))</f>
        <v/>
      </c>
      <c r="Q1330" s="129"/>
      <c r="R1330" s="129"/>
      <c r="S1330" s="139" t="s">
        <v>11</v>
      </c>
      <c r="T1330" s="115" t="s">
        <v>4</v>
      </c>
      <c r="U1330" s="139" t="s">
        <v>14</v>
      </c>
      <c r="V1330" s="139" t="s">
        <v>1917</v>
      </c>
      <c r="W1330" s="139" t="s">
        <v>1922</v>
      </c>
      <c r="X1330" s="139" t="s">
        <v>306</v>
      </c>
      <c r="Y1330" s="112" t="s">
        <v>4</v>
      </c>
      <c r="Z1330" s="112" t="s">
        <v>4</v>
      </c>
      <c r="AA1330" s="139" t="s">
        <v>4</v>
      </c>
    </row>
    <row r="1331" spans="1:27" ht="17.25" customHeight="1">
      <c r="A1331" s="69" t="str">
        <f>IF(priority(Main[[#This Row],[Comments]])&lt;&gt;0, priority(Main[[#This Row],[Comments]]),"")</f>
        <v/>
      </c>
      <c r="B1331" s="63" t="s">
        <v>2284</v>
      </c>
      <c r="C1331" s="148" t="s">
        <v>67</v>
      </c>
      <c r="D1331" s="113" t="s">
        <v>2285</v>
      </c>
      <c r="E1331" s="129"/>
      <c r="F1331" s="129">
        <v>41075</v>
      </c>
      <c r="G1331" s="69" t="str">
        <f>IF(stdProdLT(Main[[#This Row],[Comments]])=0.1,"N/A",IF(stdProdLT(Main[[#This Row],[Comments]])=0,"",stdProdLT(Main[[#This Row],[Comments]])))</f>
        <v/>
      </c>
      <c r="H1331" s="138" t="str">
        <f>IF(Main[[#This Row],[In Stock Date]]="N/A", "N/A",IF(AND(Main[[#This Row],[In Stock Date]]&lt;&gt;"",Main[[#This Row],[Revised Due Date]]&lt;&gt;"",Main[[#This Row],[In Stock Date]]&lt;&gt;""),Main[[#This Row],[In Stock Date]]-Main[[#This Row],[Revised Due Date]],""))</f>
        <v/>
      </c>
      <c r="I1331" s="139" t="s">
        <v>4</v>
      </c>
      <c r="J1331" s="139" t="s">
        <v>4</v>
      </c>
      <c r="K1331" s="139" t="s">
        <v>4</v>
      </c>
      <c r="L1331" s="129"/>
      <c r="M1331" s="114" t="str">
        <f>IF(Main[[#This Row],[Tech Start Date]]&lt;1/1/1990,"",IF(Main[[#This Row],[Class]]="C",WORKDAY(Main[[#This Row],[Tech Start Date]],9),IF(Main[[#This Row],[Class]]="B", WORKDAY(Main[[#This Row],[Tech Start Date]],6),IF(Main[[#This Row],[Class]]="A",WORKDAY(Main[[#This Row],[Tech Start Date]],2),""))))</f>
        <v/>
      </c>
      <c r="N1331" s="114" t="str">
        <f>IF(Main[[#This Row],[Tech Start Date]]&lt;1/1/1990,"",IF(Main[[#This Row],[Class]]="C",WORKDAY(Main[[#This Row],[Tech Start Date]],19),IF(Main[[#This Row],[Class]]="B", WORKDAY(Main[[#This Row],[Tech Start Date]],12),IF(Main[[#This Row],[Class]]="A",WORKDAY(Main[[#This Row],[Tech Start Date]],4),""))))</f>
        <v/>
      </c>
      <c r="O1331" s="114" t="str">
        <f>IF(Main[[#This Row],[Tech Start Date]]&lt;1/1/1990,"",IF(Main[[#This Row],[Class]]="C",WORKDAY(Main[[#This Row],[Tech Start Date]],23),IF(Main[[#This Row],[Class]]="B", WORKDAY(Main[[#This Row],[Tech Start Date]],15),IF(Main[[#This Row],[Class]]="A",WORKDAY(Main[[#This Row],[Tech Start Date]],5),""))))</f>
        <v/>
      </c>
      <c r="P1331" s="114" t="str">
        <f>IF(Main[[#This Row],[Tech Start Date]]&lt;1/1/1990,"",IF(Main[[#This Row],[Class]]="C",WORKDAY(Main[[#This Row],[Tech Start Date]],28),IF(Main[[#This Row],[Class]]="B", WORKDAY(Main[[#This Row],[Tech Start Date]],19),IF(Main[[#This Row],[Class]]="A",WORKDAY(Main[[#This Row],[Tech Start Date]],9),""))))</f>
        <v/>
      </c>
      <c r="Q1331" s="129">
        <v>40908</v>
      </c>
      <c r="R1331" s="129"/>
      <c r="S1331" s="139" t="s">
        <v>17</v>
      </c>
      <c r="T1331" s="115" t="s">
        <v>4</v>
      </c>
      <c r="U1331" s="139" t="s">
        <v>14</v>
      </c>
      <c r="V1331" s="139" t="s">
        <v>1924</v>
      </c>
      <c r="W1331" s="139" t="s">
        <v>1925</v>
      </c>
      <c r="X1331" s="139" t="s">
        <v>553</v>
      </c>
      <c r="Y1331" s="112" t="s">
        <v>2952</v>
      </c>
      <c r="Z1331" s="112" t="s">
        <v>4</v>
      </c>
      <c r="AA1331" s="139" t="s">
        <v>553</v>
      </c>
    </row>
    <row r="1332" spans="1:27" ht="17.25" customHeight="1">
      <c r="A1332" s="69" t="str">
        <f>IF(priority(Main[[#This Row],[Comments]])&lt;&gt;0, priority(Main[[#This Row],[Comments]]),"")</f>
        <v/>
      </c>
      <c r="B1332" s="63" t="s">
        <v>2598</v>
      </c>
      <c r="C1332" s="148" t="s">
        <v>4</v>
      </c>
      <c r="D1332" s="113" t="s">
        <v>2599</v>
      </c>
      <c r="E1332" s="129">
        <v>40877.273229166669</v>
      </c>
      <c r="F1332" s="129"/>
      <c r="G1332" s="69" t="str">
        <f>IF(stdProdLT(Main[[#This Row],[Comments]])=0.1,"N/A",IF(stdProdLT(Main[[#This Row],[Comments]])=0,"",stdProdLT(Main[[#This Row],[Comments]])))</f>
        <v/>
      </c>
      <c r="H1332" s="138" t="str">
        <f>IF(Main[[#This Row],[In Stock Date]]="N/A", "N/A",IF(AND(Main[[#This Row],[In Stock Date]]&lt;&gt;"",Main[[#This Row],[Revised Due Date]]&lt;&gt;"",Main[[#This Row],[In Stock Date]]&lt;&gt;""),Main[[#This Row],[In Stock Date]]-Main[[#This Row],[Revised Due Date]],""))</f>
        <v/>
      </c>
      <c r="I1332" s="139" t="s">
        <v>69</v>
      </c>
      <c r="J1332" s="139" t="s">
        <v>70</v>
      </c>
      <c r="K1332" s="139" t="s">
        <v>1923</v>
      </c>
      <c r="L1332" s="129"/>
      <c r="M1332" s="114" t="str">
        <f>IF(Main[[#This Row],[Tech Start Date]]&lt;1/1/1990,"",IF(Main[[#This Row],[Class]]="C",WORKDAY(Main[[#This Row],[Tech Start Date]],9),IF(Main[[#This Row],[Class]]="B", WORKDAY(Main[[#This Row],[Tech Start Date]],6),IF(Main[[#This Row],[Class]]="A",WORKDAY(Main[[#This Row],[Tech Start Date]],2),""))))</f>
        <v/>
      </c>
      <c r="N1332" s="114" t="str">
        <f>IF(Main[[#This Row],[Tech Start Date]]&lt;1/1/1990,"",IF(Main[[#This Row],[Class]]="C",WORKDAY(Main[[#This Row],[Tech Start Date]],19),IF(Main[[#This Row],[Class]]="B", WORKDAY(Main[[#This Row],[Tech Start Date]],12),IF(Main[[#This Row],[Class]]="A",WORKDAY(Main[[#This Row],[Tech Start Date]],4),""))))</f>
        <v/>
      </c>
      <c r="O1332" s="114" t="str">
        <f>IF(Main[[#This Row],[Tech Start Date]]&lt;1/1/1990,"",IF(Main[[#This Row],[Class]]="C",WORKDAY(Main[[#This Row],[Tech Start Date]],23),IF(Main[[#This Row],[Class]]="B", WORKDAY(Main[[#This Row],[Tech Start Date]],15),IF(Main[[#This Row],[Class]]="A",WORKDAY(Main[[#This Row],[Tech Start Date]],5),""))))</f>
        <v/>
      </c>
      <c r="P1332" s="114" t="str">
        <f>IF(Main[[#This Row],[Tech Start Date]]&lt;1/1/1990,"",IF(Main[[#This Row],[Class]]="C",WORKDAY(Main[[#This Row],[Tech Start Date]],28),IF(Main[[#This Row],[Class]]="B", WORKDAY(Main[[#This Row],[Tech Start Date]],19),IF(Main[[#This Row],[Class]]="A",WORKDAY(Main[[#This Row],[Tech Start Date]],9),""))))</f>
        <v/>
      </c>
      <c r="Q1332" s="129">
        <v>40906</v>
      </c>
      <c r="R1332" s="129"/>
      <c r="S1332" s="139" t="s">
        <v>6</v>
      </c>
      <c r="T1332" s="115" t="s">
        <v>4</v>
      </c>
      <c r="U1332" s="139" t="s">
        <v>29</v>
      </c>
      <c r="V1332" s="139" t="s">
        <v>1917</v>
      </c>
      <c r="W1332" s="139" t="s">
        <v>1918</v>
      </c>
      <c r="X1332" s="139" t="s">
        <v>30</v>
      </c>
      <c r="Y1332" s="112" t="s">
        <v>3139</v>
      </c>
      <c r="Z1332" s="112" t="s">
        <v>30</v>
      </c>
      <c r="AA1332" s="139" t="s">
        <v>3468</v>
      </c>
    </row>
    <row r="1333" spans="1:27" ht="17.25" customHeight="1">
      <c r="A1333" s="69" t="str">
        <f>IF(priority(Main[[#This Row],[Comments]])&lt;&gt;0, priority(Main[[#This Row],[Comments]]),"")</f>
        <v/>
      </c>
      <c r="B1333" s="63" t="s">
        <v>2719</v>
      </c>
      <c r="C1333" s="148" t="s">
        <v>4</v>
      </c>
      <c r="D1333" s="113" t="s">
        <v>3236</v>
      </c>
      <c r="E1333" s="129"/>
      <c r="F1333" s="129"/>
      <c r="G1333" s="69" t="str">
        <f>IF(stdProdLT(Main[[#This Row],[Comments]])=0.1,"N/A",IF(stdProdLT(Main[[#This Row],[Comments]])=0,"",stdProdLT(Main[[#This Row],[Comments]])))</f>
        <v/>
      </c>
      <c r="H1333" s="138" t="str">
        <f>IF(Main[[#This Row],[In Stock Date]]="N/A", "N/A",IF(AND(Main[[#This Row],[In Stock Date]]&lt;&gt;"",Main[[#This Row],[Revised Due Date]]&lt;&gt;"",Main[[#This Row],[In Stock Date]]&lt;&gt;""),Main[[#This Row],[In Stock Date]]-Main[[#This Row],[Revised Due Date]],""))</f>
        <v/>
      </c>
      <c r="I1333" s="139" t="s">
        <v>2208</v>
      </c>
      <c r="J1333" s="139" t="s">
        <v>75</v>
      </c>
      <c r="K1333" s="139" t="s">
        <v>1923</v>
      </c>
      <c r="L1333" s="129"/>
      <c r="M1333" s="114" t="str">
        <f>IF(Main[[#This Row],[Tech Start Date]]&lt;1/1/1990,"",IF(Main[[#This Row],[Class]]="C",WORKDAY(Main[[#This Row],[Tech Start Date]],9),IF(Main[[#This Row],[Class]]="B", WORKDAY(Main[[#This Row],[Tech Start Date]],6),IF(Main[[#This Row],[Class]]="A",WORKDAY(Main[[#This Row],[Tech Start Date]],2),""))))</f>
        <v/>
      </c>
      <c r="N1333" s="114" t="str">
        <f>IF(Main[[#This Row],[Tech Start Date]]&lt;1/1/1990,"",IF(Main[[#This Row],[Class]]="C",WORKDAY(Main[[#This Row],[Tech Start Date]],19),IF(Main[[#This Row],[Class]]="B", WORKDAY(Main[[#This Row],[Tech Start Date]],12),IF(Main[[#This Row],[Class]]="A",WORKDAY(Main[[#This Row],[Tech Start Date]],4),""))))</f>
        <v/>
      </c>
      <c r="O1333" s="114" t="str">
        <f>IF(Main[[#This Row],[Tech Start Date]]&lt;1/1/1990,"",IF(Main[[#This Row],[Class]]="C",WORKDAY(Main[[#This Row],[Tech Start Date]],23),IF(Main[[#This Row],[Class]]="B", WORKDAY(Main[[#This Row],[Tech Start Date]],15),IF(Main[[#This Row],[Class]]="A",WORKDAY(Main[[#This Row],[Tech Start Date]],5),""))))</f>
        <v/>
      </c>
      <c r="P1333" s="114" t="str">
        <f>IF(Main[[#This Row],[Tech Start Date]]&lt;1/1/1990,"",IF(Main[[#This Row],[Class]]="C",WORKDAY(Main[[#This Row],[Tech Start Date]],28),IF(Main[[#This Row],[Class]]="B", WORKDAY(Main[[#This Row],[Tech Start Date]],19),IF(Main[[#This Row],[Class]]="A",WORKDAY(Main[[#This Row],[Tech Start Date]],9),""))))</f>
        <v/>
      </c>
      <c r="Q1333" s="129">
        <v>40939</v>
      </c>
      <c r="R1333" s="129"/>
      <c r="S1333" s="139" t="s">
        <v>6</v>
      </c>
      <c r="T1333" s="115" t="s">
        <v>4</v>
      </c>
      <c r="U1333" s="139" t="s">
        <v>14</v>
      </c>
      <c r="V1333" s="139" t="s">
        <v>1917</v>
      </c>
      <c r="W1333" s="139" t="s">
        <v>1918</v>
      </c>
      <c r="X1333" s="139" t="s">
        <v>2819</v>
      </c>
      <c r="Y1333" s="112" t="s">
        <v>2932</v>
      </c>
      <c r="Z1333" s="112" t="s">
        <v>30</v>
      </c>
      <c r="AA1333" s="139" t="s">
        <v>2819</v>
      </c>
    </row>
    <row r="1334" spans="1:27" ht="17.25" customHeight="1">
      <c r="A1334" s="69" t="str">
        <f>IF(priority(Main[[#This Row],[Comments]])&lt;&gt;0, priority(Main[[#This Row],[Comments]]),"")</f>
        <v/>
      </c>
      <c r="B1334" s="63" t="s">
        <v>3296</v>
      </c>
      <c r="C1334" s="148" t="s">
        <v>4</v>
      </c>
      <c r="D1334" s="113" t="s">
        <v>3297</v>
      </c>
      <c r="E1334" s="129"/>
      <c r="F1334" s="129"/>
      <c r="G1334" s="69" t="str">
        <f>IF(stdProdLT(Main[[#This Row],[Comments]])=0.1,"N/A",IF(stdProdLT(Main[[#This Row],[Comments]])=0,"",stdProdLT(Main[[#This Row],[Comments]])))</f>
        <v/>
      </c>
      <c r="H1334" s="138" t="str">
        <f>IF(Main[[#This Row],[In Stock Date]]="N/A", "N/A",IF(AND(Main[[#This Row],[In Stock Date]]&lt;&gt;"",Main[[#This Row],[Revised Due Date]]&lt;&gt;"",Main[[#This Row],[In Stock Date]]&lt;&gt;""),Main[[#This Row],[In Stock Date]]-Main[[#This Row],[Revised Due Date]],""))</f>
        <v/>
      </c>
      <c r="I1334" s="139" t="s">
        <v>4</v>
      </c>
      <c r="J1334" s="139" t="s">
        <v>4</v>
      </c>
      <c r="K1334" s="139" t="s">
        <v>4</v>
      </c>
      <c r="L1334" s="129"/>
      <c r="M1334" s="114" t="str">
        <f>IF(Main[[#This Row],[Tech Start Date]]&lt;1/1/1990,"",IF(Main[[#This Row],[Class]]="C",WORKDAY(Main[[#This Row],[Tech Start Date]],9),IF(Main[[#This Row],[Class]]="B", WORKDAY(Main[[#This Row],[Tech Start Date]],6),IF(Main[[#This Row],[Class]]="A",WORKDAY(Main[[#This Row],[Tech Start Date]],2),""))))</f>
        <v/>
      </c>
      <c r="N1334" s="114" t="str">
        <f>IF(Main[[#This Row],[Tech Start Date]]&lt;1/1/1990,"",IF(Main[[#This Row],[Class]]="C",WORKDAY(Main[[#This Row],[Tech Start Date]],19),IF(Main[[#This Row],[Class]]="B", WORKDAY(Main[[#This Row],[Tech Start Date]],12),IF(Main[[#This Row],[Class]]="A",WORKDAY(Main[[#This Row],[Tech Start Date]],4),""))))</f>
        <v/>
      </c>
      <c r="O1334" s="114" t="str">
        <f>IF(Main[[#This Row],[Tech Start Date]]&lt;1/1/1990,"",IF(Main[[#This Row],[Class]]="C",WORKDAY(Main[[#This Row],[Tech Start Date]],23),IF(Main[[#This Row],[Class]]="B", WORKDAY(Main[[#This Row],[Tech Start Date]],15),IF(Main[[#This Row],[Class]]="A",WORKDAY(Main[[#This Row],[Tech Start Date]],5),""))))</f>
        <v/>
      </c>
      <c r="P1334" s="114" t="str">
        <f>IF(Main[[#This Row],[Tech Start Date]]&lt;1/1/1990,"",IF(Main[[#This Row],[Class]]="C",WORKDAY(Main[[#This Row],[Tech Start Date]],28),IF(Main[[#This Row],[Class]]="B", WORKDAY(Main[[#This Row],[Tech Start Date]],19),IF(Main[[#This Row],[Class]]="A",WORKDAY(Main[[#This Row],[Tech Start Date]],9),""))))</f>
        <v/>
      </c>
      <c r="Q1334" s="129">
        <v>40969</v>
      </c>
      <c r="R1334" s="129"/>
      <c r="S1334" s="139" t="s">
        <v>11</v>
      </c>
      <c r="T1334" s="115" t="s">
        <v>4</v>
      </c>
      <c r="U1334" s="139" t="s">
        <v>14</v>
      </c>
      <c r="V1334" s="139" t="s">
        <v>1917</v>
      </c>
      <c r="W1334" s="139" t="s">
        <v>1919</v>
      </c>
      <c r="X1334" s="139" t="s">
        <v>553</v>
      </c>
      <c r="Y1334" s="112" t="s">
        <v>2952</v>
      </c>
      <c r="Z1334" s="112" t="s">
        <v>4</v>
      </c>
      <c r="AA1334" s="139" t="s">
        <v>553</v>
      </c>
    </row>
    <row r="1335" spans="1:27" ht="17.25" customHeight="1">
      <c r="A1335" s="69" t="str">
        <f>IF(priority(Main[[#This Row],[Comments]])&lt;&gt;0, priority(Main[[#This Row],[Comments]]),"")</f>
        <v/>
      </c>
      <c r="B1335" s="63" t="s">
        <v>1477</v>
      </c>
      <c r="C1335" s="148" t="s">
        <v>4</v>
      </c>
      <c r="D1335" s="113" t="s">
        <v>358</v>
      </c>
      <c r="E1335" s="129">
        <v>40926.591666666667</v>
      </c>
      <c r="F1335" s="129"/>
      <c r="G1335" s="69" t="str">
        <f>IF(stdProdLT(Main[[#This Row],[Comments]])=0.1,"N/A",IF(stdProdLT(Main[[#This Row],[Comments]])=0,"",stdProdLT(Main[[#This Row],[Comments]])))</f>
        <v/>
      </c>
      <c r="H1335" s="138" t="str">
        <f>IF(Main[[#This Row],[In Stock Date]]="N/A", "N/A",IF(AND(Main[[#This Row],[In Stock Date]]&lt;&gt;"",Main[[#This Row],[Revised Due Date]]&lt;&gt;"",Main[[#This Row],[In Stock Date]]&lt;&gt;""),Main[[#This Row],[In Stock Date]]-Main[[#This Row],[Revised Due Date]],""))</f>
        <v/>
      </c>
      <c r="I1335" s="139" t="s">
        <v>530</v>
      </c>
      <c r="J1335" s="139" t="s">
        <v>28</v>
      </c>
      <c r="K1335" s="139" t="s">
        <v>1923</v>
      </c>
      <c r="L1335" s="129"/>
      <c r="M1335" s="114" t="str">
        <f>IF(Main[[#This Row],[Tech Start Date]]&lt;1/1/1990,"",IF(Main[[#This Row],[Class]]="C",WORKDAY(Main[[#This Row],[Tech Start Date]],9),IF(Main[[#This Row],[Class]]="B", WORKDAY(Main[[#This Row],[Tech Start Date]],6),IF(Main[[#This Row],[Class]]="A",WORKDAY(Main[[#This Row],[Tech Start Date]],2),""))))</f>
        <v/>
      </c>
      <c r="N1335" s="114" t="str">
        <f>IF(Main[[#This Row],[Tech Start Date]]&lt;1/1/1990,"",IF(Main[[#This Row],[Class]]="C",WORKDAY(Main[[#This Row],[Tech Start Date]],19),IF(Main[[#This Row],[Class]]="B", WORKDAY(Main[[#This Row],[Tech Start Date]],12),IF(Main[[#This Row],[Class]]="A",WORKDAY(Main[[#This Row],[Tech Start Date]],4),""))))</f>
        <v/>
      </c>
      <c r="O1335" s="114" t="str">
        <f>IF(Main[[#This Row],[Tech Start Date]]&lt;1/1/1990,"",IF(Main[[#This Row],[Class]]="C",WORKDAY(Main[[#This Row],[Tech Start Date]],23),IF(Main[[#This Row],[Class]]="B", WORKDAY(Main[[#This Row],[Tech Start Date]],15),IF(Main[[#This Row],[Class]]="A",WORKDAY(Main[[#This Row],[Tech Start Date]],5),""))))</f>
        <v/>
      </c>
      <c r="P1335" s="114" t="str">
        <f>IF(Main[[#This Row],[Tech Start Date]]&lt;1/1/1990,"",IF(Main[[#This Row],[Class]]="C",WORKDAY(Main[[#This Row],[Tech Start Date]],28),IF(Main[[#This Row],[Class]]="B", WORKDAY(Main[[#This Row],[Tech Start Date]],19),IF(Main[[#This Row],[Class]]="A",WORKDAY(Main[[#This Row],[Tech Start Date]],9),""))))</f>
        <v/>
      </c>
      <c r="Q1335" s="129">
        <v>40746</v>
      </c>
      <c r="R1335" s="129"/>
      <c r="S1335" s="139" t="s">
        <v>6</v>
      </c>
      <c r="T1335" s="115" t="s">
        <v>4</v>
      </c>
      <c r="U1335" s="139" t="s">
        <v>29</v>
      </c>
      <c r="V1335" s="139" t="s">
        <v>1917</v>
      </c>
      <c r="W1335" s="139" t="s">
        <v>1918</v>
      </c>
      <c r="X1335" s="139" t="s">
        <v>2819</v>
      </c>
      <c r="Y1335" s="112" t="s">
        <v>2932</v>
      </c>
      <c r="Z1335" s="112" t="s">
        <v>30</v>
      </c>
      <c r="AA1335" s="139" t="s">
        <v>2819</v>
      </c>
    </row>
    <row r="1336" spans="1:27" ht="17.25" customHeight="1">
      <c r="A1336" s="69" t="str">
        <f>IF(priority(Main[[#This Row],[Comments]])&lt;&gt;0, priority(Main[[#This Row],[Comments]]),"")</f>
        <v/>
      </c>
      <c r="B1336" s="63" t="s">
        <v>2809</v>
      </c>
      <c r="C1336" s="148" t="s">
        <v>4</v>
      </c>
      <c r="D1336" s="113" t="s">
        <v>2810</v>
      </c>
      <c r="E1336" s="129">
        <v>40918.365578703706</v>
      </c>
      <c r="F1336" s="129"/>
      <c r="G1336" s="69" t="str">
        <f>IF(stdProdLT(Main[[#This Row],[Comments]])=0.1,"N/A",IF(stdProdLT(Main[[#This Row],[Comments]])=0,"",stdProdLT(Main[[#This Row],[Comments]])))</f>
        <v/>
      </c>
      <c r="H1336" s="138" t="str">
        <f>IF(Main[[#This Row],[In Stock Date]]="N/A", "N/A",IF(AND(Main[[#This Row],[In Stock Date]]&lt;&gt;"",Main[[#This Row],[Revised Due Date]]&lt;&gt;"",Main[[#This Row],[In Stock Date]]&lt;&gt;""),Main[[#This Row],[In Stock Date]]-Main[[#This Row],[Revised Due Date]],""))</f>
        <v/>
      </c>
      <c r="I1336" s="139" t="s">
        <v>4</v>
      </c>
      <c r="J1336" s="139" t="s">
        <v>4</v>
      </c>
      <c r="K1336" s="139" t="s">
        <v>4</v>
      </c>
      <c r="L1336" s="129"/>
      <c r="M1336" s="114" t="str">
        <f>IF(Main[[#This Row],[Tech Start Date]]&lt;1/1/1990,"",IF(Main[[#This Row],[Class]]="C",WORKDAY(Main[[#This Row],[Tech Start Date]],9),IF(Main[[#This Row],[Class]]="B", WORKDAY(Main[[#This Row],[Tech Start Date]],6),IF(Main[[#This Row],[Class]]="A",WORKDAY(Main[[#This Row],[Tech Start Date]],2),""))))</f>
        <v/>
      </c>
      <c r="N1336" s="114" t="str">
        <f>IF(Main[[#This Row],[Tech Start Date]]&lt;1/1/1990,"",IF(Main[[#This Row],[Class]]="C",WORKDAY(Main[[#This Row],[Tech Start Date]],19),IF(Main[[#This Row],[Class]]="B", WORKDAY(Main[[#This Row],[Tech Start Date]],12),IF(Main[[#This Row],[Class]]="A",WORKDAY(Main[[#This Row],[Tech Start Date]],4),""))))</f>
        <v/>
      </c>
      <c r="O1336" s="114" t="str">
        <f>IF(Main[[#This Row],[Tech Start Date]]&lt;1/1/1990,"",IF(Main[[#This Row],[Class]]="C",WORKDAY(Main[[#This Row],[Tech Start Date]],23),IF(Main[[#This Row],[Class]]="B", WORKDAY(Main[[#This Row],[Tech Start Date]],15),IF(Main[[#This Row],[Class]]="A",WORKDAY(Main[[#This Row],[Tech Start Date]],5),""))))</f>
        <v/>
      </c>
      <c r="P1336" s="114" t="str">
        <f>IF(Main[[#This Row],[Tech Start Date]]&lt;1/1/1990,"",IF(Main[[#This Row],[Class]]="C",WORKDAY(Main[[#This Row],[Tech Start Date]],28),IF(Main[[#This Row],[Class]]="B", WORKDAY(Main[[#This Row],[Tech Start Date]],19),IF(Main[[#This Row],[Class]]="A",WORKDAY(Main[[#This Row],[Tech Start Date]],9),""))))</f>
        <v/>
      </c>
      <c r="Q1336" s="129">
        <v>40925</v>
      </c>
      <c r="R1336" s="129"/>
      <c r="S1336" s="139" t="s">
        <v>6</v>
      </c>
      <c r="T1336" s="115" t="s">
        <v>4</v>
      </c>
      <c r="U1336" s="139" t="s">
        <v>7</v>
      </c>
      <c r="V1336" s="139" t="s">
        <v>1914</v>
      </c>
      <c r="W1336" s="139" t="s">
        <v>4</v>
      </c>
      <c r="X1336" s="139" t="s">
        <v>2819</v>
      </c>
      <c r="Y1336" s="112" t="s">
        <v>2932</v>
      </c>
      <c r="Z1336" s="112" t="s">
        <v>4</v>
      </c>
      <c r="AA1336" s="139" t="s">
        <v>2819</v>
      </c>
    </row>
    <row r="1337" spans="1:27" ht="17.25" customHeight="1">
      <c r="A1337" s="69" t="str">
        <f>IF(priority(Main[[#This Row],[Comments]])&lt;&gt;0, priority(Main[[#This Row],[Comments]]),"")</f>
        <v/>
      </c>
      <c r="B1337" s="63" t="s">
        <v>3188</v>
      </c>
      <c r="C1337" s="148" t="s">
        <v>31</v>
      </c>
      <c r="D1337" s="113" t="s">
        <v>3189</v>
      </c>
      <c r="E1337" s="129"/>
      <c r="F1337" s="129">
        <v>41122</v>
      </c>
      <c r="G1337" s="69" t="str">
        <f>IF(stdProdLT(Main[[#This Row],[Comments]])=0.1,"N/A",IF(stdProdLT(Main[[#This Row],[Comments]])=0,"",stdProdLT(Main[[#This Row],[Comments]])))</f>
        <v/>
      </c>
      <c r="H1337" s="138" t="str">
        <f>IF(Main[[#This Row],[In Stock Date]]="N/A", "N/A",IF(AND(Main[[#This Row],[In Stock Date]]&lt;&gt;"",Main[[#This Row],[Revised Due Date]]&lt;&gt;"",Main[[#This Row],[In Stock Date]]&lt;&gt;""),Main[[#This Row],[In Stock Date]]-Main[[#This Row],[Revised Due Date]],""))</f>
        <v/>
      </c>
      <c r="I1337" s="139" t="s">
        <v>4</v>
      </c>
      <c r="J1337" s="139" t="s">
        <v>4</v>
      </c>
      <c r="K1337" s="139" t="s">
        <v>4</v>
      </c>
      <c r="L1337" s="129"/>
      <c r="M1337" s="114" t="str">
        <f>IF(Main[[#This Row],[Tech Start Date]]&lt;1/1/1990,"",IF(Main[[#This Row],[Class]]="C",WORKDAY(Main[[#This Row],[Tech Start Date]],9),IF(Main[[#This Row],[Class]]="B", WORKDAY(Main[[#This Row],[Tech Start Date]],6),IF(Main[[#This Row],[Class]]="A",WORKDAY(Main[[#This Row],[Tech Start Date]],2),""))))</f>
        <v/>
      </c>
      <c r="N1337" s="114" t="str">
        <f>IF(Main[[#This Row],[Tech Start Date]]&lt;1/1/1990,"",IF(Main[[#This Row],[Class]]="C",WORKDAY(Main[[#This Row],[Tech Start Date]],19),IF(Main[[#This Row],[Class]]="B", WORKDAY(Main[[#This Row],[Tech Start Date]],12),IF(Main[[#This Row],[Class]]="A",WORKDAY(Main[[#This Row],[Tech Start Date]],4),""))))</f>
        <v/>
      </c>
      <c r="O1337" s="114" t="str">
        <f>IF(Main[[#This Row],[Tech Start Date]]&lt;1/1/1990,"",IF(Main[[#This Row],[Class]]="C",WORKDAY(Main[[#This Row],[Tech Start Date]],23),IF(Main[[#This Row],[Class]]="B", WORKDAY(Main[[#This Row],[Tech Start Date]],15),IF(Main[[#This Row],[Class]]="A",WORKDAY(Main[[#This Row],[Tech Start Date]],5),""))))</f>
        <v/>
      </c>
      <c r="P1337" s="114" t="str">
        <f>IF(Main[[#This Row],[Tech Start Date]]&lt;1/1/1990,"",IF(Main[[#This Row],[Class]]="C",WORKDAY(Main[[#This Row],[Tech Start Date]],28),IF(Main[[#This Row],[Class]]="B", WORKDAY(Main[[#This Row],[Tech Start Date]],19),IF(Main[[#This Row],[Class]]="A",WORKDAY(Main[[#This Row],[Tech Start Date]],9),""))))</f>
        <v/>
      </c>
      <c r="Q1337" s="129">
        <v>40940</v>
      </c>
      <c r="R1337" s="129"/>
      <c r="S1337" s="139" t="s">
        <v>11</v>
      </c>
      <c r="T1337" s="115" t="s">
        <v>4</v>
      </c>
      <c r="U1337" s="139" t="s">
        <v>12</v>
      </c>
      <c r="V1337" s="139" t="s">
        <v>1917</v>
      </c>
      <c r="W1337" s="139" t="s">
        <v>1925</v>
      </c>
      <c r="X1337" s="139" t="s">
        <v>2846</v>
      </c>
      <c r="Y1337" s="112" t="s">
        <v>4</v>
      </c>
      <c r="Z1337" s="112" t="s">
        <v>4</v>
      </c>
      <c r="AA1337" s="139" t="s">
        <v>2846</v>
      </c>
    </row>
    <row r="1338" spans="1:27" ht="17.25" customHeight="1">
      <c r="A1338" s="69" t="str">
        <f>IF(priority(Main[[#This Row],[Comments]])&lt;&gt;0, priority(Main[[#This Row],[Comments]]),"")</f>
        <v/>
      </c>
      <c r="B1338" s="63" t="s">
        <v>3209</v>
      </c>
      <c r="C1338" s="148" t="s">
        <v>4</v>
      </c>
      <c r="D1338" s="113" t="s">
        <v>3365</v>
      </c>
      <c r="E1338" s="129">
        <v>40921.54005787037</v>
      </c>
      <c r="F1338" s="129"/>
      <c r="G1338" s="69" t="str">
        <f>IF(stdProdLT(Main[[#This Row],[Comments]])=0.1,"N/A",IF(stdProdLT(Main[[#This Row],[Comments]])=0,"",stdProdLT(Main[[#This Row],[Comments]])))</f>
        <v/>
      </c>
      <c r="H1338" s="138" t="str">
        <f>IF(Main[[#This Row],[In Stock Date]]="N/A", "N/A",IF(AND(Main[[#This Row],[In Stock Date]]&lt;&gt;"",Main[[#This Row],[Revised Due Date]]&lt;&gt;"",Main[[#This Row],[In Stock Date]]&lt;&gt;""),Main[[#This Row],[In Stock Date]]-Main[[#This Row],[Revised Due Date]],""))</f>
        <v/>
      </c>
      <c r="I1338" s="139" t="s">
        <v>912</v>
      </c>
      <c r="J1338" s="139" t="s">
        <v>52</v>
      </c>
      <c r="K1338" s="139" t="s">
        <v>4</v>
      </c>
      <c r="L1338" s="129"/>
      <c r="M1338" s="114" t="str">
        <f>IF(Main[[#This Row],[Tech Start Date]]&lt;1/1/1990,"",IF(Main[[#This Row],[Class]]="C",WORKDAY(Main[[#This Row],[Tech Start Date]],9),IF(Main[[#This Row],[Class]]="B", WORKDAY(Main[[#This Row],[Tech Start Date]],6),IF(Main[[#This Row],[Class]]="A",WORKDAY(Main[[#This Row],[Tech Start Date]],2),""))))</f>
        <v/>
      </c>
      <c r="N1338" s="114" t="str">
        <f>IF(Main[[#This Row],[Tech Start Date]]&lt;1/1/1990,"",IF(Main[[#This Row],[Class]]="C",WORKDAY(Main[[#This Row],[Tech Start Date]],19),IF(Main[[#This Row],[Class]]="B", WORKDAY(Main[[#This Row],[Tech Start Date]],12),IF(Main[[#This Row],[Class]]="A",WORKDAY(Main[[#This Row],[Tech Start Date]],4),""))))</f>
        <v/>
      </c>
      <c r="O1338" s="114" t="str">
        <f>IF(Main[[#This Row],[Tech Start Date]]&lt;1/1/1990,"",IF(Main[[#This Row],[Class]]="C",WORKDAY(Main[[#This Row],[Tech Start Date]],23),IF(Main[[#This Row],[Class]]="B", WORKDAY(Main[[#This Row],[Tech Start Date]],15),IF(Main[[#This Row],[Class]]="A",WORKDAY(Main[[#This Row],[Tech Start Date]],5),""))))</f>
        <v/>
      </c>
      <c r="P1338" s="114" t="str">
        <f>IF(Main[[#This Row],[Tech Start Date]]&lt;1/1/1990,"",IF(Main[[#This Row],[Class]]="C",WORKDAY(Main[[#This Row],[Tech Start Date]],28),IF(Main[[#This Row],[Class]]="B", WORKDAY(Main[[#This Row],[Tech Start Date]],19),IF(Main[[#This Row],[Class]]="A",WORKDAY(Main[[#This Row],[Tech Start Date]],9),""))))</f>
        <v/>
      </c>
      <c r="Q1338" s="129"/>
      <c r="R1338" s="129"/>
      <c r="S1338" s="139" t="s">
        <v>6</v>
      </c>
      <c r="T1338" s="115" t="s">
        <v>4</v>
      </c>
      <c r="U1338" s="139" t="s">
        <v>29</v>
      </c>
      <c r="V1338" s="139" t="s">
        <v>1914</v>
      </c>
      <c r="W1338" s="139" t="s">
        <v>1918</v>
      </c>
      <c r="X1338" s="139" t="s">
        <v>937</v>
      </c>
      <c r="Y1338" s="112" t="s">
        <v>2984</v>
      </c>
      <c r="Z1338" s="112" t="s">
        <v>4</v>
      </c>
      <c r="AA1338" s="139" t="s">
        <v>937</v>
      </c>
    </row>
    <row r="1339" spans="1:27" ht="17.25" customHeight="1">
      <c r="A1339" s="69" t="str">
        <f>IF(priority(Main[[#This Row],[Comments]])&lt;&gt;0, priority(Main[[#This Row],[Comments]]),"")</f>
        <v/>
      </c>
      <c r="B1339" s="63" t="s">
        <v>3759</v>
      </c>
      <c r="C1339" s="148" t="s">
        <v>47</v>
      </c>
      <c r="D1339" s="113" t="s">
        <v>3760</v>
      </c>
      <c r="E1339" s="129">
        <v>40961.495104166665</v>
      </c>
      <c r="F1339" s="129"/>
      <c r="G1339" s="69" t="str">
        <f>IF(stdProdLT(Main[[#This Row],[Comments]])=0.1,"N/A",IF(stdProdLT(Main[[#This Row],[Comments]])=0,"",stdProdLT(Main[[#This Row],[Comments]])))</f>
        <v/>
      </c>
      <c r="H1339" s="138" t="str">
        <f>IF(Main[[#This Row],[In Stock Date]]="N/A", "N/A",IF(AND(Main[[#This Row],[In Stock Date]]&lt;&gt;"",Main[[#This Row],[Revised Due Date]]&lt;&gt;"",Main[[#This Row],[In Stock Date]]&lt;&gt;""),Main[[#This Row],[In Stock Date]]-Main[[#This Row],[Revised Due Date]],""))</f>
        <v/>
      </c>
      <c r="I1339" s="139" t="s">
        <v>4</v>
      </c>
      <c r="J1339" s="139" t="s">
        <v>4</v>
      </c>
      <c r="K1339" s="139" t="s">
        <v>4</v>
      </c>
      <c r="L1339" s="129"/>
      <c r="M1339" s="114" t="str">
        <f>IF(Main[[#This Row],[Tech Start Date]]&lt;1/1/1990,"",IF(Main[[#This Row],[Class]]="C",WORKDAY(Main[[#This Row],[Tech Start Date]],9),IF(Main[[#This Row],[Class]]="B", WORKDAY(Main[[#This Row],[Tech Start Date]],6),IF(Main[[#This Row],[Class]]="A",WORKDAY(Main[[#This Row],[Tech Start Date]],2),""))))</f>
        <v/>
      </c>
      <c r="N1339" s="114" t="str">
        <f>IF(Main[[#This Row],[Tech Start Date]]&lt;1/1/1990,"",IF(Main[[#This Row],[Class]]="C",WORKDAY(Main[[#This Row],[Tech Start Date]],19),IF(Main[[#This Row],[Class]]="B", WORKDAY(Main[[#This Row],[Tech Start Date]],12),IF(Main[[#This Row],[Class]]="A",WORKDAY(Main[[#This Row],[Tech Start Date]],4),""))))</f>
        <v/>
      </c>
      <c r="O1339" s="114" t="str">
        <f>IF(Main[[#This Row],[Tech Start Date]]&lt;1/1/1990,"",IF(Main[[#This Row],[Class]]="C",WORKDAY(Main[[#This Row],[Tech Start Date]],23),IF(Main[[#This Row],[Class]]="B", WORKDAY(Main[[#This Row],[Tech Start Date]],15),IF(Main[[#This Row],[Class]]="A",WORKDAY(Main[[#This Row],[Tech Start Date]],5),""))))</f>
        <v/>
      </c>
      <c r="P1339" s="114" t="str">
        <f>IF(Main[[#This Row],[Tech Start Date]]&lt;1/1/1990,"",IF(Main[[#This Row],[Class]]="C",WORKDAY(Main[[#This Row],[Tech Start Date]],28),IF(Main[[#This Row],[Class]]="B", WORKDAY(Main[[#This Row],[Tech Start Date]],19),IF(Main[[#This Row],[Class]]="A",WORKDAY(Main[[#This Row],[Tech Start Date]],9),""))))</f>
        <v/>
      </c>
      <c r="Q1339" s="129"/>
      <c r="R1339" s="129"/>
      <c r="S1339" s="139" t="s">
        <v>6</v>
      </c>
      <c r="T1339" s="115" t="s">
        <v>4</v>
      </c>
      <c r="U1339" s="139" t="s">
        <v>29</v>
      </c>
      <c r="V1339" s="139" t="s">
        <v>2283</v>
      </c>
      <c r="W1339" s="139" t="s">
        <v>1918</v>
      </c>
      <c r="X1339" s="139" t="s">
        <v>2841</v>
      </c>
      <c r="Y1339" s="112" t="s">
        <v>2971</v>
      </c>
      <c r="Z1339" s="112" t="s">
        <v>4</v>
      </c>
      <c r="AA1339" s="139" t="s">
        <v>2841</v>
      </c>
    </row>
    <row r="1340" spans="1:27" ht="17.25" customHeight="1">
      <c r="A1340" s="69" t="str">
        <f>IF(priority(Main[[#This Row],[Comments]])&lt;&gt;0, priority(Main[[#This Row],[Comments]]),"")</f>
        <v/>
      </c>
      <c r="B1340" s="63" t="s">
        <v>2300</v>
      </c>
      <c r="C1340" s="148" t="s">
        <v>4</v>
      </c>
      <c r="D1340" s="113" t="s">
        <v>2592</v>
      </c>
      <c r="E1340" s="129">
        <v>40820.42082175926</v>
      </c>
      <c r="F1340" s="129"/>
      <c r="G1340" s="69" t="str">
        <f>IF(stdProdLT(Main[[#This Row],[Comments]])=0.1,"N/A",IF(stdProdLT(Main[[#This Row],[Comments]])=0,"",stdProdLT(Main[[#This Row],[Comments]])))</f>
        <v/>
      </c>
      <c r="H1340" s="138" t="str">
        <f>IF(Main[[#This Row],[In Stock Date]]="N/A", "N/A",IF(AND(Main[[#This Row],[In Stock Date]]&lt;&gt;"",Main[[#This Row],[Revised Due Date]]&lt;&gt;"",Main[[#This Row],[In Stock Date]]&lt;&gt;""),Main[[#This Row],[In Stock Date]]-Main[[#This Row],[Revised Due Date]],""))</f>
        <v/>
      </c>
      <c r="I1340" s="139" t="s">
        <v>561</v>
      </c>
      <c r="J1340" s="139" t="s">
        <v>21</v>
      </c>
      <c r="K1340" s="139" t="s">
        <v>4</v>
      </c>
      <c r="L1340" s="129"/>
      <c r="M1340" s="114" t="str">
        <f>IF(Main[[#This Row],[Tech Start Date]]&lt;1/1/1990,"",IF(Main[[#This Row],[Class]]="C",WORKDAY(Main[[#This Row],[Tech Start Date]],9),IF(Main[[#This Row],[Class]]="B", WORKDAY(Main[[#This Row],[Tech Start Date]],6),IF(Main[[#This Row],[Class]]="A",WORKDAY(Main[[#This Row],[Tech Start Date]],2),""))))</f>
        <v/>
      </c>
      <c r="N1340" s="114" t="str">
        <f>IF(Main[[#This Row],[Tech Start Date]]&lt;1/1/1990,"",IF(Main[[#This Row],[Class]]="C",WORKDAY(Main[[#This Row],[Tech Start Date]],19),IF(Main[[#This Row],[Class]]="B", WORKDAY(Main[[#This Row],[Tech Start Date]],12),IF(Main[[#This Row],[Class]]="A",WORKDAY(Main[[#This Row],[Tech Start Date]],4),""))))</f>
        <v/>
      </c>
      <c r="O1340" s="114" t="str">
        <f>IF(Main[[#This Row],[Tech Start Date]]&lt;1/1/1990,"",IF(Main[[#This Row],[Class]]="C",WORKDAY(Main[[#This Row],[Tech Start Date]],23),IF(Main[[#This Row],[Class]]="B", WORKDAY(Main[[#This Row],[Tech Start Date]],15),IF(Main[[#This Row],[Class]]="A",WORKDAY(Main[[#This Row],[Tech Start Date]],5),""))))</f>
        <v/>
      </c>
      <c r="P1340" s="114" t="str">
        <f>IF(Main[[#This Row],[Tech Start Date]]&lt;1/1/1990,"",IF(Main[[#This Row],[Class]]="C",WORKDAY(Main[[#This Row],[Tech Start Date]],28),IF(Main[[#This Row],[Class]]="B", WORKDAY(Main[[#This Row],[Tech Start Date]],19),IF(Main[[#This Row],[Class]]="A",WORKDAY(Main[[#This Row],[Tech Start Date]],9),""))))</f>
        <v/>
      </c>
      <c r="Q1340" s="129"/>
      <c r="R1340" s="129">
        <v>40840</v>
      </c>
      <c r="S1340" s="139" t="s">
        <v>6</v>
      </c>
      <c r="T1340" s="115" t="s">
        <v>4</v>
      </c>
      <c r="U1340" s="139" t="s">
        <v>29</v>
      </c>
      <c r="V1340" s="139" t="s">
        <v>1914</v>
      </c>
      <c r="W1340" s="139" t="s">
        <v>1922</v>
      </c>
      <c r="X1340" s="139" t="s">
        <v>50</v>
      </c>
      <c r="Y1340" s="112" t="s">
        <v>2959</v>
      </c>
      <c r="Z1340" s="112" t="s">
        <v>4</v>
      </c>
      <c r="AA1340" s="139" t="s">
        <v>2828</v>
      </c>
    </row>
    <row r="1341" spans="1:27" ht="17.25" customHeight="1">
      <c r="A1341" s="69" t="str">
        <f>IF(priority(Main[[#This Row],[Comments]])&lt;&gt;0, priority(Main[[#This Row],[Comments]]),"")</f>
        <v/>
      </c>
      <c r="B1341" s="63" t="s">
        <v>3554</v>
      </c>
      <c r="C1341" s="148" t="s">
        <v>4</v>
      </c>
      <c r="D1341" s="113" t="s">
        <v>3555</v>
      </c>
      <c r="E1341" s="129">
        <v>40945.679675925923</v>
      </c>
      <c r="F1341" s="129"/>
      <c r="G1341" s="69" t="str">
        <f>IF(stdProdLT(Main[[#This Row],[Comments]])=0.1,"N/A",IF(stdProdLT(Main[[#This Row],[Comments]])=0,"",stdProdLT(Main[[#This Row],[Comments]])))</f>
        <v/>
      </c>
      <c r="H1341" s="138" t="str">
        <f>IF(Main[[#This Row],[In Stock Date]]="N/A", "N/A",IF(AND(Main[[#This Row],[In Stock Date]]&lt;&gt;"",Main[[#This Row],[Revised Due Date]]&lt;&gt;"",Main[[#This Row],[In Stock Date]]&lt;&gt;""),Main[[#This Row],[In Stock Date]]-Main[[#This Row],[Revised Due Date]],""))</f>
        <v/>
      </c>
      <c r="I1341" s="139" t="s">
        <v>4</v>
      </c>
      <c r="J1341" s="139" t="s">
        <v>4</v>
      </c>
      <c r="K1341" s="139" t="s">
        <v>4</v>
      </c>
      <c r="L1341" s="129"/>
      <c r="M1341" s="114" t="str">
        <f>IF(Main[[#This Row],[Tech Start Date]]&lt;1/1/1990,"",IF(Main[[#This Row],[Class]]="C",WORKDAY(Main[[#This Row],[Tech Start Date]],9),IF(Main[[#This Row],[Class]]="B", WORKDAY(Main[[#This Row],[Tech Start Date]],6),IF(Main[[#This Row],[Class]]="A",WORKDAY(Main[[#This Row],[Tech Start Date]],2),""))))</f>
        <v/>
      </c>
      <c r="N1341" s="114" t="str">
        <f>IF(Main[[#This Row],[Tech Start Date]]&lt;1/1/1990,"",IF(Main[[#This Row],[Class]]="C",WORKDAY(Main[[#This Row],[Tech Start Date]],19),IF(Main[[#This Row],[Class]]="B", WORKDAY(Main[[#This Row],[Tech Start Date]],12),IF(Main[[#This Row],[Class]]="A",WORKDAY(Main[[#This Row],[Tech Start Date]],4),""))))</f>
        <v/>
      </c>
      <c r="O1341" s="114" t="str">
        <f>IF(Main[[#This Row],[Tech Start Date]]&lt;1/1/1990,"",IF(Main[[#This Row],[Class]]="C",WORKDAY(Main[[#This Row],[Tech Start Date]],23),IF(Main[[#This Row],[Class]]="B", WORKDAY(Main[[#This Row],[Tech Start Date]],15),IF(Main[[#This Row],[Class]]="A",WORKDAY(Main[[#This Row],[Tech Start Date]],5),""))))</f>
        <v/>
      </c>
      <c r="P1341" s="114" t="str">
        <f>IF(Main[[#This Row],[Tech Start Date]]&lt;1/1/1990,"",IF(Main[[#This Row],[Class]]="C",WORKDAY(Main[[#This Row],[Tech Start Date]],28),IF(Main[[#This Row],[Class]]="B", WORKDAY(Main[[#This Row],[Tech Start Date]],19),IF(Main[[#This Row],[Class]]="A",WORKDAY(Main[[#This Row],[Tech Start Date]],9),""))))</f>
        <v/>
      </c>
      <c r="Q1341" s="129"/>
      <c r="R1341" s="129"/>
      <c r="S1341" s="139" t="s">
        <v>4</v>
      </c>
      <c r="T1341" s="115" t="s">
        <v>4</v>
      </c>
      <c r="U1341" s="139" t="s">
        <v>7</v>
      </c>
      <c r="V1341" s="139" t="s">
        <v>1914</v>
      </c>
      <c r="W1341" s="139" t="s">
        <v>4</v>
      </c>
      <c r="X1341" s="139" t="s">
        <v>3556</v>
      </c>
      <c r="Y1341" s="112" t="s">
        <v>3557</v>
      </c>
      <c r="Z1341" s="112" t="s">
        <v>4</v>
      </c>
      <c r="AA1341" s="139" t="s">
        <v>3556</v>
      </c>
    </row>
    <row r="1342" spans="1:27" ht="17.25" customHeight="1">
      <c r="A1342" s="69" t="str">
        <f>IF(priority(Main[[#This Row],[Comments]])&lt;&gt;0, priority(Main[[#This Row],[Comments]]),"")</f>
        <v/>
      </c>
      <c r="B1342" s="63" t="s">
        <v>3272</v>
      </c>
      <c r="C1342" s="148" t="s">
        <v>4</v>
      </c>
      <c r="D1342" s="113" t="s">
        <v>3761</v>
      </c>
      <c r="E1342" s="129">
        <v>40935.663275462961</v>
      </c>
      <c r="F1342" s="129"/>
      <c r="G1342" s="69" t="str">
        <f>IF(stdProdLT(Main[[#This Row],[Comments]])=0.1,"N/A",IF(stdProdLT(Main[[#This Row],[Comments]])=0,"",stdProdLT(Main[[#This Row],[Comments]])))</f>
        <v/>
      </c>
      <c r="H1342" s="138" t="str">
        <f>IF(Main[[#This Row],[In Stock Date]]="N/A", "N/A",IF(AND(Main[[#This Row],[In Stock Date]]&lt;&gt;"",Main[[#This Row],[Revised Due Date]]&lt;&gt;"",Main[[#This Row],[In Stock Date]]&lt;&gt;""),Main[[#This Row],[In Stock Date]]-Main[[#This Row],[Revised Due Date]],""))</f>
        <v/>
      </c>
      <c r="I1342" s="139" t="s">
        <v>2051</v>
      </c>
      <c r="J1342" s="139" t="s">
        <v>28</v>
      </c>
      <c r="K1342" s="140" t="s">
        <v>1923</v>
      </c>
      <c r="L1342" s="129"/>
      <c r="M1342" s="114" t="str">
        <f>IF(Main[[#This Row],[Tech Start Date]]&lt;1/1/1990,"",IF(Main[[#This Row],[Class]]="C",WORKDAY(Main[[#This Row],[Tech Start Date]],9),IF(Main[[#This Row],[Class]]="B", WORKDAY(Main[[#This Row],[Tech Start Date]],6),IF(Main[[#This Row],[Class]]="A",WORKDAY(Main[[#This Row],[Tech Start Date]],2),""))))</f>
        <v/>
      </c>
      <c r="N1342" s="114" t="str">
        <f>IF(Main[[#This Row],[Tech Start Date]]&lt;1/1/1990,"",IF(Main[[#This Row],[Class]]="C",WORKDAY(Main[[#This Row],[Tech Start Date]],19),IF(Main[[#This Row],[Class]]="B", WORKDAY(Main[[#This Row],[Tech Start Date]],12),IF(Main[[#This Row],[Class]]="A",WORKDAY(Main[[#This Row],[Tech Start Date]],4),""))))</f>
        <v/>
      </c>
      <c r="O1342" s="114" t="str">
        <f>IF(Main[[#This Row],[Tech Start Date]]&lt;1/1/1990,"",IF(Main[[#This Row],[Class]]="C",WORKDAY(Main[[#This Row],[Tech Start Date]],23),IF(Main[[#This Row],[Class]]="B", WORKDAY(Main[[#This Row],[Tech Start Date]],15),IF(Main[[#This Row],[Class]]="A",WORKDAY(Main[[#This Row],[Tech Start Date]],5),""))))</f>
        <v/>
      </c>
      <c r="P1342" s="114" t="str">
        <f>IF(Main[[#This Row],[Tech Start Date]]&lt;1/1/1990,"",IF(Main[[#This Row],[Class]]="C",WORKDAY(Main[[#This Row],[Tech Start Date]],28),IF(Main[[#This Row],[Class]]="B", WORKDAY(Main[[#This Row],[Tech Start Date]],19),IF(Main[[#This Row],[Class]]="A",WORKDAY(Main[[#This Row],[Tech Start Date]],9),""))))</f>
        <v/>
      </c>
      <c r="Q1342" s="129">
        <v>41015</v>
      </c>
      <c r="R1342" s="129"/>
      <c r="S1342" s="139" t="s">
        <v>6</v>
      </c>
      <c r="T1342" s="115" t="s">
        <v>4</v>
      </c>
      <c r="U1342" s="139" t="s">
        <v>29</v>
      </c>
      <c r="V1342" s="139" t="s">
        <v>1917</v>
      </c>
      <c r="W1342" s="139" t="s">
        <v>1918</v>
      </c>
      <c r="X1342" s="139" t="s">
        <v>2841</v>
      </c>
      <c r="Y1342" s="112" t="s">
        <v>2971</v>
      </c>
      <c r="Z1342" s="112" t="s">
        <v>30</v>
      </c>
      <c r="AA1342" s="139" t="s">
        <v>2841</v>
      </c>
    </row>
    <row r="1343" spans="1:27" ht="17.25" customHeight="1">
      <c r="A1343" s="69" t="str">
        <f>IF(priority(Main[[#This Row],[Comments]])&lt;&gt;0, priority(Main[[#This Row],[Comments]]),"")</f>
        <v/>
      </c>
      <c r="B1343" s="63" t="s">
        <v>3534</v>
      </c>
      <c r="C1343" s="148" t="s">
        <v>53</v>
      </c>
      <c r="D1343" s="113" t="s">
        <v>3535</v>
      </c>
      <c r="E1343" s="129">
        <v>40960.929155092592</v>
      </c>
      <c r="F1343" s="129"/>
      <c r="G1343" s="69">
        <f>IF(stdProdLT(Main[[#This Row],[Comments]])=0.1,"N/A",IF(stdProdLT(Main[[#This Row],[Comments]])=0,"",stdProdLT(Main[[#This Row],[Comments]])))</f>
        <v>112</v>
      </c>
      <c r="H1343" s="138" t="str">
        <f>IF(Main[[#This Row],[In Stock Date]]="N/A", "N/A",IF(AND(Main[[#This Row],[In Stock Date]]&lt;&gt;"",Main[[#This Row],[Revised Due Date]]&lt;&gt;"",Main[[#This Row],[In Stock Date]]&lt;&gt;""),Main[[#This Row],[In Stock Date]]-Main[[#This Row],[Revised Due Date]],""))</f>
        <v/>
      </c>
      <c r="I1343" s="139" t="s">
        <v>4</v>
      </c>
      <c r="J1343" s="139" t="s">
        <v>4</v>
      </c>
      <c r="K1343" s="139" t="s">
        <v>4</v>
      </c>
      <c r="L1343" s="129"/>
      <c r="M1343" s="114" t="str">
        <f>IF(Main[[#This Row],[Tech Start Date]]&lt;1/1/1990,"",IF(Main[[#This Row],[Class]]="C",WORKDAY(Main[[#This Row],[Tech Start Date]],9),IF(Main[[#This Row],[Class]]="B", WORKDAY(Main[[#This Row],[Tech Start Date]],6),IF(Main[[#This Row],[Class]]="A",WORKDAY(Main[[#This Row],[Tech Start Date]],2),""))))</f>
        <v/>
      </c>
      <c r="N1343" s="114" t="str">
        <f>IF(Main[[#This Row],[Tech Start Date]]&lt;1/1/1990,"",IF(Main[[#This Row],[Class]]="C",WORKDAY(Main[[#This Row],[Tech Start Date]],19),IF(Main[[#This Row],[Class]]="B", WORKDAY(Main[[#This Row],[Tech Start Date]],12),IF(Main[[#This Row],[Class]]="A",WORKDAY(Main[[#This Row],[Tech Start Date]],4),""))))</f>
        <v/>
      </c>
      <c r="O1343" s="114" t="str">
        <f>IF(Main[[#This Row],[Tech Start Date]]&lt;1/1/1990,"",IF(Main[[#This Row],[Class]]="C",WORKDAY(Main[[#This Row],[Tech Start Date]],23),IF(Main[[#This Row],[Class]]="B", WORKDAY(Main[[#This Row],[Tech Start Date]],15),IF(Main[[#This Row],[Class]]="A",WORKDAY(Main[[#This Row],[Tech Start Date]],5),""))))</f>
        <v/>
      </c>
      <c r="P1343" s="114" t="str">
        <f>IF(Main[[#This Row],[Tech Start Date]]&lt;1/1/1990,"",IF(Main[[#This Row],[Class]]="C",WORKDAY(Main[[#This Row],[Tech Start Date]],28),IF(Main[[#This Row],[Class]]="B", WORKDAY(Main[[#This Row],[Tech Start Date]],19),IF(Main[[#This Row],[Class]]="A",WORKDAY(Main[[#This Row],[Tech Start Date]],9),""))))</f>
        <v/>
      </c>
      <c r="Q1343" s="129">
        <v>40956</v>
      </c>
      <c r="R1343" s="129"/>
      <c r="S1343" s="139" t="s">
        <v>11</v>
      </c>
      <c r="T1343" s="115" t="s">
        <v>3762</v>
      </c>
      <c r="U1343" s="139" t="s">
        <v>694</v>
      </c>
      <c r="V1343" s="139" t="s">
        <v>1917</v>
      </c>
      <c r="W1343" s="139" t="s">
        <v>1916</v>
      </c>
      <c r="X1343" s="139" t="s">
        <v>3536</v>
      </c>
      <c r="Y1343" s="112" t="s">
        <v>4</v>
      </c>
      <c r="Z1343" s="112" t="s">
        <v>4</v>
      </c>
      <c r="AA1343" s="139" t="s">
        <v>3536</v>
      </c>
    </row>
    <row r="1344" spans="1:27" ht="17.25" customHeight="1">
      <c r="A1344" s="69" t="str">
        <f>IF(priority(Main[[#This Row],[Comments]])&lt;&gt;0, priority(Main[[#This Row],[Comments]]),"")</f>
        <v/>
      </c>
      <c r="B1344" s="63" t="s">
        <v>3370</v>
      </c>
      <c r="C1344" s="148" t="s">
        <v>4</v>
      </c>
      <c r="D1344" s="113" t="s">
        <v>3763</v>
      </c>
      <c r="E1344" s="129">
        <v>40940.228032407409</v>
      </c>
      <c r="F1344" s="129"/>
      <c r="G1344" s="69" t="str">
        <f>IF(stdProdLT(Main[[#This Row],[Comments]])=0.1,"N/A",IF(stdProdLT(Main[[#This Row],[Comments]])=0,"",stdProdLT(Main[[#This Row],[Comments]])))</f>
        <v/>
      </c>
      <c r="H1344" s="138" t="str">
        <f>IF(Main[[#This Row],[In Stock Date]]="N/A", "N/A",IF(AND(Main[[#This Row],[In Stock Date]]&lt;&gt;"",Main[[#This Row],[Revised Due Date]]&lt;&gt;"",Main[[#This Row],[In Stock Date]]&lt;&gt;""),Main[[#This Row],[In Stock Date]]-Main[[#This Row],[Revised Due Date]],""))</f>
        <v/>
      </c>
      <c r="I1344" s="139" t="s">
        <v>69</v>
      </c>
      <c r="J1344" s="139" t="s">
        <v>70</v>
      </c>
      <c r="K1344" s="139" t="s">
        <v>4</v>
      </c>
      <c r="L1344" s="129"/>
      <c r="M1344" s="114" t="str">
        <f>IF(Main[[#This Row],[Tech Start Date]]&lt;1/1/1990,"",IF(Main[[#This Row],[Class]]="C",WORKDAY(Main[[#This Row],[Tech Start Date]],9),IF(Main[[#This Row],[Class]]="B", WORKDAY(Main[[#This Row],[Tech Start Date]],6),IF(Main[[#This Row],[Class]]="A",WORKDAY(Main[[#This Row],[Tech Start Date]],2),""))))</f>
        <v/>
      </c>
      <c r="N1344" s="114" t="str">
        <f>IF(Main[[#This Row],[Tech Start Date]]&lt;1/1/1990,"",IF(Main[[#This Row],[Class]]="C",WORKDAY(Main[[#This Row],[Tech Start Date]],19),IF(Main[[#This Row],[Class]]="B", WORKDAY(Main[[#This Row],[Tech Start Date]],12),IF(Main[[#This Row],[Class]]="A",WORKDAY(Main[[#This Row],[Tech Start Date]],4),""))))</f>
        <v/>
      </c>
      <c r="O1344" s="114" t="str">
        <f>IF(Main[[#This Row],[Tech Start Date]]&lt;1/1/1990,"",IF(Main[[#This Row],[Class]]="C",WORKDAY(Main[[#This Row],[Tech Start Date]],23),IF(Main[[#This Row],[Class]]="B", WORKDAY(Main[[#This Row],[Tech Start Date]],15),IF(Main[[#This Row],[Class]]="A",WORKDAY(Main[[#This Row],[Tech Start Date]],5),""))))</f>
        <v/>
      </c>
      <c r="P1344" s="114" t="str">
        <f>IF(Main[[#This Row],[Tech Start Date]]&lt;1/1/1990,"",IF(Main[[#This Row],[Class]]="C",WORKDAY(Main[[#This Row],[Tech Start Date]],28),IF(Main[[#This Row],[Class]]="B", WORKDAY(Main[[#This Row],[Tech Start Date]],19),IF(Main[[#This Row],[Class]]="A",WORKDAY(Main[[#This Row],[Tech Start Date]],9),""))))</f>
        <v/>
      </c>
      <c r="Q1344" s="129">
        <v>40969</v>
      </c>
      <c r="R1344" s="129"/>
      <c r="S1344" s="139" t="s">
        <v>6</v>
      </c>
      <c r="T1344" s="115" t="s">
        <v>4</v>
      </c>
      <c r="U1344" s="139" t="s">
        <v>29</v>
      </c>
      <c r="V1344" s="139" t="s">
        <v>1917</v>
      </c>
      <c r="W1344" s="139" t="s">
        <v>4</v>
      </c>
      <c r="X1344" s="139" t="s">
        <v>2822</v>
      </c>
      <c r="Y1344" s="112" t="s">
        <v>2938</v>
      </c>
      <c r="Z1344" s="112" t="s">
        <v>4</v>
      </c>
      <c r="AA1344" s="139" t="s">
        <v>2822</v>
      </c>
    </row>
    <row r="1345" spans="1:27" ht="17.25" customHeight="1">
      <c r="A1345" s="69" t="str">
        <f>IF(priority(Main[[#This Row],[Comments]])&lt;&gt;0, priority(Main[[#This Row],[Comments]]),"")</f>
        <v/>
      </c>
      <c r="B1345" s="63" t="s">
        <v>2594</v>
      </c>
      <c r="C1345" s="148" t="s">
        <v>4</v>
      </c>
      <c r="D1345" s="113" t="s">
        <v>2595</v>
      </c>
      <c r="E1345" s="129">
        <v>40868.429988425924</v>
      </c>
      <c r="F1345" s="129"/>
      <c r="G1345" s="69" t="str">
        <f>IF(stdProdLT(Main[[#This Row],[Comments]])=0.1,"N/A",IF(stdProdLT(Main[[#This Row],[Comments]])=0,"",stdProdLT(Main[[#This Row],[Comments]])))</f>
        <v/>
      </c>
      <c r="H1345" s="138" t="str">
        <f>IF(Main[[#This Row],[In Stock Date]]="N/A", "N/A",IF(AND(Main[[#This Row],[In Stock Date]]&lt;&gt;"",Main[[#This Row],[Revised Due Date]]&lt;&gt;"",Main[[#This Row],[In Stock Date]]&lt;&gt;""),Main[[#This Row],[In Stock Date]]-Main[[#This Row],[Revised Due Date]],""))</f>
        <v/>
      </c>
      <c r="I1345" s="139" t="s">
        <v>239</v>
      </c>
      <c r="J1345" s="139" t="s">
        <v>21</v>
      </c>
      <c r="K1345" s="139" t="s">
        <v>4</v>
      </c>
      <c r="L1345" s="129"/>
      <c r="M1345" s="114" t="str">
        <f>IF(Main[[#This Row],[Tech Start Date]]&lt;1/1/1990,"",IF(Main[[#This Row],[Class]]="C",WORKDAY(Main[[#This Row],[Tech Start Date]],9),IF(Main[[#This Row],[Class]]="B", WORKDAY(Main[[#This Row],[Tech Start Date]],6),IF(Main[[#This Row],[Class]]="A",WORKDAY(Main[[#This Row],[Tech Start Date]],2),""))))</f>
        <v/>
      </c>
      <c r="N1345" s="114" t="str">
        <f>IF(Main[[#This Row],[Tech Start Date]]&lt;1/1/1990,"",IF(Main[[#This Row],[Class]]="C",WORKDAY(Main[[#This Row],[Tech Start Date]],19),IF(Main[[#This Row],[Class]]="B", WORKDAY(Main[[#This Row],[Tech Start Date]],12),IF(Main[[#This Row],[Class]]="A",WORKDAY(Main[[#This Row],[Tech Start Date]],4),""))))</f>
        <v/>
      </c>
      <c r="O1345" s="114" t="str">
        <f>IF(Main[[#This Row],[Tech Start Date]]&lt;1/1/1990,"",IF(Main[[#This Row],[Class]]="C",WORKDAY(Main[[#This Row],[Tech Start Date]],23),IF(Main[[#This Row],[Class]]="B", WORKDAY(Main[[#This Row],[Tech Start Date]],15),IF(Main[[#This Row],[Class]]="A",WORKDAY(Main[[#This Row],[Tech Start Date]],5),""))))</f>
        <v/>
      </c>
      <c r="P1345" s="114" t="str">
        <f>IF(Main[[#This Row],[Tech Start Date]]&lt;1/1/1990,"",IF(Main[[#This Row],[Class]]="C",WORKDAY(Main[[#This Row],[Tech Start Date]],28),IF(Main[[#This Row],[Class]]="B", WORKDAY(Main[[#This Row],[Tech Start Date]],19),IF(Main[[#This Row],[Class]]="A",WORKDAY(Main[[#This Row],[Tech Start Date]],9),""))))</f>
        <v/>
      </c>
      <c r="Q1345" s="129">
        <v>40877</v>
      </c>
      <c r="R1345" s="129"/>
      <c r="S1345" s="139" t="s">
        <v>6</v>
      </c>
      <c r="T1345" s="115" t="s">
        <v>4</v>
      </c>
      <c r="U1345" s="139" t="s">
        <v>29</v>
      </c>
      <c r="V1345" s="139" t="s">
        <v>1917</v>
      </c>
      <c r="W1345" s="139" t="s">
        <v>1918</v>
      </c>
      <c r="X1345" s="139" t="s">
        <v>239</v>
      </c>
      <c r="Y1345" s="112" t="s">
        <v>3140</v>
      </c>
      <c r="Z1345" s="112" t="s">
        <v>239</v>
      </c>
      <c r="AA1345" s="139" t="s">
        <v>239</v>
      </c>
    </row>
    <row r="1346" spans="1:27" ht="17.25" customHeight="1">
      <c r="A1346" s="69" t="str">
        <f>IF(priority(Main[[#This Row],[Comments]])&lt;&gt;0, priority(Main[[#This Row],[Comments]]),"")</f>
        <v/>
      </c>
      <c r="B1346" s="63" t="s">
        <v>2596</v>
      </c>
      <c r="C1346" s="148" t="s">
        <v>4</v>
      </c>
      <c r="D1346" s="113" t="s">
        <v>2790</v>
      </c>
      <c r="E1346" s="129">
        <v>40870.471666666665</v>
      </c>
      <c r="F1346" s="129"/>
      <c r="G1346" s="69" t="str">
        <f>IF(stdProdLT(Main[[#This Row],[Comments]])=0.1,"N/A",IF(stdProdLT(Main[[#This Row],[Comments]])=0,"",stdProdLT(Main[[#This Row],[Comments]])))</f>
        <v/>
      </c>
      <c r="H1346" s="138" t="str">
        <f>IF(Main[[#This Row],[In Stock Date]]="N/A", "N/A",IF(AND(Main[[#This Row],[In Stock Date]]&lt;&gt;"",Main[[#This Row],[Revised Due Date]]&lt;&gt;"",Main[[#This Row],[In Stock Date]]&lt;&gt;""),Main[[#This Row],[In Stock Date]]-Main[[#This Row],[Revised Due Date]],""))</f>
        <v/>
      </c>
      <c r="I1346" s="139" t="s">
        <v>4</v>
      </c>
      <c r="J1346" s="139" t="s">
        <v>28</v>
      </c>
      <c r="K1346" s="139" t="s">
        <v>1923</v>
      </c>
      <c r="L1346" s="129"/>
      <c r="M1346" s="114" t="str">
        <f>IF(Main[[#This Row],[Tech Start Date]]&lt;1/1/1990,"",IF(Main[[#This Row],[Class]]="C",WORKDAY(Main[[#This Row],[Tech Start Date]],9),IF(Main[[#This Row],[Class]]="B", WORKDAY(Main[[#This Row],[Tech Start Date]],6),IF(Main[[#This Row],[Class]]="A",WORKDAY(Main[[#This Row],[Tech Start Date]],2),""))))</f>
        <v/>
      </c>
      <c r="N1346" s="114" t="str">
        <f>IF(Main[[#This Row],[Tech Start Date]]&lt;1/1/1990,"",IF(Main[[#This Row],[Class]]="C",WORKDAY(Main[[#This Row],[Tech Start Date]],19),IF(Main[[#This Row],[Class]]="B", WORKDAY(Main[[#This Row],[Tech Start Date]],12),IF(Main[[#This Row],[Class]]="A",WORKDAY(Main[[#This Row],[Tech Start Date]],4),""))))</f>
        <v/>
      </c>
      <c r="O1346" s="114" t="str">
        <f>IF(Main[[#This Row],[Tech Start Date]]&lt;1/1/1990,"",IF(Main[[#This Row],[Class]]="C",WORKDAY(Main[[#This Row],[Tech Start Date]],23),IF(Main[[#This Row],[Class]]="B", WORKDAY(Main[[#This Row],[Tech Start Date]],15),IF(Main[[#This Row],[Class]]="A",WORKDAY(Main[[#This Row],[Tech Start Date]],5),""))))</f>
        <v/>
      </c>
      <c r="P1346" s="114" t="str">
        <f>IF(Main[[#This Row],[Tech Start Date]]&lt;1/1/1990,"",IF(Main[[#This Row],[Class]]="C",WORKDAY(Main[[#This Row],[Tech Start Date]],28),IF(Main[[#This Row],[Class]]="B", WORKDAY(Main[[#This Row],[Tech Start Date]],19),IF(Main[[#This Row],[Class]]="A",WORKDAY(Main[[#This Row],[Tech Start Date]],9),""))))</f>
        <v/>
      </c>
      <c r="Q1346" s="129">
        <v>40905</v>
      </c>
      <c r="R1346" s="129"/>
      <c r="S1346" s="139" t="s">
        <v>6</v>
      </c>
      <c r="T1346" s="115" t="s">
        <v>4</v>
      </c>
      <c r="U1346" s="139" t="s">
        <v>29</v>
      </c>
      <c r="V1346" s="139" t="s">
        <v>1917</v>
      </c>
      <c r="W1346" s="139" t="s">
        <v>1918</v>
      </c>
      <c r="X1346" s="139" t="s">
        <v>2051</v>
      </c>
      <c r="Y1346" s="112" t="s">
        <v>3060</v>
      </c>
      <c r="Z1346" s="112" t="s">
        <v>30</v>
      </c>
      <c r="AA1346" s="139" t="s">
        <v>2895</v>
      </c>
    </row>
    <row r="1347" spans="1:27" ht="17.25" customHeight="1">
      <c r="A1347" s="69" t="str">
        <f>IF(priority(Main[[#This Row],[Comments]])&lt;&gt;0, priority(Main[[#This Row],[Comments]]),"")</f>
        <v/>
      </c>
      <c r="B1347" s="63" t="s">
        <v>1674</v>
      </c>
      <c r="C1347" s="148" t="s">
        <v>37</v>
      </c>
      <c r="D1347" s="113" t="s">
        <v>2597</v>
      </c>
      <c r="E1347" s="129">
        <v>40681.624918981484</v>
      </c>
      <c r="F1347" s="129"/>
      <c r="G1347" s="69" t="str">
        <f>IF(stdProdLT(Main[[#This Row],[Comments]])=0.1,"N/A",IF(stdProdLT(Main[[#This Row],[Comments]])=0,"",stdProdLT(Main[[#This Row],[Comments]])))</f>
        <v/>
      </c>
      <c r="H1347" s="138" t="str">
        <f>IF(Main[[#This Row],[In Stock Date]]="N/A", "N/A",IF(AND(Main[[#This Row],[In Stock Date]]&lt;&gt;"",Main[[#This Row],[Revised Due Date]]&lt;&gt;"",Main[[#This Row],[In Stock Date]]&lt;&gt;""),Main[[#This Row],[In Stock Date]]-Main[[#This Row],[Revised Due Date]],""))</f>
        <v/>
      </c>
      <c r="I1347" s="139" t="s">
        <v>4</v>
      </c>
      <c r="J1347" s="139" t="s">
        <v>4</v>
      </c>
      <c r="K1347" s="140" t="s">
        <v>4</v>
      </c>
      <c r="L1347" s="129"/>
      <c r="M1347" s="114" t="str">
        <f>IF(Main[[#This Row],[Tech Start Date]]&lt;1/1/1990,"",IF(Main[[#This Row],[Class]]="C",WORKDAY(Main[[#This Row],[Tech Start Date]],9),IF(Main[[#This Row],[Class]]="B", WORKDAY(Main[[#This Row],[Tech Start Date]],6),IF(Main[[#This Row],[Class]]="A",WORKDAY(Main[[#This Row],[Tech Start Date]],2),""))))</f>
        <v/>
      </c>
      <c r="N1347" s="114" t="str">
        <f>IF(Main[[#This Row],[Tech Start Date]]&lt;1/1/1990,"",IF(Main[[#This Row],[Class]]="C",WORKDAY(Main[[#This Row],[Tech Start Date]],19),IF(Main[[#This Row],[Class]]="B", WORKDAY(Main[[#This Row],[Tech Start Date]],12),IF(Main[[#This Row],[Class]]="A",WORKDAY(Main[[#This Row],[Tech Start Date]],4),""))))</f>
        <v/>
      </c>
      <c r="O1347" s="114" t="str">
        <f>IF(Main[[#This Row],[Tech Start Date]]&lt;1/1/1990,"",IF(Main[[#This Row],[Class]]="C",WORKDAY(Main[[#This Row],[Tech Start Date]],23),IF(Main[[#This Row],[Class]]="B", WORKDAY(Main[[#This Row],[Tech Start Date]],15),IF(Main[[#This Row],[Class]]="A",WORKDAY(Main[[#This Row],[Tech Start Date]],5),""))))</f>
        <v/>
      </c>
      <c r="P1347" s="114" t="str">
        <f>IF(Main[[#This Row],[Tech Start Date]]&lt;1/1/1990,"",IF(Main[[#This Row],[Class]]="C",WORKDAY(Main[[#This Row],[Tech Start Date]],28),IF(Main[[#This Row],[Class]]="B", WORKDAY(Main[[#This Row],[Tech Start Date]],19),IF(Main[[#This Row],[Class]]="A",WORKDAY(Main[[#This Row],[Tech Start Date]],9),""))))</f>
        <v/>
      </c>
      <c r="Q1347" s="129"/>
      <c r="R1347" s="129"/>
      <c r="S1347" s="139" t="s">
        <v>6</v>
      </c>
      <c r="T1347" s="115" t="s">
        <v>4</v>
      </c>
      <c r="U1347" s="139" t="s">
        <v>534</v>
      </c>
      <c r="V1347" s="139" t="s">
        <v>1914</v>
      </c>
      <c r="W1347" s="139" t="s">
        <v>1925</v>
      </c>
      <c r="X1347" s="139" t="s">
        <v>970</v>
      </c>
      <c r="Y1347" s="112" t="s">
        <v>3097</v>
      </c>
      <c r="Z1347" s="112" t="s">
        <v>4</v>
      </c>
      <c r="AA1347" s="139" t="s">
        <v>970</v>
      </c>
    </row>
    <row r="1348" spans="1:27" ht="17.25" customHeight="1">
      <c r="A1348" s="69" t="str">
        <f>IF(priority(Main[[#This Row],[Comments]])&lt;&gt;0, priority(Main[[#This Row],[Comments]]),"")</f>
        <v/>
      </c>
      <c r="B1348" s="63" t="s">
        <v>2696</v>
      </c>
      <c r="C1348" s="148" t="s">
        <v>4</v>
      </c>
      <c r="D1348" s="113" t="s">
        <v>2697</v>
      </c>
      <c r="E1348" s="129">
        <v>40900.141886574071</v>
      </c>
      <c r="F1348" s="129"/>
      <c r="G1348" s="69" t="str">
        <f>IF(stdProdLT(Main[[#This Row],[Comments]])=0.1,"N/A",IF(stdProdLT(Main[[#This Row],[Comments]])=0,"",stdProdLT(Main[[#This Row],[Comments]])))</f>
        <v/>
      </c>
      <c r="H1348" s="138" t="str">
        <f>IF(Main[[#This Row],[In Stock Date]]="N/A", "N/A",IF(AND(Main[[#This Row],[In Stock Date]]&lt;&gt;"",Main[[#This Row],[Revised Due Date]]&lt;&gt;"",Main[[#This Row],[In Stock Date]]&lt;&gt;""),Main[[#This Row],[In Stock Date]]-Main[[#This Row],[Revised Due Date]],""))</f>
        <v/>
      </c>
      <c r="I1348" s="139" t="s">
        <v>69</v>
      </c>
      <c r="J1348" s="139" t="s">
        <v>28</v>
      </c>
      <c r="K1348" s="139" t="s">
        <v>1923</v>
      </c>
      <c r="L1348" s="129"/>
      <c r="M1348" s="114" t="str">
        <f>IF(Main[[#This Row],[Tech Start Date]]&lt;1/1/1990,"",IF(Main[[#This Row],[Class]]="C",WORKDAY(Main[[#This Row],[Tech Start Date]],9),IF(Main[[#This Row],[Class]]="B", WORKDAY(Main[[#This Row],[Tech Start Date]],6),IF(Main[[#This Row],[Class]]="A",WORKDAY(Main[[#This Row],[Tech Start Date]],2),""))))</f>
        <v/>
      </c>
      <c r="N1348" s="114" t="str">
        <f>IF(Main[[#This Row],[Tech Start Date]]&lt;1/1/1990,"",IF(Main[[#This Row],[Class]]="C",WORKDAY(Main[[#This Row],[Tech Start Date]],19),IF(Main[[#This Row],[Class]]="B", WORKDAY(Main[[#This Row],[Tech Start Date]],12),IF(Main[[#This Row],[Class]]="A",WORKDAY(Main[[#This Row],[Tech Start Date]],4),""))))</f>
        <v/>
      </c>
      <c r="O1348" s="114" t="str">
        <f>IF(Main[[#This Row],[Tech Start Date]]&lt;1/1/1990,"",IF(Main[[#This Row],[Class]]="C",WORKDAY(Main[[#This Row],[Tech Start Date]],23),IF(Main[[#This Row],[Class]]="B", WORKDAY(Main[[#This Row],[Tech Start Date]],15),IF(Main[[#This Row],[Class]]="A",WORKDAY(Main[[#This Row],[Tech Start Date]],5),""))))</f>
        <v/>
      </c>
      <c r="P1348" s="114" t="str">
        <f>IF(Main[[#This Row],[Tech Start Date]]&lt;1/1/1990,"",IF(Main[[#This Row],[Class]]="C",WORKDAY(Main[[#This Row],[Tech Start Date]],28),IF(Main[[#This Row],[Class]]="B", WORKDAY(Main[[#This Row],[Tech Start Date]],19),IF(Main[[#This Row],[Class]]="A",WORKDAY(Main[[#This Row],[Tech Start Date]],9),""))))</f>
        <v/>
      </c>
      <c r="Q1348" s="129">
        <v>40931</v>
      </c>
      <c r="R1348" s="129"/>
      <c r="S1348" s="139" t="s">
        <v>6</v>
      </c>
      <c r="T1348" s="115" t="s">
        <v>4</v>
      </c>
      <c r="U1348" s="139" t="s">
        <v>29</v>
      </c>
      <c r="V1348" s="139" t="s">
        <v>1917</v>
      </c>
      <c r="W1348" s="139" t="s">
        <v>1918</v>
      </c>
      <c r="X1348" s="139" t="s">
        <v>2822</v>
      </c>
      <c r="Y1348" s="112" t="s">
        <v>2938</v>
      </c>
      <c r="Z1348" s="112" t="s">
        <v>30</v>
      </c>
      <c r="AA1348" s="139" t="s">
        <v>2822</v>
      </c>
    </row>
    <row r="1349" spans="1:27" ht="17.25" customHeight="1">
      <c r="A1349" s="69" t="str">
        <f>IF(priority(Main[[#This Row],[Comments]])&lt;&gt;0, priority(Main[[#This Row],[Comments]]),"")</f>
        <v/>
      </c>
      <c r="B1349" s="63" t="s">
        <v>3303</v>
      </c>
      <c r="C1349" s="148" t="s">
        <v>4</v>
      </c>
      <c r="D1349" s="113" t="s">
        <v>3304</v>
      </c>
      <c r="E1349" s="129">
        <v>40933.268750000003</v>
      </c>
      <c r="F1349" s="129"/>
      <c r="G1349" s="69" t="str">
        <f>IF(stdProdLT(Main[[#This Row],[Comments]])=0.1,"N/A",IF(stdProdLT(Main[[#This Row],[Comments]])=0,"",stdProdLT(Main[[#This Row],[Comments]])))</f>
        <v/>
      </c>
      <c r="H1349" s="138" t="str">
        <f>IF(Main[[#This Row],[In Stock Date]]="N/A", "N/A",IF(AND(Main[[#This Row],[In Stock Date]]&lt;&gt;"",Main[[#This Row],[Revised Due Date]]&lt;&gt;"",Main[[#This Row],[In Stock Date]]&lt;&gt;""),Main[[#This Row],[In Stock Date]]-Main[[#This Row],[Revised Due Date]],""))</f>
        <v/>
      </c>
      <c r="I1349" s="139" t="s">
        <v>4</v>
      </c>
      <c r="J1349" s="139" t="s">
        <v>4</v>
      </c>
      <c r="K1349" s="139" t="s">
        <v>4</v>
      </c>
      <c r="L1349" s="129"/>
      <c r="M1349" s="114" t="str">
        <f>IF(Main[[#This Row],[Tech Start Date]]&lt;1/1/1990,"",IF(Main[[#This Row],[Class]]="C",WORKDAY(Main[[#This Row],[Tech Start Date]],9),IF(Main[[#This Row],[Class]]="B", WORKDAY(Main[[#This Row],[Tech Start Date]],6),IF(Main[[#This Row],[Class]]="A",WORKDAY(Main[[#This Row],[Tech Start Date]],2),""))))</f>
        <v/>
      </c>
      <c r="N1349" s="114" t="str">
        <f>IF(Main[[#This Row],[Tech Start Date]]&lt;1/1/1990,"",IF(Main[[#This Row],[Class]]="C",WORKDAY(Main[[#This Row],[Tech Start Date]],19),IF(Main[[#This Row],[Class]]="B", WORKDAY(Main[[#This Row],[Tech Start Date]],12),IF(Main[[#This Row],[Class]]="A",WORKDAY(Main[[#This Row],[Tech Start Date]],4),""))))</f>
        <v/>
      </c>
      <c r="O1349" s="114" t="str">
        <f>IF(Main[[#This Row],[Tech Start Date]]&lt;1/1/1990,"",IF(Main[[#This Row],[Class]]="C",WORKDAY(Main[[#This Row],[Tech Start Date]],23),IF(Main[[#This Row],[Class]]="B", WORKDAY(Main[[#This Row],[Tech Start Date]],15),IF(Main[[#This Row],[Class]]="A",WORKDAY(Main[[#This Row],[Tech Start Date]],5),""))))</f>
        <v/>
      </c>
      <c r="P1349" s="114" t="str">
        <f>IF(Main[[#This Row],[Tech Start Date]]&lt;1/1/1990,"",IF(Main[[#This Row],[Class]]="C",WORKDAY(Main[[#This Row],[Tech Start Date]],28),IF(Main[[#This Row],[Class]]="B", WORKDAY(Main[[#This Row],[Tech Start Date]],19),IF(Main[[#This Row],[Class]]="A",WORKDAY(Main[[#This Row],[Tech Start Date]],9),""))))</f>
        <v/>
      </c>
      <c r="Q1349" s="129">
        <v>40963</v>
      </c>
      <c r="R1349" s="129"/>
      <c r="S1349" s="139" t="s">
        <v>6</v>
      </c>
      <c r="T1349" s="115" t="s">
        <v>4</v>
      </c>
      <c r="U1349" s="139" t="s">
        <v>7</v>
      </c>
      <c r="V1349" s="139" t="s">
        <v>1914</v>
      </c>
      <c r="W1349" s="139" t="s">
        <v>4</v>
      </c>
      <c r="X1349" s="139" t="s">
        <v>2822</v>
      </c>
      <c r="Y1349" s="112" t="s">
        <v>2938</v>
      </c>
      <c r="Z1349" s="112" t="s">
        <v>4</v>
      </c>
      <c r="AA1349" s="139" t="s">
        <v>2822</v>
      </c>
    </row>
    <row r="1350" spans="1:27" ht="17.25" customHeight="1">
      <c r="A1350" s="69" t="str">
        <f>IF(priority(Main[[#This Row],[Comments]])&lt;&gt;0, priority(Main[[#This Row],[Comments]]),"")</f>
        <v/>
      </c>
      <c r="B1350" s="63" t="s">
        <v>2495</v>
      </c>
      <c r="C1350" s="148" t="s">
        <v>4</v>
      </c>
      <c r="D1350" s="113" t="s">
        <v>2496</v>
      </c>
      <c r="E1350" s="129">
        <v>40855.421446759261</v>
      </c>
      <c r="F1350" s="129"/>
      <c r="G1350" s="69" t="str">
        <f>IF(stdProdLT(Main[[#This Row],[Comments]])=0.1,"N/A",IF(stdProdLT(Main[[#This Row],[Comments]])=0,"",stdProdLT(Main[[#This Row],[Comments]])))</f>
        <v/>
      </c>
      <c r="H1350" s="138" t="str">
        <f>IF(Main[[#This Row],[In Stock Date]]="N/A", "N/A",IF(AND(Main[[#This Row],[In Stock Date]]&lt;&gt;"",Main[[#This Row],[Revised Due Date]]&lt;&gt;"",Main[[#This Row],[In Stock Date]]&lt;&gt;""),Main[[#This Row],[In Stock Date]]-Main[[#This Row],[Revised Due Date]],""))</f>
        <v/>
      </c>
      <c r="I1350" s="139" t="s">
        <v>69</v>
      </c>
      <c r="J1350" s="139" t="s">
        <v>70</v>
      </c>
      <c r="K1350" s="140" t="s">
        <v>1926</v>
      </c>
      <c r="L1350" s="129"/>
      <c r="M1350" s="114" t="str">
        <f>IF(Main[[#This Row],[Tech Start Date]]&lt;1/1/1990,"",IF(Main[[#This Row],[Class]]="C",WORKDAY(Main[[#This Row],[Tech Start Date]],9),IF(Main[[#This Row],[Class]]="B", WORKDAY(Main[[#This Row],[Tech Start Date]],6),IF(Main[[#This Row],[Class]]="A",WORKDAY(Main[[#This Row],[Tech Start Date]],2),""))))</f>
        <v/>
      </c>
      <c r="N1350" s="114" t="str">
        <f>IF(Main[[#This Row],[Tech Start Date]]&lt;1/1/1990,"",IF(Main[[#This Row],[Class]]="C",WORKDAY(Main[[#This Row],[Tech Start Date]],19),IF(Main[[#This Row],[Class]]="B", WORKDAY(Main[[#This Row],[Tech Start Date]],12),IF(Main[[#This Row],[Class]]="A",WORKDAY(Main[[#This Row],[Tech Start Date]],4),""))))</f>
        <v/>
      </c>
      <c r="O1350" s="114" t="str">
        <f>IF(Main[[#This Row],[Tech Start Date]]&lt;1/1/1990,"",IF(Main[[#This Row],[Class]]="C",WORKDAY(Main[[#This Row],[Tech Start Date]],23),IF(Main[[#This Row],[Class]]="B", WORKDAY(Main[[#This Row],[Tech Start Date]],15),IF(Main[[#This Row],[Class]]="A",WORKDAY(Main[[#This Row],[Tech Start Date]],5),""))))</f>
        <v/>
      </c>
      <c r="P1350" s="114" t="str">
        <f>IF(Main[[#This Row],[Tech Start Date]]&lt;1/1/1990,"",IF(Main[[#This Row],[Class]]="C",WORKDAY(Main[[#This Row],[Tech Start Date]],28),IF(Main[[#This Row],[Class]]="B", WORKDAY(Main[[#This Row],[Tech Start Date]],19),IF(Main[[#This Row],[Class]]="A",WORKDAY(Main[[#This Row],[Tech Start Date]],9),""))))</f>
        <v/>
      </c>
      <c r="Q1350" s="129">
        <v>40907</v>
      </c>
      <c r="R1350" s="129"/>
      <c r="S1350" s="139" t="s">
        <v>17</v>
      </c>
      <c r="T1350" s="115" t="s">
        <v>4</v>
      </c>
      <c r="U1350" s="139" t="s">
        <v>29</v>
      </c>
      <c r="V1350" s="139" t="s">
        <v>1924</v>
      </c>
      <c r="W1350" s="139" t="s">
        <v>1916</v>
      </c>
      <c r="X1350" s="139" t="s">
        <v>2866</v>
      </c>
      <c r="Y1350" s="112" t="s">
        <v>3000</v>
      </c>
      <c r="Z1350" s="112" t="s">
        <v>30</v>
      </c>
      <c r="AA1350" s="139" t="s">
        <v>2866</v>
      </c>
    </row>
    <row r="1351" spans="1:27" ht="17.25" customHeight="1">
      <c r="A1351" s="69" t="str">
        <f>IF(priority(Main[[#This Row],[Comments]])&lt;&gt;0, priority(Main[[#This Row],[Comments]]),"")</f>
        <v/>
      </c>
      <c r="B1351" s="63" t="s">
        <v>3222</v>
      </c>
      <c r="C1351" s="148" t="s">
        <v>4</v>
      </c>
      <c r="D1351" s="113" t="s">
        <v>3768</v>
      </c>
      <c r="E1351" s="129">
        <v>40924.344918981478</v>
      </c>
      <c r="F1351" s="129"/>
      <c r="G1351" s="69" t="str">
        <f>IF(stdProdLT(Main[[#This Row],[Comments]])=0.1,"N/A",IF(stdProdLT(Main[[#This Row],[Comments]])=0,"",stdProdLT(Main[[#This Row],[Comments]])))</f>
        <v/>
      </c>
      <c r="H1351" s="138" t="str">
        <f>IF(Main[[#This Row],[In Stock Date]]="N/A", "N/A",IF(AND(Main[[#This Row],[In Stock Date]]&lt;&gt;"",Main[[#This Row],[Revised Due Date]]&lt;&gt;"",Main[[#This Row],[In Stock Date]]&lt;&gt;""),Main[[#This Row],[In Stock Date]]-Main[[#This Row],[Revised Due Date]],""))</f>
        <v/>
      </c>
      <c r="I1351" s="139" t="s">
        <v>69</v>
      </c>
      <c r="J1351" s="139" t="s">
        <v>70</v>
      </c>
      <c r="K1351" s="139" t="s">
        <v>1923</v>
      </c>
      <c r="L1351" s="129"/>
      <c r="M1351" s="114" t="str">
        <f>IF(Main[[#This Row],[Tech Start Date]]&lt;1/1/1990,"",IF(Main[[#This Row],[Class]]="C",WORKDAY(Main[[#This Row],[Tech Start Date]],9),IF(Main[[#This Row],[Class]]="B", WORKDAY(Main[[#This Row],[Tech Start Date]],6),IF(Main[[#This Row],[Class]]="A",WORKDAY(Main[[#This Row],[Tech Start Date]],2),""))))</f>
        <v/>
      </c>
      <c r="N1351" s="114" t="str">
        <f>IF(Main[[#This Row],[Tech Start Date]]&lt;1/1/1990,"",IF(Main[[#This Row],[Class]]="C",WORKDAY(Main[[#This Row],[Tech Start Date]],19),IF(Main[[#This Row],[Class]]="B", WORKDAY(Main[[#This Row],[Tech Start Date]],12),IF(Main[[#This Row],[Class]]="A",WORKDAY(Main[[#This Row],[Tech Start Date]],4),""))))</f>
        <v/>
      </c>
      <c r="O1351" s="114" t="str">
        <f>IF(Main[[#This Row],[Tech Start Date]]&lt;1/1/1990,"",IF(Main[[#This Row],[Class]]="C",WORKDAY(Main[[#This Row],[Tech Start Date]],23),IF(Main[[#This Row],[Class]]="B", WORKDAY(Main[[#This Row],[Tech Start Date]],15),IF(Main[[#This Row],[Class]]="A",WORKDAY(Main[[#This Row],[Tech Start Date]],5),""))))</f>
        <v/>
      </c>
      <c r="P1351" s="114" t="str">
        <f>IF(Main[[#This Row],[Tech Start Date]]&lt;1/1/1990,"",IF(Main[[#This Row],[Class]]="C",WORKDAY(Main[[#This Row],[Tech Start Date]],28),IF(Main[[#This Row],[Class]]="B", WORKDAY(Main[[#This Row],[Tech Start Date]],19),IF(Main[[#This Row],[Class]]="A",WORKDAY(Main[[#This Row],[Tech Start Date]],9),""))))</f>
        <v/>
      </c>
      <c r="Q1351" s="129">
        <v>40952</v>
      </c>
      <c r="R1351" s="129"/>
      <c r="S1351" s="139" t="s">
        <v>6</v>
      </c>
      <c r="T1351" s="115" t="s">
        <v>4</v>
      </c>
      <c r="U1351" s="139" t="s">
        <v>29</v>
      </c>
      <c r="V1351" s="139" t="s">
        <v>1917</v>
      </c>
      <c r="W1351" s="139" t="s">
        <v>1918</v>
      </c>
      <c r="X1351" s="139" t="s">
        <v>2822</v>
      </c>
      <c r="Y1351" s="112" t="s">
        <v>2938</v>
      </c>
      <c r="Z1351" s="112" t="s">
        <v>30</v>
      </c>
      <c r="AA1351" s="139" t="s">
        <v>2822</v>
      </c>
    </row>
    <row r="1352" spans="1:27" ht="17.25" customHeight="1">
      <c r="A1352" s="69" t="str">
        <f>IF(priority(Main[[#This Row],[Comments]])&lt;&gt;0, priority(Main[[#This Row],[Comments]]),"")</f>
        <v/>
      </c>
      <c r="B1352" s="63" t="s">
        <v>3299</v>
      </c>
      <c r="C1352" s="148" t="s">
        <v>4</v>
      </c>
      <c r="D1352" s="113" t="s">
        <v>3769</v>
      </c>
      <c r="E1352" s="129">
        <v>40933.494502314818</v>
      </c>
      <c r="F1352" s="129"/>
      <c r="G1352" s="69" t="str">
        <f>IF(stdProdLT(Main[[#This Row],[Comments]])=0.1,"N/A",IF(stdProdLT(Main[[#This Row],[Comments]])=0,"",stdProdLT(Main[[#This Row],[Comments]])))</f>
        <v/>
      </c>
      <c r="H1352" s="138" t="str">
        <f>IF(Main[[#This Row],[In Stock Date]]="N/A", "N/A",IF(AND(Main[[#This Row],[In Stock Date]]&lt;&gt;"",Main[[#This Row],[Revised Due Date]]&lt;&gt;"",Main[[#This Row],[In Stock Date]]&lt;&gt;""),Main[[#This Row],[In Stock Date]]-Main[[#This Row],[Revised Due Date]],""))</f>
        <v/>
      </c>
      <c r="I1352" s="139" t="s">
        <v>69</v>
      </c>
      <c r="J1352" s="139" t="s">
        <v>70</v>
      </c>
      <c r="K1352" s="139" t="s">
        <v>1923</v>
      </c>
      <c r="L1352" s="129"/>
      <c r="M1352" s="114" t="str">
        <f>IF(Main[[#This Row],[Tech Start Date]]&lt;1/1/1990,"",IF(Main[[#This Row],[Class]]="C",WORKDAY(Main[[#This Row],[Tech Start Date]],9),IF(Main[[#This Row],[Class]]="B", WORKDAY(Main[[#This Row],[Tech Start Date]],6),IF(Main[[#This Row],[Class]]="A",WORKDAY(Main[[#This Row],[Tech Start Date]],2),""))))</f>
        <v/>
      </c>
      <c r="N1352" s="114" t="str">
        <f>IF(Main[[#This Row],[Tech Start Date]]&lt;1/1/1990,"",IF(Main[[#This Row],[Class]]="C",WORKDAY(Main[[#This Row],[Tech Start Date]],19),IF(Main[[#This Row],[Class]]="B", WORKDAY(Main[[#This Row],[Tech Start Date]],12),IF(Main[[#This Row],[Class]]="A",WORKDAY(Main[[#This Row],[Tech Start Date]],4),""))))</f>
        <v/>
      </c>
      <c r="O1352" s="114" t="str">
        <f>IF(Main[[#This Row],[Tech Start Date]]&lt;1/1/1990,"",IF(Main[[#This Row],[Class]]="C",WORKDAY(Main[[#This Row],[Tech Start Date]],23),IF(Main[[#This Row],[Class]]="B", WORKDAY(Main[[#This Row],[Tech Start Date]],15),IF(Main[[#This Row],[Class]]="A",WORKDAY(Main[[#This Row],[Tech Start Date]],5),""))))</f>
        <v/>
      </c>
      <c r="P1352" s="114" t="str">
        <f>IF(Main[[#This Row],[Tech Start Date]]&lt;1/1/1990,"",IF(Main[[#This Row],[Class]]="C",WORKDAY(Main[[#This Row],[Tech Start Date]],28),IF(Main[[#This Row],[Class]]="B", WORKDAY(Main[[#This Row],[Tech Start Date]],19),IF(Main[[#This Row],[Class]]="A",WORKDAY(Main[[#This Row],[Tech Start Date]],9),""))))</f>
        <v/>
      </c>
      <c r="Q1352" s="129">
        <v>40968</v>
      </c>
      <c r="R1352" s="129"/>
      <c r="S1352" s="139" t="s">
        <v>6</v>
      </c>
      <c r="T1352" s="115" t="s">
        <v>4</v>
      </c>
      <c r="U1352" s="139" t="s">
        <v>29</v>
      </c>
      <c r="V1352" s="139" t="s">
        <v>1917</v>
      </c>
      <c r="W1352" s="139" t="s">
        <v>1918</v>
      </c>
      <c r="X1352" s="139" t="s">
        <v>2818</v>
      </c>
      <c r="Y1352" s="112" t="s">
        <v>2929</v>
      </c>
      <c r="Z1352" s="112" t="s">
        <v>30</v>
      </c>
      <c r="AA1352" s="139" t="s">
        <v>2818</v>
      </c>
    </row>
    <row r="1353" spans="1:27" ht="17.25" customHeight="1">
      <c r="A1353" s="69" t="str">
        <f>IF(priority(Main[[#This Row],[Comments]])&lt;&gt;0, priority(Main[[#This Row],[Comments]]),"")</f>
        <v/>
      </c>
      <c r="B1353" s="63" t="s">
        <v>3573</v>
      </c>
      <c r="C1353" s="148" t="s">
        <v>4</v>
      </c>
      <c r="D1353" s="113" t="s">
        <v>3574</v>
      </c>
      <c r="E1353" s="129">
        <v>40952.380486111113</v>
      </c>
      <c r="F1353" s="129"/>
      <c r="G1353" s="69" t="str">
        <f>IF(stdProdLT(Main[[#This Row],[Comments]])=0.1,"N/A",IF(stdProdLT(Main[[#This Row],[Comments]])=0,"",stdProdLT(Main[[#This Row],[Comments]])))</f>
        <v/>
      </c>
      <c r="H1353" s="138" t="str">
        <f>IF(Main[[#This Row],[In Stock Date]]="N/A", "N/A",IF(AND(Main[[#This Row],[In Stock Date]]&lt;&gt;"",Main[[#This Row],[Revised Due Date]]&lt;&gt;"",Main[[#This Row],[In Stock Date]]&lt;&gt;""),Main[[#This Row],[In Stock Date]]-Main[[#This Row],[Revised Due Date]],""))</f>
        <v/>
      </c>
      <c r="I1353" s="139" t="s">
        <v>4</v>
      </c>
      <c r="J1353" s="139" t="s">
        <v>4</v>
      </c>
      <c r="K1353" s="139" t="s">
        <v>4</v>
      </c>
      <c r="L1353" s="129"/>
      <c r="M1353" s="114" t="str">
        <f>IF(Main[[#This Row],[Tech Start Date]]&lt;1/1/1990,"",IF(Main[[#This Row],[Class]]="C",WORKDAY(Main[[#This Row],[Tech Start Date]],9),IF(Main[[#This Row],[Class]]="B", WORKDAY(Main[[#This Row],[Tech Start Date]],6),IF(Main[[#This Row],[Class]]="A",WORKDAY(Main[[#This Row],[Tech Start Date]],2),""))))</f>
        <v/>
      </c>
      <c r="N1353" s="114" t="str">
        <f>IF(Main[[#This Row],[Tech Start Date]]&lt;1/1/1990,"",IF(Main[[#This Row],[Class]]="C",WORKDAY(Main[[#This Row],[Tech Start Date]],19),IF(Main[[#This Row],[Class]]="B", WORKDAY(Main[[#This Row],[Tech Start Date]],12),IF(Main[[#This Row],[Class]]="A",WORKDAY(Main[[#This Row],[Tech Start Date]],4),""))))</f>
        <v/>
      </c>
      <c r="O1353" s="114" t="str">
        <f>IF(Main[[#This Row],[Tech Start Date]]&lt;1/1/1990,"",IF(Main[[#This Row],[Class]]="C",WORKDAY(Main[[#This Row],[Tech Start Date]],23),IF(Main[[#This Row],[Class]]="B", WORKDAY(Main[[#This Row],[Tech Start Date]],15),IF(Main[[#This Row],[Class]]="A",WORKDAY(Main[[#This Row],[Tech Start Date]],5),""))))</f>
        <v/>
      </c>
      <c r="P1353" s="114" t="str">
        <f>IF(Main[[#This Row],[Tech Start Date]]&lt;1/1/1990,"",IF(Main[[#This Row],[Class]]="C",WORKDAY(Main[[#This Row],[Tech Start Date]],28),IF(Main[[#This Row],[Class]]="B", WORKDAY(Main[[#This Row],[Tech Start Date]],19),IF(Main[[#This Row],[Class]]="A",WORKDAY(Main[[#This Row],[Tech Start Date]],9),""))))</f>
        <v/>
      </c>
      <c r="Q1353" s="129"/>
      <c r="R1353" s="129"/>
      <c r="S1353" s="139" t="s">
        <v>6</v>
      </c>
      <c r="T1353" s="115" t="s">
        <v>4</v>
      </c>
      <c r="U1353" s="139" t="s">
        <v>7</v>
      </c>
      <c r="V1353" s="139" t="s">
        <v>1914</v>
      </c>
      <c r="W1353" s="139" t="s">
        <v>4</v>
      </c>
      <c r="X1353" s="139" t="s">
        <v>2822</v>
      </c>
      <c r="Y1353" s="112" t="s">
        <v>2938</v>
      </c>
      <c r="Z1353" s="112" t="s">
        <v>4</v>
      </c>
      <c r="AA1353" s="139" t="s">
        <v>2822</v>
      </c>
    </row>
    <row r="1354" spans="1:27" ht="17.25" customHeight="1">
      <c r="A1354" s="69" t="str">
        <f>IF(priority(Main[[#This Row],[Comments]])&lt;&gt;0, priority(Main[[#This Row],[Comments]]),"")</f>
        <v/>
      </c>
      <c r="B1354" s="63" t="s">
        <v>3770</v>
      </c>
      <c r="C1354" s="148" t="s">
        <v>31</v>
      </c>
      <c r="D1354" s="113" t="s">
        <v>3771</v>
      </c>
      <c r="E1354" s="129">
        <v>40953.054039351853</v>
      </c>
      <c r="F1354" s="129">
        <v>40968</v>
      </c>
      <c r="G1354" s="69" t="str">
        <f>IF(stdProdLT(Main[[#This Row],[Comments]])=0.1,"N/A",IF(stdProdLT(Main[[#This Row],[Comments]])=0,"",stdProdLT(Main[[#This Row],[Comments]])))</f>
        <v/>
      </c>
      <c r="H1354" s="138" t="str">
        <f>IF(Main[[#This Row],[In Stock Date]]="N/A", "N/A",IF(AND(Main[[#This Row],[In Stock Date]]&lt;&gt;"",Main[[#This Row],[Revised Due Date]]&lt;&gt;"",Main[[#This Row],[In Stock Date]]&lt;&gt;""),Main[[#This Row],[In Stock Date]]-Main[[#This Row],[Revised Due Date]],""))</f>
        <v/>
      </c>
      <c r="I1354" s="139" t="s">
        <v>4</v>
      </c>
      <c r="J1354" s="139" t="s">
        <v>4</v>
      </c>
      <c r="K1354" s="139" t="s">
        <v>4</v>
      </c>
      <c r="L1354" s="129"/>
      <c r="M1354" s="114" t="str">
        <f>IF(Main[[#This Row],[Tech Start Date]]&lt;1/1/1990,"",IF(Main[[#This Row],[Class]]="C",WORKDAY(Main[[#This Row],[Tech Start Date]],9),IF(Main[[#This Row],[Class]]="B", WORKDAY(Main[[#This Row],[Tech Start Date]],6),IF(Main[[#This Row],[Class]]="A",WORKDAY(Main[[#This Row],[Tech Start Date]],2),""))))</f>
        <v/>
      </c>
      <c r="N1354" s="114" t="str">
        <f>IF(Main[[#This Row],[Tech Start Date]]&lt;1/1/1990,"",IF(Main[[#This Row],[Class]]="C",WORKDAY(Main[[#This Row],[Tech Start Date]],19),IF(Main[[#This Row],[Class]]="B", WORKDAY(Main[[#This Row],[Tech Start Date]],12),IF(Main[[#This Row],[Class]]="A",WORKDAY(Main[[#This Row],[Tech Start Date]],4),""))))</f>
        <v/>
      </c>
      <c r="O1354" s="114" t="str">
        <f>IF(Main[[#This Row],[Tech Start Date]]&lt;1/1/1990,"",IF(Main[[#This Row],[Class]]="C",WORKDAY(Main[[#This Row],[Tech Start Date]],23),IF(Main[[#This Row],[Class]]="B", WORKDAY(Main[[#This Row],[Tech Start Date]],15),IF(Main[[#This Row],[Class]]="A",WORKDAY(Main[[#This Row],[Tech Start Date]],5),""))))</f>
        <v/>
      </c>
      <c r="P1354" s="114" t="str">
        <f>IF(Main[[#This Row],[Tech Start Date]]&lt;1/1/1990,"",IF(Main[[#This Row],[Class]]="C",WORKDAY(Main[[#This Row],[Tech Start Date]],28),IF(Main[[#This Row],[Class]]="B", WORKDAY(Main[[#This Row],[Tech Start Date]],19),IF(Main[[#This Row],[Class]]="A",WORKDAY(Main[[#This Row],[Tech Start Date]],9),""))))</f>
        <v/>
      </c>
      <c r="Q1354" s="129">
        <v>40967</v>
      </c>
      <c r="R1354" s="129"/>
      <c r="S1354" s="139" t="s">
        <v>11</v>
      </c>
      <c r="T1354" s="115" t="s">
        <v>4</v>
      </c>
      <c r="U1354" s="139" t="s">
        <v>7</v>
      </c>
      <c r="V1354" s="139" t="s">
        <v>1929</v>
      </c>
      <c r="W1354" s="139" t="s">
        <v>1919</v>
      </c>
      <c r="X1354" s="139" t="s">
        <v>2835</v>
      </c>
      <c r="Y1354" s="112" t="s">
        <v>4</v>
      </c>
      <c r="Z1354" s="112" t="s">
        <v>2211</v>
      </c>
      <c r="AA1354" s="139" t="s">
        <v>2835</v>
      </c>
    </row>
    <row r="1355" spans="1:27" ht="17.25" customHeight="1">
      <c r="A1355" s="69" t="str">
        <f>IF(priority(Main[[#This Row],[Comments]])&lt;&gt;0, priority(Main[[#This Row],[Comments]]),"")</f>
        <v/>
      </c>
      <c r="B1355" s="63" t="s">
        <v>2600</v>
      </c>
      <c r="C1355" s="148" t="s">
        <v>31</v>
      </c>
      <c r="D1355" s="113" t="s">
        <v>2601</v>
      </c>
      <c r="E1355" s="129"/>
      <c r="F1355" s="129">
        <v>40969</v>
      </c>
      <c r="G1355" s="69" t="str">
        <f>IF(stdProdLT(Main[[#This Row],[Comments]])=0.1,"N/A",IF(stdProdLT(Main[[#This Row],[Comments]])=0,"",stdProdLT(Main[[#This Row],[Comments]])))</f>
        <v/>
      </c>
      <c r="H1355" s="138" t="str">
        <f>IF(Main[[#This Row],[In Stock Date]]="N/A", "N/A",IF(AND(Main[[#This Row],[In Stock Date]]&lt;&gt;"",Main[[#This Row],[Revised Due Date]]&lt;&gt;"",Main[[#This Row],[In Stock Date]]&lt;&gt;""),Main[[#This Row],[In Stock Date]]-Main[[#This Row],[Revised Due Date]],""))</f>
        <v/>
      </c>
      <c r="I1355" s="139" t="s">
        <v>4</v>
      </c>
      <c r="J1355" s="139" t="s">
        <v>4</v>
      </c>
      <c r="K1355" s="139" t="s">
        <v>4</v>
      </c>
      <c r="L1355" s="129"/>
      <c r="M1355" s="114" t="str">
        <f>IF(Main[[#This Row],[Tech Start Date]]&lt;1/1/1990,"",IF(Main[[#This Row],[Class]]="C",WORKDAY(Main[[#This Row],[Tech Start Date]],9),IF(Main[[#This Row],[Class]]="B", WORKDAY(Main[[#This Row],[Tech Start Date]],6),IF(Main[[#This Row],[Class]]="A",WORKDAY(Main[[#This Row],[Tech Start Date]],2),""))))</f>
        <v/>
      </c>
      <c r="N1355" s="114" t="str">
        <f>IF(Main[[#This Row],[Tech Start Date]]&lt;1/1/1990,"",IF(Main[[#This Row],[Class]]="C",WORKDAY(Main[[#This Row],[Tech Start Date]],19),IF(Main[[#This Row],[Class]]="B", WORKDAY(Main[[#This Row],[Tech Start Date]],12),IF(Main[[#This Row],[Class]]="A",WORKDAY(Main[[#This Row],[Tech Start Date]],4),""))))</f>
        <v/>
      </c>
      <c r="O1355" s="114" t="str">
        <f>IF(Main[[#This Row],[Tech Start Date]]&lt;1/1/1990,"",IF(Main[[#This Row],[Class]]="C",WORKDAY(Main[[#This Row],[Tech Start Date]],23),IF(Main[[#This Row],[Class]]="B", WORKDAY(Main[[#This Row],[Tech Start Date]],15),IF(Main[[#This Row],[Class]]="A",WORKDAY(Main[[#This Row],[Tech Start Date]],5),""))))</f>
        <v/>
      </c>
      <c r="P1355" s="114" t="str">
        <f>IF(Main[[#This Row],[Tech Start Date]]&lt;1/1/1990,"",IF(Main[[#This Row],[Class]]="C",WORKDAY(Main[[#This Row],[Tech Start Date]],28),IF(Main[[#This Row],[Class]]="B", WORKDAY(Main[[#This Row],[Tech Start Date]],19),IF(Main[[#This Row],[Class]]="A",WORKDAY(Main[[#This Row],[Tech Start Date]],9),""))))</f>
        <v/>
      </c>
      <c r="Q1355" s="129"/>
      <c r="R1355" s="129"/>
      <c r="S1355" s="139" t="s">
        <v>11</v>
      </c>
      <c r="T1355" s="115" t="s">
        <v>4</v>
      </c>
      <c r="U1355" s="139" t="s">
        <v>14</v>
      </c>
      <c r="V1355" s="139" t="s">
        <v>1914</v>
      </c>
      <c r="W1355" s="139" t="s">
        <v>1920</v>
      </c>
      <c r="X1355" s="139" t="s">
        <v>50</v>
      </c>
      <c r="Y1355" s="112" t="s">
        <v>3089</v>
      </c>
      <c r="Z1355" s="112" t="s">
        <v>4</v>
      </c>
      <c r="AA1355" s="139" t="s">
        <v>2840</v>
      </c>
    </row>
    <row r="1356" spans="1:27" ht="17.25" customHeight="1">
      <c r="A1356" s="69" t="str">
        <f>IF(priority(Main[[#This Row],[Comments]])&lt;&gt;0, priority(Main[[#This Row],[Comments]]),"")</f>
        <v/>
      </c>
      <c r="B1356" s="63" t="s">
        <v>3264</v>
      </c>
      <c r="C1356" s="148" t="s">
        <v>4</v>
      </c>
      <c r="D1356" s="113" t="s">
        <v>3777</v>
      </c>
      <c r="E1356" s="129">
        <v>40934.394444444442</v>
      </c>
      <c r="F1356" s="129"/>
      <c r="G1356" s="69" t="str">
        <f>IF(stdProdLT(Main[[#This Row],[Comments]])=0.1,"N/A",IF(stdProdLT(Main[[#This Row],[Comments]])=0,"",stdProdLT(Main[[#This Row],[Comments]])))</f>
        <v/>
      </c>
      <c r="H1356" s="138" t="str">
        <f>IF(Main[[#This Row],[In Stock Date]]="N/A", "N/A",IF(AND(Main[[#This Row],[In Stock Date]]&lt;&gt;"",Main[[#This Row],[Revised Due Date]]&lt;&gt;"",Main[[#This Row],[In Stock Date]]&lt;&gt;""),Main[[#This Row],[In Stock Date]]-Main[[#This Row],[Revised Due Date]],""))</f>
        <v/>
      </c>
      <c r="I1356" s="139" t="s">
        <v>69</v>
      </c>
      <c r="J1356" s="139" t="s">
        <v>70</v>
      </c>
      <c r="K1356" s="139" t="s">
        <v>1923</v>
      </c>
      <c r="L1356" s="129"/>
      <c r="M1356" s="114" t="str">
        <f>IF(Main[[#This Row],[Tech Start Date]]&lt;1/1/1990,"",IF(Main[[#This Row],[Class]]="C",WORKDAY(Main[[#This Row],[Tech Start Date]],9),IF(Main[[#This Row],[Class]]="B", WORKDAY(Main[[#This Row],[Tech Start Date]],6),IF(Main[[#This Row],[Class]]="A",WORKDAY(Main[[#This Row],[Tech Start Date]],2),""))))</f>
        <v/>
      </c>
      <c r="N1356" s="114" t="str">
        <f>IF(Main[[#This Row],[Tech Start Date]]&lt;1/1/1990,"",IF(Main[[#This Row],[Class]]="C",WORKDAY(Main[[#This Row],[Tech Start Date]],19),IF(Main[[#This Row],[Class]]="B", WORKDAY(Main[[#This Row],[Tech Start Date]],12),IF(Main[[#This Row],[Class]]="A",WORKDAY(Main[[#This Row],[Tech Start Date]],4),""))))</f>
        <v/>
      </c>
      <c r="O1356" s="114" t="str">
        <f>IF(Main[[#This Row],[Tech Start Date]]&lt;1/1/1990,"",IF(Main[[#This Row],[Class]]="C",WORKDAY(Main[[#This Row],[Tech Start Date]],23),IF(Main[[#This Row],[Class]]="B", WORKDAY(Main[[#This Row],[Tech Start Date]],15),IF(Main[[#This Row],[Class]]="A",WORKDAY(Main[[#This Row],[Tech Start Date]],5),""))))</f>
        <v/>
      </c>
      <c r="P1356" s="114" t="str">
        <f>IF(Main[[#This Row],[Tech Start Date]]&lt;1/1/1990,"",IF(Main[[#This Row],[Class]]="C",WORKDAY(Main[[#This Row],[Tech Start Date]],28),IF(Main[[#This Row],[Class]]="B", WORKDAY(Main[[#This Row],[Tech Start Date]],19),IF(Main[[#This Row],[Class]]="A",WORKDAY(Main[[#This Row],[Tech Start Date]],9),""))))</f>
        <v/>
      </c>
      <c r="Q1356" s="129">
        <v>40968</v>
      </c>
      <c r="R1356" s="129"/>
      <c r="S1356" s="139" t="s">
        <v>6</v>
      </c>
      <c r="T1356" s="115" t="s">
        <v>4</v>
      </c>
      <c r="U1356" s="139" t="s">
        <v>29</v>
      </c>
      <c r="V1356" s="139" t="s">
        <v>1917</v>
      </c>
      <c r="W1356" s="139" t="s">
        <v>1918</v>
      </c>
      <c r="X1356" s="139" t="s">
        <v>2818</v>
      </c>
      <c r="Y1356" s="112" t="s">
        <v>2929</v>
      </c>
      <c r="Z1356" s="112" t="s">
        <v>30</v>
      </c>
      <c r="AA1356" s="139" t="s">
        <v>2818</v>
      </c>
    </row>
    <row r="1357" spans="1:27" ht="17.25" customHeight="1">
      <c r="A1357" s="69" t="str">
        <f>IF(priority(Main[[#This Row],[Comments]])&lt;&gt;0, priority(Main[[#This Row],[Comments]]),"")</f>
        <v/>
      </c>
      <c r="B1357" s="63" t="s">
        <v>3553</v>
      </c>
      <c r="C1357" s="148" t="s">
        <v>4</v>
      </c>
      <c r="D1357" s="62" t="s">
        <v>3778</v>
      </c>
      <c r="E1357" s="129">
        <v>40949.616782407407</v>
      </c>
      <c r="F1357" s="129"/>
      <c r="G1357" s="69" t="str">
        <f>IF(stdProdLT(Main[[#This Row],[Comments]])=0.1,"N/A",IF(stdProdLT(Main[[#This Row],[Comments]])=0,"",stdProdLT(Main[[#This Row],[Comments]])))</f>
        <v/>
      </c>
      <c r="H1357" s="138" t="str">
        <f>IF(Main[[#This Row],[In Stock Date]]="N/A", "N/A",IF(AND(Main[[#This Row],[In Stock Date]]&lt;&gt;"",Main[[#This Row],[Revised Due Date]]&lt;&gt;"",Main[[#This Row],[In Stock Date]]&lt;&gt;""),Main[[#This Row],[In Stock Date]]-Main[[#This Row],[Revised Due Date]],""))</f>
        <v/>
      </c>
      <c r="I1357" s="139" t="s">
        <v>4</v>
      </c>
      <c r="J1357" s="139" t="s">
        <v>4</v>
      </c>
      <c r="K1357" s="139" t="s">
        <v>4</v>
      </c>
      <c r="L1357" s="129"/>
      <c r="M1357" s="114" t="str">
        <f>IF(Main[[#This Row],[Tech Start Date]]&lt;1/1/1990,"",IF(Main[[#This Row],[Class]]="C",WORKDAY(Main[[#This Row],[Tech Start Date]],9),IF(Main[[#This Row],[Class]]="B", WORKDAY(Main[[#This Row],[Tech Start Date]],6),IF(Main[[#This Row],[Class]]="A",WORKDAY(Main[[#This Row],[Tech Start Date]],2),""))))</f>
        <v/>
      </c>
      <c r="N1357" s="114" t="str">
        <f>IF(Main[[#This Row],[Tech Start Date]]&lt;1/1/1990,"",IF(Main[[#This Row],[Class]]="C",WORKDAY(Main[[#This Row],[Tech Start Date]],19),IF(Main[[#This Row],[Class]]="B", WORKDAY(Main[[#This Row],[Tech Start Date]],12),IF(Main[[#This Row],[Class]]="A",WORKDAY(Main[[#This Row],[Tech Start Date]],4),""))))</f>
        <v/>
      </c>
      <c r="O1357" s="114" t="str">
        <f>IF(Main[[#This Row],[Tech Start Date]]&lt;1/1/1990,"",IF(Main[[#This Row],[Class]]="C",WORKDAY(Main[[#This Row],[Tech Start Date]],23),IF(Main[[#This Row],[Class]]="B", WORKDAY(Main[[#This Row],[Tech Start Date]],15),IF(Main[[#This Row],[Class]]="A",WORKDAY(Main[[#This Row],[Tech Start Date]],5),""))))</f>
        <v/>
      </c>
      <c r="P1357" s="114" t="str">
        <f>IF(Main[[#This Row],[Tech Start Date]]&lt;1/1/1990,"",IF(Main[[#This Row],[Class]]="C",WORKDAY(Main[[#This Row],[Tech Start Date]],28),IF(Main[[#This Row],[Class]]="B", WORKDAY(Main[[#This Row],[Tech Start Date]],19),IF(Main[[#This Row],[Class]]="A",WORKDAY(Main[[#This Row],[Tech Start Date]],9),""))))</f>
        <v/>
      </c>
      <c r="Q1357" s="129"/>
      <c r="R1357" s="129"/>
      <c r="S1357" s="139" t="s">
        <v>11</v>
      </c>
      <c r="T1357" s="115" t="s">
        <v>4</v>
      </c>
      <c r="U1357" s="139" t="s">
        <v>694</v>
      </c>
      <c r="V1357" s="139" t="s">
        <v>1914</v>
      </c>
      <c r="W1357" s="139" t="s">
        <v>1922</v>
      </c>
      <c r="X1357" s="139" t="s">
        <v>3471</v>
      </c>
      <c r="Y1357" s="112" t="s">
        <v>3485</v>
      </c>
      <c r="Z1357" s="112" t="s">
        <v>4</v>
      </c>
      <c r="AA1357" s="139" t="s">
        <v>3471</v>
      </c>
    </row>
    <row r="1358" spans="1:27" ht="17.25" customHeight="1">
      <c r="A1358" s="69" t="str">
        <f>IF(priority(Main[[#This Row],[Comments]])&lt;&gt;0, priority(Main[[#This Row],[Comments]]),"")</f>
        <v/>
      </c>
      <c r="B1358" s="63" t="s">
        <v>3772</v>
      </c>
      <c r="C1358" s="148" t="s">
        <v>148</v>
      </c>
      <c r="D1358" s="113" t="s">
        <v>3773</v>
      </c>
      <c r="E1358" s="129">
        <v>40967.369837962964</v>
      </c>
      <c r="F1358" s="129">
        <v>41096</v>
      </c>
      <c r="G1358" s="69" t="str">
        <f>IF(stdProdLT(Main[[#This Row],[Comments]])=0.1,"N/A",IF(stdProdLT(Main[[#This Row],[Comments]])=0,"",stdProdLT(Main[[#This Row],[Comments]])))</f>
        <v/>
      </c>
      <c r="H1358" s="138" t="str">
        <f>IF(Main[[#This Row],[In Stock Date]]="N/A", "N/A",IF(AND(Main[[#This Row],[In Stock Date]]&lt;&gt;"",Main[[#This Row],[Revised Due Date]]&lt;&gt;"",Main[[#This Row],[In Stock Date]]&lt;&gt;""),Main[[#This Row],[In Stock Date]]-Main[[#This Row],[Revised Due Date]],""))</f>
        <v/>
      </c>
      <c r="I1358" s="139" t="s">
        <v>4</v>
      </c>
      <c r="J1358" s="139" t="s">
        <v>4</v>
      </c>
      <c r="K1358" s="140" t="s">
        <v>4</v>
      </c>
      <c r="L1358" s="129"/>
      <c r="M1358" s="114" t="str">
        <f>IF(Main[[#This Row],[Tech Start Date]]&lt;1/1/1990,"",IF(Main[[#This Row],[Class]]="C",WORKDAY(Main[[#This Row],[Tech Start Date]],9),IF(Main[[#This Row],[Class]]="B", WORKDAY(Main[[#This Row],[Tech Start Date]],6),IF(Main[[#This Row],[Class]]="A",WORKDAY(Main[[#This Row],[Tech Start Date]],2),""))))</f>
        <v/>
      </c>
      <c r="N1358" s="114" t="str">
        <f>IF(Main[[#This Row],[Tech Start Date]]&lt;1/1/1990,"",IF(Main[[#This Row],[Class]]="C",WORKDAY(Main[[#This Row],[Tech Start Date]],19),IF(Main[[#This Row],[Class]]="B", WORKDAY(Main[[#This Row],[Tech Start Date]],12),IF(Main[[#This Row],[Class]]="A",WORKDAY(Main[[#This Row],[Tech Start Date]],4),""))))</f>
        <v/>
      </c>
      <c r="O1358" s="114" t="str">
        <f>IF(Main[[#This Row],[Tech Start Date]]&lt;1/1/1990,"",IF(Main[[#This Row],[Class]]="C",WORKDAY(Main[[#This Row],[Tech Start Date]],23),IF(Main[[#This Row],[Class]]="B", WORKDAY(Main[[#This Row],[Tech Start Date]],15),IF(Main[[#This Row],[Class]]="A",WORKDAY(Main[[#This Row],[Tech Start Date]],5),""))))</f>
        <v/>
      </c>
      <c r="P1358" s="114" t="str">
        <f>IF(Main[[#This Row],[Tech Start Date]]&lt;1/1/1990,"",IF(Main[[#This Row],[Class]]="C",WORKDAY(Main[[#This Row],[Tech Start Date]],28),IF(Main[[#This Row],[Class]]="B", WORKDAY(Main[[#This Row],[Tech Start Date]],19),IF(Main[[#This Row],[Class]]="A",WORKDAY(Main[[#This Row],[Tech Start Date]],9),""))))</f>
        <v/>
      </c>
      <c r="Q1358" s="129"/>
      <c r="R1358" s="129"/>
      <c r="S1358" s="139" t="s">
        <v>11</v>
      </c>
      <c r="T1358" s="115" t="s">
        <v>4</v>
      </c>
      <c r="U1358" s="139" t="s">
        <v>7</v>
      </c>
      <c r="V1358" s="139" t="s">
        <v>1917</v>
      </c>
      <c r="W1358" s="139" t="s">
        <v>1922</v>
      </c>
      <c r="X1358" s="139" t="s">
        <v>50</v>
      </c>
      <c r="Y1358" s="112" t="s">
        <v>3744</v>
      </c>
      <c r="Z1358" s="112" t="s">
        <v>4</v>
      </c>
      <c r="AA1358" s="139" t="s">
        <v>3743</v>
      </c>
    </row>
    <row r="1359" spans="1:27" ht="17.25" customHeight="1">
      <c r="A1359" s="69" t="str">
        <f>IF(priority(Main[[#This Row],[Comments]])&lt;&gt;0, priority(Main[[#This Row],[Comments]]),"")</f>
        <v/>
      </c>
      <c r="B1359" s="63" t="s">
        <v>1620</v>
      </c>
      <c r="C1359" s="148" t="s">
        <v>4</v>
      </c>
      <c r="D1359" s="113" t="s">
        <v>3774</v>
      </c>
      <c r="E1359" s="129">
        <v>40626.478958333333</v>
      </c>
      <c r="F1359" s="129"/>
      <c r="G1359" s="69" t="str">
        <f>IF(stdProdLT(Main[[#This Row],[Comments]])=0.1,"N/A",IF(stdProdLT(Main[[#This Row],[Comments]])=0,"",stdProdLT(Main[[#This Row],[Comments]])))</f>
        <v/>
      </c>
      <c r="H1359" s="138" t="str">
        <f>IF(Main[[#This Row],[In Stock Date]]="N/A", "N/A",IF(AND(Main[[#This Row],[In Stock Date]]&lt;&gt;"",Main[[#This Row],[Revised Due Date]]&lt;&gt;"",Main[[#This Row],[In Stock Date]]&lt;&gt;""),Main[[#This Row],[In Stock Date]]-Main[[#This Row],[Revised Due Date]],""))</f>
        <v/>
      </c>
      <c r="I1359" s="139" t="s">
        <v>399</v>
      </c>
      <c r="J1359" s="139" t="s">
        <v>75</v>
      </c>
      <c r="K1359" s="139" t="s">
        <v>1923</v>
      </c>
      <c r="L1359" s="129"/>
      <c r="M1359" s="114" t="str">
        <f>IF(Main[[#This Row],[Tech Start Date]]&lt;1/1/1990,"",IF(Main[[#This Row],[Class]]="C",WORKDAY(Main[[#This Row],[Tech Start Date]],9),IF(Main[[#This Row],[Class]]="B", WORKDAY(Main[[#This Row],[Tech Start Date]],6),IF(Main[[#This Row],[Class]]="A",WORKDAY(Main[[#This Row],[Tech Start Date]],2),""))))</f>
        <v/>
      </c>
      <c r="N1359" s="114" t="str">
        <f>IF(Main[[#This Row],[Tech Start Date]]&lt;1/1/1990,"",IF(Main[[#This Row],[Class]]="C",WORKDAY(Main[[#This Row],[Tech Start Date]],19),IF(Main[[#This Row],[Class]]="B", WORKDAY(Main[[#This Row],[Tech Start Date]],12),IF(Main[[#This Row],[Class]]="A",WORKDAY(Main[[#This Row],[Tech Start Date]],4),""))))</f>
        <v/>
      </c>
      <c r="O1359" s="114" t="str">
        <f>IF(Main[[#This Row],[Tech Start Date]]&lt;1/1/1990,"",IF(Main[[#This Row],[Class]]="C",WORKDAY(Main[[#This Row],[Tech Start Date]],23),IF(Main[[#This Row],[Class]]="B", WORKDAY(Main[[#This Row],[Tech Start Date]],15),IF(Main[[#This Row],[Class]]="A",WORKDAY(Main[[#This Row],[Tech Start Date]],5),""))))</f>
        <v/>
      </c>
      <c r="P1359" s="114" t="str">
        <f>IF(Main[[#This Row],[Tech Start Date]]&lt;1/1/1990,"",IF(Main[[#This Row],[Class]]="C",WORKDAY(Main[[#This Row],[Tech Start Date]],28),IF(Main[[#This Row],[Class]]="B", WORKDAY(Main[[#This Row],[Tech Start Date]],19),IF(Main[[#This Row],[Class]]="A",WORKDAY(Main[[#This Row],[Tech Start Date]],9),""))))</f>
        <v/>
      </c>
      <c r="Q1359" s="129"/>
      <c r="R1359" s="129"/>
      <c r="S1359" s="139" t="s">
        <v>6</v>
      </c>
      <c r="T1359" s="115" t="s">
        <v>4</v>
      </c>
      <c r="U1359" s="139" t="s">
        <v>29</v>
      </c>
      <c r="V1359" s="139" t="s">
        <v>1917</v>
      </c>
      <c r="W1359" s="139" t="s">
        <v>1918</v>
      </c>
      <c r="X1359" s="139" t="s">
        <v>74</v>
      </c>
      <c r="Y1359" s="112" t="s">
        <v>3031</v>
      </c>
      <c r="Z1359" s="112" t="s">
        <v>415</v>
      </c>
      <c r="AA1359" s="139" t="s">
        <v>74</v>
      </c>
    </row>
    <row r="1360" spans="1:27" ht="17.25" customHeight="1">
      <c r="A1360" s="69" t="str">
        <f>IF(priority(Main[[#This Row],[Comments]])&lt;&gt;0, priority(Main[[#This Row],[Comments]]),"")</f>
        <v/>
      </c>
      <c r="B1360" s="63" t="s">
        <v>1591</v>
      </c>
      <c r="C1360" s="148" t="s">
        <v>4</v>
      </c>
      <c r="D1360" s="113" t="s">
        <v>3998</v>
      </c>
      <c r="E1360" s="129">
        <v>40352.416608796295</v>
      </c>
      <c r="F1360" s="129"/>
      <c r="G1360" s="69" t="str">
        <f>IF(stdProdLT(Main[[#This Row],[Comments]])=0.1,"N/A",IF(stdProdLT(Main[[#This Row],[Comments]])=0,"",stdProdLT(Main[[#This Row],[Comments]])))</f>
        <v/>
      </c>
      <c r="H1360" s="138" t="str">
        <f>IF(Main[[#This Row],[In Stock Date]]="N/A", "N/A",IF(AND(Main[[#This Row],[In Stock Date]]&lt;&gt;"",Main[[#This Row],[Revised Due Date]]&lt;&gt;"",Main[[#This Row],[In Stock Date]]&lt;&gt;""),Main[[#This Row],[In Stock Date]]-Main[[#This Row],[Revised Due Date]],""))</f>
        <v/>
      </c>
      <c r="I1360" s="139" t="s">
        <v>708</v>
      </c>
      <c r="J1360" s="139" t="s">
        <v>28</v>
      </c>
      <c r="K1360" s="140" t="s">
        <v>1926</v>
      </c>
      <c r="L1360" s="129"/>
      <c r="M1360" s="114" t="str">
        <f>IF(Main[[#This Row],[Tech Start Date]]&lt;1/1/1990,"",IF(Main[[#This Row],[Class]]="C",WORKDAY(Main[[#This Row],[Tech Start Date]],9),IF(Main[[#This Row],[Class]]="B", WORKDAY(Main[[#This Row],[Tech Start Date]],6),IF(Main[[#This Row],[Class]]="A",WORKDAY(Main[[#This Row],[Tech Start Date]],2),""))))</f>
        <v/>
      </c>
      <c r="N1360" s="114" t="str">
        <f>IF(Main[[#This Row],[Tech Start Date]]&lt;1/1/1990,"",IF(Main[[#This Row],[Class]]="C",WORKDAY(Main[[#This Row],[Tech Start Date]],19),IF(Main[[#This Row],[Class]]="B", WORKDAY(Main[[#This Row],[Tech Start Date]],12),IF(Main[[#This Row],[Class]]="A",WORKDAY(Main[[#This Row],[Tech Start Date]],4),""))))</f>
        <v/>
      </c>
      <c r="O1360" s="114" t="str">
        <f>IF(Main[[#This Row],[Tech Start Date]]&lt;1/1/1990,"",IF(Main[[#This Row],[Class]]="C",WORKDAY(Main[[#This Row],[Tech Start Date]],23),IF(Main[[#This Row],[Class]]="B", WORKDAY(Main[[#This Row],[Tech Start Date]],15),IF(Main[[#This Row],[Class]]="A",WORKDAY(Main[[#This Row],[Tech Start Date]],5),""))))</f>
        <v/>
      </c>
      <c r="P1360" s="114" t="str">
        <f>IF(Main[[#This Row],[Tech Start Date]]&lt;1/1/1990,"",IF(Main[[#This Row],[Class]]="C",WORKDAY(Main[[#This Row],[Tech Start Date]],28),IF(Main[[#This Row],[Class]]="B", WORKDAY(Main[[#This Row],[Tech Start Date]],19),IF(Main[[#This Row],[Class]]="A",WORKDAY(Main[[#This Row],[Tech Start Date]],9),""))))</f>
        <v/>
      </c>
      <c r="Q1360" s="129">
        <v>40387</v>
      </c>
      <c r="R1360" s="129">
        <v>41011</v>
      </c>
      <c r="S1360" s="139" t="s">
        <v>17</v>
      </c>
      <c r="T1360" s="115" t="s">
        <v>2464</v>
      </c>
      <c r="U1360" s="139" t="s">
        <v>29</v>
      </c>
      <c r="V1360" s="139" t="s">
        <v>1914</v>
      </c>
      <c r="W1360" s="139" t="s">
        <v>1919</v>
      </c>
      <c r="X1360" s="139" t="s">
        <v>708</v>
      </c>
      <c r="Y1360" s="112" t="s">
        <v>2931</v>
      </c>
      <c r="Z1360" s="112" t="s">
        <v>129</v>
      </c>
      <c r="AA1360" s="139" t="s">
        <v>708</v>
      </c>
    </row>
    <row r="1361" spans="1:27" ht="17.25" customHeight="1">
      <c r="A1361" s="69" t="str">
        <f>IF(priority(Main[[#This Row],[Comments]])&lt;&gt;0, priority(Main[[#This Row],[Comments]]),"")</f>
        <v/>
      </c>
      <c r="B1361" s="63" t="s">
        <v>3775</v>
      </c>
      <c r="C1361" s="148" t="s">
        <v>4</v>
      </c>
      <c r="D1361" s="113" t="s">
        <v>3776</v>
      </c>
      <c r="E1361" s="129">
        <v>40967.485150462962</v>
      </c>
      <c r="F1361" s="129"/>
      <c r="G1361" s="69" t="str">
        <f>IF(stdProdLT(Main[[#This Row],[Comments]])=0.1,"N/A",IF(stdProdLT(Main[[#This Row],[Comments]])=0,"",stdProdLT(Main[[#This Row],[Comments]])))</f>
        <v/>
      </c>
      <c r="H1361" s="138" t="str">
        <f>IF(Main[[#This Row],[In Stock Date]]="N/A", "N/A",IF(AND(Main[[#This Row],[In Stock Date]]&lt;&gt;"",Main[[#This Row],[Revised Due Date]]&lt;&gt;"",Main[[#This Row],[In Stock Date]]&lt;&gt;""),Main[[#This Row],[In Stock Date]]-Main[[#This Row],[Revised Due Date]],""))</f>
        <v/>
      </c>
      <c r="I1361" s="139" t="s">
        <v>2051</v>
      </c>
      <c r="J1361" s="139" t="s">
        <v>28</v>
      </c>
      <c r="K1361" s="139" t="s">
        <v>4</v>
      </c>
      <c r="L1361" s="129"/>
      <c r="M1361" s="114" t="str">
        <f>IF(Main[[#This Row],[Tech Start Date]]&lt;1/1/1990,"",IF(Main[[#This Row],[Class]]="C",WORKDAY(Main[[#This Row],[Tech Start Date]],9),IF(Main[[#This Row],[Class]]="B", WORKDAY(Main[[#This Row],[Tech Start Date]],6),IF(Main[[#This Row],[Class]]="A",WORKDAY(Main[[#This Row],[Tech Start Date]],2),""))))</f>
        <v/>
      </c>
      <c r="N1361" s="114" t="str">
        <f>IF(Main[[#This Row],[Tech Start Date]]&lt;1/1/1990,"",IF(Main[[#This Row],[Class]]="C",WORKDAY(Main[[#This Row],[Tech Start Date]],19),IF(Main[[#This Row],[Class]]="B", WORKDAY(Main[[#This Row],[Tech Start Date]],12),IF(Main[[#This Row],[Class]]="A",WORKDAY(Main[[#This Row],[Tech Start Date]],4),""))))</f>
        <v/>
      </c>
      <c r="O1361" s="114" t="str">
        <f>IF(Main[[#This Row],[Tech Start Date]]&lt;1/1/1990,"",IF(Main[[#This Row],[Class]]="C",WORKDAY(Main[[#This Row],[Tech Start Date]],23),IF(Main[[#This Row],[Class]]="B", WORKDAY(Main[[#This Row],[Tech Start Date]],15),IF(Main[[#This Row],[Class]]="A",WORKDAY(Main[[#This Row],[Tech Start Date]],5),""))))</f>
        <v/>
      </c>
      <c r="P1361" s="114" t="str">
        <f>IF(Main[[#This Row],[Tech Start Date]]&lt;1/1/1990,"",IF(Main[[#This Row],[Class]]="C",WORKDAY(Main[[#This Row],[Tech Start Date]],28),IF(Main[[#This Row],[Class]]="B", WORKDAY(Main[[#This Row],[Tech Start Date]],19),IF(Main[[#This Row],[Class]]="A",WORKDAY(Main[[#This Row],[Tech Start Date]],9),""))))</f>
        <v/>
      </c>
      <c r="Q1361" s="129">
        <v>40999</v>
      </c>
      <c r="R1361" s="129"/>
      <c r="S1361" s="139" t="s">
        <v>6</v>
      </c>
      <c r="T1361" s="115" t="s">
        <v>4</v>
      </c>
      <c r="U1361" s="139" t="s">
        <v>29</v>
      </c>
      <c r="V1361" s="139" t="s">
        <v>1917</v>
      </c>
      <c r="W1361" s="139" t="s">
        <v>1918</v>
      </c>
      <c r="X1361" s="139" t="s">
        <v>81</v>
      </c>
      <c r="Y1361" s="112" t="s">
        <v>2969</v>
      </c>
      <c r="Z1361" s="112" t="s">
        <v>81</v>
      </c>
      <c r="AA1361" s="139" t="s">
        <v>81</v>
      </c>
    </row>
    <row r="1362" spans="1:27" ht="17.25" customHeight="1">
      <c r="A1362" s="69" t="str">
        <f>IF(priority(Main[[#This Row],[Comments]])&lt;&gt;0, priority(Main[[#This Row],[Comments]]),"")</f>
        <v/>
      </c>
      <c r="B1362" s="63" t="s">
        <v>1894</v>
      </c>
      <c r="C1362" s="148" t="s">
        <v>4</v>
      </c>
      <c r="D1362" s="113" t="s">
        <v>3702</v>
      </c>
      <c r="E1362" s="129">
        <v>40203.692094907405</v>
      </c>
      <c r="F1362" s="129"/>
      <c r="G1362" s="69" t="str">
        <f>IF(stdProdLT(Main[[#This Row],[Comments]])=0.1,"N/A",IF(stdProdLT(Main[[#This Row],[Comments]])=0,"",stdProdLT(Main[[#This Row],[Comments]])))</f>
        <v/>
      </c>
      <c r="H1362" s="138" t="str">
        <f>IF(Main[[#This Row],[In Stock Date]]="N/A", "N/A",IF(AND(Main[[#This Row],[In Stock Date]]&lt;&gt;"",Main[[#This Row],[Revised Due Date]]&lt;&gt;"",Main[[#This Row],[In Stock Date]]&lt;&gt;""),Main[[#This Row],[In Stock Date]]-Main[[#This Row],[Revised Due Date]],""))</f>
        <v/>
      </c>
      <c r="I1362" s="139" t="s">
        <v>886</v>
      </c>
      <c r="J1362" s="139" t="s">
        <v>28</v>
      </c>
      <c r="K1362" s="139" t="s">
        <v>1926</v>
      </c>
      <c r="L1362" s="129"/>
      <c r="M1362" s="114" t="str">
        <f>IF(Main[[#This Row],[Tech Start Date]]&lt;1/1/1990,"",IF(Main[[#This Row],[Class]]="C",WORKDAY(Main[[#This Row],[Tech Start Date]],9),IF(Main[[#This Row],[Class]]="B", WORKDAY(Main[[#This Row],[Tech Start Date]],6),IF(Main[[#This Row],[Class]]="A",WORKDAY(Main[[#This Row],[Tech Start Date]],2),""))))</f>
        <v/>
      </c>
      <c r="N1362" s="114" t="str">
        <f>IF(Main[[#This Row],[Tech Start Date]]&lt;1/1/1990,"",IF(Main[[#This Row],[Class]]="C",WORKDAY(Main[[#This Row],[Tech Start Date]],19),IF(Main[[#This Row],[Class]]="B", WORKDAY(Main[[#This Row],[Tech Start Date]],12),IF(Main[[#This Row],[Class]]="A",WORKDAY(Main[[#This Row],[Tech Start Date]],4),""))))</f>
        <v/>
      </c>
      <c r="O1362" s="114" t="str">
        <f>IF(Main[[#This Row],[Tech Start Date]]&lt;1/1/1990,"",IF(Main[[#This Row],[Class]]="C",WORKDAY(Main[[#This Row],[Tech Start Date]],23),IF(Main[[#This Row],[Class]]="B", WORKDAY(Main[[#This Row],[Tech Start Date]],15),IF(Main[[#This Row],[Class]]="A",WORKDAY(Main[[#This Row],[Tech Start Date]],5),""))))</f>
        <v/>
      </c>
      <c r="P1362" s="114" t="str">
        <f>IF(Main[[#This Row],[Tech Start Date]]&lt;1/1/1990,"",IF(Main[[#This Row],[Class]]="C",WORKDAY(Main[[#This Row],[Tech Start Date]],28),IF(Main[[#This Row],[Class]]="B", WORKDAY(Main[[#This Row],[Tech Start Date]],19),IF(Main[[#This Row],[Class]]="A",WORKDAY(Main[[#This Row],[Tech Start Date]],9),""))))</f>
        <v/>
      </c>
      <c r="Q1362" s="129">
        <v>40724</v>
      </c>
      <c r="R1362" s="129">
        <v>41152</v>
      </c>
      <c r="S1362" s="139" t="s">
        <v>17</v>
      </c>
      <c r="T1362" s="115" t="s">
        <v>2463</v>
      </c>
      <c r="U1362" s="139" t="s">
        <v>29</v>
      </c>
      <c r="V1362" s="139" t="s">
        <v>1914</v>
      </c>
      <c r="W1362" s="139" t="s">
        <v>1919</v>
      </c>
      <c r="X1362" s="139" t="s">
        <v>129</v>
      </c>
      <c r="Y1362" s="112" t="s">
        <v>2933</v>
      </c>
      <c r="Z1362" s="112" t="s">
        <v>129</v>
      </c>
      <c r="AA1362" s="139" t="s">
        <v>129</v>
      </c>
    </row>
    <row r="1363" spans="1:27" ht="17.25" customHeight="1">
      <c r="A1363" s="69" t="str">
        <f>IF(priority(Main[[#This Row],[Comments]])&lt;&gt;0, priority(Main[[#This Row],[Comments]]),"")</f>
        <v/>
      </c>
      <c r="B1363" s="63" t="s">
        <v>2549</v>
      </c>
      <c r="C1363" s="148" t="s">
        <v>2550</v>
      </c>
      <c r="D1363" s="62" t="s">
        <v>3779</v>
      </c>
      <c r="E1363" s="129">
        <v>40855.339328703703</v>
      </c>
      <c r="F1363" s="129">
        <v>40890</v>
      </c>
      <c r="G1363" s="69">
        <f>IF(stdProdLT(Main[[#This Row],[Comments]])=0.1,"N/A",IF(stdProdLT(Main[[#This Row],[Comments]])=0,"",stdProdLT(Main[[#This Row],[Comments]])))</f>
        <v>84</v>
      </c>
      <c r="H1363" s="138" t="str">
        <f>IF(Main[[#This Row],[In Stock Date]]="N/A", "N/A",IF(AND(Main[[#This Row],[In Stock Date]]&lt;&gt;"",Main[[#This Row],[Revised Due Date]]&lt;&gt;"",Main[[#This Row],[In Stock Date]]&lt;&gt;""),Main[[#This Row],[In Stock Date]]-Main[[#This Row],[Revised Due Date]],""))</f>
        <v/>
      </c>
      <c r="I1363" s="139" t="s">
        <v>126</v>
      </c>
      <c r="J1363" s="139" t="s">
        <v>28</v>
      </c>
      <c r="K1363" s="140" t="s">
        <v>4</v>
      </c>
      <c r="L1363" s="129"/>
      <c r="M1363" s="114" t="str">
        <f>IF(Main[[#This Row],[Tech Start Date]]&lt;1/1/1990,"",IF(Main[[#This Row],[Class]]="C",WORKDAY(Main[[#This Row],[Tech Start Date]],9),IF(Main[[#This Row],[Class]]="B", WORKDAY(Main[[#This Row],[Tech Start Date]],6),IF(Main[[#This Row],[Class]]="A",WORKDAY(Main[[#This Row],[Tech Start Date]],2),""))))</f>
        <v/>
      </c>
      <c r="N1363" s="114" t="str">
        <f>IF(Main[[#This Row],[Tech Start Date]]&lt;1/1/1990,"",IF(Main[[#This Row],[Class]]="C",WORKDAY(Main[[#This Row],[Tech Start Date]],19),IF(Main[[#This Row],[Class]]="B", WORKDAY(Main[[#This Row],[Tech Start Date]],12),IF(Main[[#This Row],[Class]]="A",WORKDAY(Main[[#This Row],[Tech Start Date]],4),""))))</f>
        <v/>
      </c>
      <c r="O1363" s="114" t="str">
        <f>IF(Main[[#This Row],[Tech Start Date]]&lt;1/1/1990,"",IF(Main[[#This Row],[Class]]="C",WORKDAY(Main[[#This Row],[Tech Start Date]],23),IF(Main[[#This Row],[Class]]="B", WORKDAY(Main[[#This Row],[Tech Start Date]],15),IF(Main[[#This Row],[Class]]="A",WORKDAY(Main[[#This Row],[Tech Start Date]],5),""))))</f>
        <v/>
      </c>
      <c r="P1363" s="114" t="str">
        <f>IF(Main[[#This Row],[Tech Start Date]]&lt;1/1/1990,"",IF(Main[[#This Row],[Class]]="C",WORKDAY(Main[[#This Row],[Tech Start Date]],28),IF(Main[[#This Row],[Class]]="B", WORKDAY(Main[[#This Row],[Tech Start Date]],19),IF(Main[[#This Row],[Class]]="A",WORKDAY(Main[[#This Row],[Tech Start Date]],9),""))))</f>
        <v/>
      </c>
      <c r="Q1363" s="129">
        <v>40877</v>
      </c>
      <c r="R1363" s="129"/>
      <c r="S1363" s="139" t="s">
        <v>11</v>
      </c>
      <c r="T1363" s="115" t="s">
        <v>3780</v>
      </c>
      <c r="U1363" s="139" t="s">
        <v>534</v>
      </c>
      <c r="V1363" s="139" t="s">
        <v>1914</v>
      </c>
      <c r="W1363" s="139" t="s">
        <v>1928</v>
      </c>
      <c r="X1363" s="139" t="s">
        <v>2905</v>
      </c>
      <c r="Y1363" s="112" t="s">
        <v>3131</v>
      </c>
      <c r="Z1363" s="112" t="s">
        <v>4</v>
      </c>
      <c r="AA1363" s="139" t="s">
        <v>3464</v>
      </c>
    </row>
    <row r="1364" spans="1:27" ht="17.25" customHeight="1">
      <c r="A1364" s="69" t="str">
        <f>IF(priority(Main[[#This Row],[Comments]])&lt;&gt;0, priority(Main[[#This Row],[Comments]]),"")</f>
        <v/>
      </c>
      <c r="B1364" s="63" t="s">
        <v>1893</v>
      </c>
      <c r="C1364" s="148" t="s">
        <v>4</v>
      </c>
      <c r="D1364" s="113" t="s">
        <v>948</v>
      </c>
      <c r="E1364" s="129">
        <v>40112.566631944443</v>
      </c>
      <c r="F1364" s="129"/>
      <c r="G1364" s="69" t="str">
        <f>IF(stdProdLT(Main[[#This Row],[Comments]])=0.1,"N/A",IF(stdProdLT(Main[[#This Row],[Comments]])=0,"",stdProdLT(Main[[#This Row],[Comments]])))</f>
        <v/>
      </c>
      <c r="H1364" s="138" t="str">
        <f>IF(Main[[#This Row],[In Stock Date]]="N/A", "N/A",IF(AND(Main[[#This Row],[In Stock Date]]&lt;&gt;"",Main[[#This Row],[Revised Due Date]]&lt;&gt;"",Main[[#This Row],[In Stock Date]]&lt;&gt;""),Main[[#This Row],[In Stock Date]]-Main[[#This Row],[Revised Due Date]],""))</f>
        <v/>
      </c>
      <c r="I1364" s="139" t="s">
        <v>898</v>
      </c>
      <c r="J1364" s="139" t="s">
        <v>4</v>
      </c>
      <c r="K1364" s="140" t="s">
        <v>1926</v>
      </c>
      <c r="L1364" s="129"/>
      <c r="M1364" s="114" t="str">
        <f>IF(Main[[#This Row],[Tech Start Date]]&lt;1/1/1990,"",IF(Main[[#This Row],[Class]]="C",WORKDAY(Main[[#This Row],[Tech Start Date]],9),IF(Main[[#This Row],[Class]]="B", WORKDAY(Main[[#This Row],[Tech Start Date]],6),IF(Main[[#This Row],[Class]]="A",WORKDAY(Main[[#This Row],[Tech Start Date]],2),""))))</f>
        <v/>
      </c>
      <c r="N1364" s="114" t="str">
        <f>IF(Main[[#This Row],[Tech Start Date]]&lt;1/1/1990,"",IF(Main[[#This Row],[Class]]="C",WORKDAY(Main[[#This Row],[Tech Start Date]],19),IF(Main[[#This Row],[Class]]="B", WORKDAY(Main[[#This Row],[Tech Start Date]],12),IF(Main[[#This Row],[Class]]="A",WORKDAY(Main[[#This Row],[Tech Start Date]],4),""))))</f>
        <v/>
      </c>
      <c r="O1364" s="114" t="str">
        <f>IF(Main[[#This Row],[Tech Start Date]]&lt;1/1/1990,"",IF(Main[[#This Row],[Class]]="C",WORKDAY(Main[[#This Row],[Tech Start Date]],23),IF(Main[[#This Row],[Class]]="B", WORKDAY(Main[[#This Row],[Tech Start Date]],15),IF(Main[[#This Row],[Class]]="A",WORKDAY(Main[[#This Row],[Tech Start Date]],5),""))))</f>
        <v/>
      </c>
      <c r="P1364" s="114" t="str">
        <f>IF(Main[[#This Row],[Tech Start Date]]&lt;1/1/1990,"",IF(Main[[#This Row],[Class]]="C",WORKDAY(Main[[#This Row],[Tech Start Date]],28),IF(Main[[#This Row],[Class]]="B", WORKDAY(Main[[#This Row],[Tech Start Date]],19),IF(Main[[#This Row],[Class]]="A",WORKDAY(Main[[#This Row],[Tech Start Date]],9),""))))</f>
        <v/>
      </c>
      <c r="Q1364" s="129">
        <v>40564</v>
      </c>
      <c r="R1364" s="129">
        <v>41264</v>
      </c>
      <c r="S1364" s="139" t="s">
        <v>17</v>
      </c>
      <c r="T1364" s="115" t="s">
        <v>4</v>
      </c>
      <c r="U1364" s="139" t="s">
        <v>29</v>
      </c>
      <c r="V1364" s="139" t="s">
        <v>1917</v>
      </c>
      <c r="W1364" s="139" t="s">
        <v>1919</v>
      </c>
      <c r="X1364" s="139" t="s">
        <v>968</v>
      </c>
      <c r="Y1364" s="112" t="s">
        <v>3115</v>
      </c>
      <c r="Z1364" s="112" t="s">
        <v>415</v>
      </c>
      <c r="AA1364" s="139" t="s">
        <v>968</v>
      </c>
    </row>
    <row r="1365" spans="1:27" ht="17.25" customHeight="1">
      <c r="A1365" s="69" t="str">
        <f>IF(priority(Main[[#This Row],[Comments]])&lt;&gt;0, priority(Main[[#This Row],[Comments]]),"")</f>
        <v/>
      </c>
      <c r="B1365" s="63" t="s">
        <v>2604</v>
      </c>
      <c r="C1365" s="148" t="s">
        <v>2354</v>
      </c>
      <c r="D1365" s="113" t="s">
        <v>2355</v>
      </c>
      <c r="E1365" s="129"/>
      <c r="F1365" s="129">
        <v>41036</v>
      </c>
      <c r="G1365" s="69" t="str">
        <f>IF(stdProdLT(Main[[#This Row],[Comments]])=0.1,"N/A",IF(stdProdLT(Main[[#This Row],[Comments]])=0,"",stdProdLT(Main[[#This Row],[Comments]])))</f>
        <v/>
      </c>
      <c r="H1365" s="138" t="str">
        <f>IF(Main[[#This Row],[In Stock Date]]="N/A", "N/A",IF(AND(Main[[#This Row],[In Stock Date]]&lt;&gt;"",Main[[#This Row],[Revised Due Date]]&lt;&gt;"",Main[[#This Row],[In Stock Date]]&lt;&gt;""),Main[[#This Row],[In Stock Date]]-Main[[#This Row],[Revised Due Date]],""))</f>
        <v/>
      </c>
      <c r="I1365" s="139" t="s">
        <v>4</v>
      </c>
      <c r="J1365" s="139" t="s">
        <v>4</v>
      </c>
      <c r="K1365" s="139" t="s">
        <v>4</v>
      </c>
      <c r="L1365" s="129"/>
      <c r="M1365" s="114" t="str">
        <f>IF(Main[[#This Row],[Tech Start Date]]&lt;1/1/1990,"",IF(Main[[#This Row],[Class]]="C",WORKDAY(Main[[#This Row],[Tech Start Date]],9),IF(Main[[#This Row],[Class]]="B", WORKDAY(Main[[#This Row],[Tech Start Date]],6),IF(Main[[#This Row],[Class]]="A",WORKDAY(Main[[#This Row],[Tech Start Date]],2),""))))</f>
        <v/>
      </c>
      <c r="N1365" s="114" t="str">
        <f>IF(Main[[#This Row],[Tech Start Date]]&lt;1/1/1990,"",IF(Main[[#This Row],[Class]]="C",WORKDAY(Main[[#This Row],[Tech Start Date]],19),IF(Main[[#This Row],[Class]]="B", WORKDAY(Main[[#This Row],[Tech Start Date]],12),IF(Main[[#This Row],[Class]]="A",WORKDAY(Main[[#This Row],[Tech Start Date]],4),""))))</f>
        <v/>
      </c>
      <c r="O1365" s="114" t="str">
        <f>IF(Main[[#This Row],[Tech Start Date]]&lt;1/1/1990,"",IF(Main[[#This Row],[Class]]="C",WORKDAY(Main[[#This Row],[Tech Start Date]],23),IF(Main[[#This Row],[Class]]="B", WORKDAY(Main[[#This Row],[Tech Start Date]],15),IF(Main[[#This Row],[Class]]="A",WORKDAY(Main[[#This Row],[Tech Start Date]],5),""))))</f>
        <v/>
      </c>
      <c r="P1365" s="114" t="str">
        <f>IF(Main[[#This Row],[Tech Start Date]]&lt;1/1/1990,"",IF(Main[[#This Row],[Class]]="C",WORKDAY(Main[[#This Row],[Tech Start Date]],28),IF(Main[[#This Row],[Class]]="B", WORKDAY(Main[[#This Row],[Tech Start Date]],19),IF(Main[[#This Row],[Class]]="A",WORKDAY(Main[[#This Row],[Tech Start Date]],9),""))))</f>
        <v/>
      </c>
      <c r="Q1365" s="129">
        <v>40854</v>
      </c>
      <c r="R1365" s="129"/>
      <c r="S1365" s="139" t="s">
        <v>11</v>
      </c>
      <c r="T1365" s="115" t="s">
        <v>4</v>
      </c>
      <c r="U1365" s="139" t="s">
        <v>12</v>
      </c>
      <c r="V1365" s="139" t="s">
        <v>1917</v>
      </c>
      <c r="W1365" s="139" t="s">
        <v>1920</v>
      </c>
      <c r="X1365" s="139" t="s">
        <v>2843</v>
      </c>
      <c r="Y1365" s="112" t="s">
        <v>4</v>
      </c>
      <c r="Z1365" s="112" t="s">
        <v>4</v>
      </c>
      <c r="AA1365" s="139" t="s">
        <v>2843</v>
      </c>
    </row>
    <row r="1366" spans="1:27" ht="17.25" customHeight="1">
      <c r="A1366" s="69" t="str">
        <f>IF(priority(Main[[#This Row],[Comments]])&lt;&gt;0, priority(Main[[#This Row],[Comments]]),"")</f>
        <v/>
      </c>
      <c r="B1366" s="63" t="s">
        <v>2244</v>
      </c>
      <c r="C1366" s="148" t="s">
        <v>2245</v>
      </c>
      <c r="D1366" s="113" t="s">
        <v>2246</v>
      </c>
      <c r="E1366" s="129"/>
      <c r="F1366" s="129"/>
      <c r="G1366" s="69" t="str">
        <f>IF(stdProdLT(Main[[#This Row],[Comments]])=0.1,"N/A",IF(stdProdLT(Main[[#This Row],[Comments]])=0,"",stdProdLT(Main[[#This Row],[Comments]])))</f>
        <v/>
      </c>
      <c r="H1366" s="138" t="str">
        <f>IF(Main[[#This Row],[In Stock Date]]="N/A", "N/A",IF(AND(Main[[#This Row],[In Stock Date]]&lt;&gt;"",Main[[#This Row],[Revised Due Date]]&lt;&gt;"",Main[[#This Row],[In Stock Date]]&lt;&gt;""),Main[[#This Row],[In Stock Date]]-Main[[#This Row],[Revised Due Date]],""))</f>
        <v/>
      </c>
      <c r="I1366" s="139" t="s">
        <v>2206</v>
      </c>
      <c r="J1366" s="139" t="s">
        <v>4</v>
      </c>
      <c r="K1366" s="139" t="s">
        <v>1923</v>
      </c>
      <c r="L1366" s="129">
        <v>37622</v>
      </c>
      <c r="M1366" s="114">
        <f>IF(Main[[#This Row],[Tech Start Date]]&lt;1/1/1990,"",IF(Main[[#This Row],[Class]]="C",WORKDAY(Main[[#This Row],[Tech Start Date]],9),IF(Main[[#This Row],[Class]]="B", WORKDAY(Main[[#This Row],[Tech Start Date]],6),IF(Main[[#This Row],[Class]]="A",WORKDAY(Main[[#This Row],[Tech Start Date]],2),""))))</f>
        <v>37624</v>
      </c>
      <c r="N1366" s="114">
        <f>IF(Main[[#This Row],[Tech Start Date]]&lt;1/1/1990,"",IF(Main[[#This Row],[Class]]="C",WORKDAY(Main[[#This Row],[Tech Start Date]],19),IF(Main[[#This Row],[Class]]="B", WORKDAY(Main[[#This Row],[Tech Start Date]],12),IF(Main[[#This Row],[Class]]="A",WORKDAY(Main[[#This Row],[Tech Start Date]],4),""))))</f>
        <v>37628</v>
      </c>
      <c r="O1366" s="114">
        <f>IF(Main[[#This Row],[Tech Start Date]]&lt;1/1/1990,"",IF(Main[[#This Row],[Class]]="C",WORKDAY(Main[[#This Row],[Tech Start Date]],23),IF(Main[[#This Row],[Class]]="B", WORKDAY(Main[[#This Row],[Tech Start Date]],15),IF(Main[[#This Row],[Class]]="A",WORKDAY(Main[[#This Row],[Tech Start Date]],5),""))))</f>
        <v>37629</v>
      </c>
      <c r="P1366" s="114">
        <f>IF(Main[[#This Row],[Tech Start Date]]&lt;1/1/1990,"",IF(Main[[#This Row],[Class]]="C",WORKDAY(Main[[#This Row],[Tech Start Date]],28),IF(Main[[#This Row],[Class]]="B", WORKDAY(Main[[#This Row],[Tech Start Date]],19),IF(Main[[#This Row],[Class]]="A",WORKDAY(Main[[#This Row],[Tech Start Date]],9),""))))</f>
        <v>37635</v>
      </c>
      <c r="Q1366" s="129"/>
      <c r="R1366" s="129">
        <v>37623</v>
      </c>
      <c r="S1366" s="139" t="s">
        <v>11</v>
      </c>
      <c r="T1366" s="115" t="s">
        <v>4</v>
      </c>
      <c r="U1366" s="139" t="s">
        <v>14</v>
      </c>
      <c r="V1366" s="139" t="s">
        <v>1929</v>
      </c>
      <c r="W1366" s="139" t="s">
        <v>1922</v>
      </c>
      <c r="X1366" s="139" t="s">
        <v>2914</v>
      </c>
      <c r="Y1366" s="112" t="s">
        <v>3141</v>
      </c>
      <c r="Z1366" s="112" t="s">
        <v>4</v>
      </c>
      <c r="AA1366" s="139" t="s">
        <v>3469</v>
      </c>
    </row>
    <row r="1367" spans="1:27" ht="17.25" customHeight="1">
      <c r="A1367" s="69" t="str">
        <f>IF(priority(Main[[#This Row],[Comments]])&lt;&gt;0, priority(Main[[#This Row],[Comments]]),"")</f>
        <v/>
      </c>
      <c r="B1367" s="63" t="s">
        <v>2282</v>
      </c>
      <c r="C1367" s="148" t="s">
        <v>2204</v>
      </c>
      <c r="D1367" s="113" t="s">
        <v>2205</v>
      </c>
      <c r="E1367" s="129">
        <v>40813.570081018515</v>
      </c>
      <c r="F1367" s="129"/>
      <c r="G1367" s="69" t="str">
        <f>IF(stdProdLT(Main[[#This Row],[Comments]])=0.1,"N/A",IF(stdProdLT(Main[[#This Row],[Comments]])=0,"",stdProdLT(Main[[#This Row],[Comments]])))</f>
        <v/>
      </c>
      <c r="H1367" s="138" t="str">
        <f>IF(Main[[#This Row],[In Stock Date]]="N/A", "N/A",IF(AND(Main[[#This Row],[In Stock Date]]&lt;&gt;"",Main[[#This Row],[Revised Due Date]]&lt;&gt;"",Main[[#This Row],[In Stock Date]]&lt;&gt;""),Main[[#This Row],[In Stock Date]]-Main[[#This Row],[Revised Due Date]],""))</f>
        <v/>
      </c>
      <c r="I1367" s="139" t="s">
        <v>2206</v>
      </c>
      <c r="J1367" s="139" t="s">
        <v>4</v>
      </c>
      <c r="K1367" s="139" t="s">
        <v>1923</v>
      </c>
      <c r="L1367" s="129">
        <v>37622</v>
      </c>
      <c r="M1367" s="114">
        <f>IF(Main[[#This Row],[Tech Start Date]]&lt;1/1/1990,"",IF(Main[[#This Row],[Class]]="C",WORKDAY(Main[[#This Row],[Tech Start Date]],9),IF(Main[[#This Row],[Class]]="B", WORKDAY(Main[[#This Row],[Tech Start Date]],6),IF(Main[[#This Row],[Class]]="A",WORKDAY(Main[[#This Row],[Tech Start Date]],2),""))))</f>
        <v>37624</v>
      </c>
      <c r="N1367" s="114">
        <f>IF(Main[[#This Row],[Tech Start Date]]&lt;1/1/1990,"",IF(Main[[#This Row],[Class]]="C",WORKDAY(Main[[#This Row],[Tech Start Date]],19),IF(Main[[#This Row],[Class]]="B", WORKDAY(Main[[#This Row],[Tech Start Date]],12),IF(Main[[#This Row],[Class]]="A",WORKDAY(Main[[#This Row],[Tech Start Date]],4),""))))</f>
        <v>37628</v>
      </c>
      <c r="O1367" s="114">
        <f>IF(Main[[#This Row],[Tech Start Date]]&lt;1/1/1990,"",IF(Main[[#This Row],[Class]]="C",WORKDAY(Main[[#This Row],[Tech Start Date]],23),IF(Main[[#This Row],[Class]]="B", WORKDAY(Main[[#This Row],[Tech Start Date]],15),IF(Main[[#This Row],[Class]]="A",WORKDAY(Main[[#This Row],[Tech Start Date]],5),""))))</f>
        <v>37629</v>
      </c>
      <c r="P1367" s="114">
        <f>IF(Main[[#This Row],[Tech Start Date]]&lt;1/1/1990,"",IF(Main[[#This Row],[Class]]="C",WORKDAY(Main[[#This Row],[Tech Start Date]],28),IF(Main[[#This Row],[Class]]="B", WORKDAY(Main[[#This Row],[Tech Start Date]],19),IF(Main[[#This Row],[Class]]="A",WORKDAY(Main[[#This Row],[Tech Start Date]],9),""))))</f>
        <v>37635</v>
      </c>
      <c r="Q1367" s="129"/>
      <c r="R1367" s="129">
        <v>37623</v>
      </c>
      <c r="S1367" s="139" t="s">
        <v>11</v>
      </c>
      <c r="T1367" s="115" t="s">
        <v>4</v>
      </c>
      <c r="U1367" s="139" t="s">
        <v>29</v>
      </c>
      <c r="V1367" s="139" t="s">
        <v>2283</v>
      </c>
      <c r="W1367" s="139" t="s">
        <v>1922</v>
      </c>
      <c r="X1367" s="139" t="s">
        <v>2206</v>
      </c>
      <c r="Y1367" s="112" t="s">
        <v>3141</v>
      </c>
      <c r="Z1367" s="112" t="s">
        <v>4</v>
      </c>
      <c r="AA1367" s="139" t="s">
        <v>3469</v>
      </c>
    </row>
    <row r="1368" spans="1:27" ht="17.25" customHeight="1">
      <c r="A1368" s="69" t="str">
        <f>IF(priority(Main[[#This Row],[Comments]])&lt;&gt;0, priority(Main[[#This Row],[Comments]]),"")</f>
        <v/>
      </c>
      <c r="B1368" s="63" t="s">
        <v>2243</v>
      </c>
      <c r="C1368" s="148" t="s">
        <v>2204</v>
      </c>
      <c r="D1368" s="113" t="s">
        <v>2205</v>
      </c>
      <c r="E1368" s="129"/>
      <c r="F1368" s="129"/>
      <c r="G1368" s="69" t="str">
        <f>IF(stdProdLT(Main[[#This Row],[Comments]])=0.1,"N/A",IF(stdProdLT(Main[[#This Row],[Comments]])=0,"",stdProdLT(Main[[#This Row],[Comments]])))</f>
        <v/>
      </c>
      <c r="H1368" s="138" t="str">
        <f>IF(Main[[#This Row],[In Stock Date]]="N/A", "N/A",IF(AND(Main[[#This Row],[In Stock Date]]&lt;&gt;"",Main[[#This Row],[Revised Due Date]]&lt;&gt;"",Main[[#This Row],[In Stock Date]]&lt;&gt;""),Main[[#This Row],[In Stock Date]]-Main[[#This Row],[Revised Due Date]],""))</f>
        <v/>
      </c>
      <c r="I1368" s="139" t="s">
        <v>2206</v>
      </c>
      <c r="J1368" s="139" t="s">
        <v>4</v>
      </c>
      <c r="K1368" s="140" t="s">
        <v>1923</v>
      </c>
      <c r="L1368" s="129">
        <v>37622</v>
      </c>
      <c r="M1368" s="114">
        <f>IF(Main[[#This Row],[Tech Start Date]]&lt;1/1/1990,"",IF(Main[[#This Row],[Class]]="C",WORKDAY(Main[[#This Row],[Tech Start Date]],9),IF(Main[[#This Row],[Class]]="B", WORKDAY(Main[[#This Row],[Tech Start Date]],6),IF(Main[[#This Row],[Class]]="A",WORKDAY(Main[[#This Row],[Tech Start Date]],2),""))))</f>
        <v>37624</v>
      </c>
      <c r="N1368" s="114">
        <f>IF(Main[[#This Row],[Tech Start Date]]&lt;1/1/1990,"",IF(Main[[#This Row],[Class]]="C",WORKDAY(Main[[#This Row],[Tech Start Date]],19),IF(Main[[#This Row],[Class]]="B", WORKDAY(Main[[#This Row],[Tech Start Date]],12),IF(Main[[#This Row],[Class]]="A",WORKDAY(Main[[#This Row],[Tech Start Date]],4),""))))</f>
        <v>37628</v>
      </c>
      <c r="O1368" s="114">
        <f>IF(Main[[#This Row],[Tech Start Date]]&lt;1/1/1990,"",IF(Main[[#This Row],[Class]]="C",WORKDAY(Main[[#This Row],[Tech Start Date]],23),IF(Main[[#This Row],[Class]]="B", WORKDAY(Main[[#This Row],[Tech Start Date]],15),IF(Main[[#This Row],[Class]]="A",WORKDAY(Main[[#This Row],[Tech Start Date]],5),""))))</f>
        <v>37629</v>
      </c>
      <c r="P1368" s="114">
        <f>IF(Main[[#This Row],[Tech Start Date]]&lt;1/1/1990,"",IF(Main[[#This Row],[Class]]="C",WORKDAY(Main[[#This Row],[Tech Start Date]],28),IF(Main[[#This Row],[Class]]="B", WORKDAY(Main[[#This Row],[Tech Start Date]],19),IF(Main[[#This Row],[Class]]="A",WORKDAY(Main[[#This Row],[Tech Start Date]],9),""))))</f>
        <v>37635</v>
      </c>
      <c r="Q1368" s="129"/>
      <c r="R1368" s="129">
        <v>37623</v>
      </c>
      <c r="S1368" s="139" t="s">
        <v>11</v>
      </c>
      <c r="T1368" s="115" t="s">
        <v>4</v>
      </c>
      <c r="U1368" s="139" t="s">
        <v>14</v>
      </c>
      <c r="V1368" s="139" t="s">
        <v>1929</v>
      </c>
      <c r="W1368" s="139" t="s">
        <v>1922</v>
      </c>
      <c r="X1368" s="139" t="s">
        <v>2206</v>
      </c>
      <c r="Y1368" s="112" t="s">
        <v>3141</v>
      </c>
      <c r="Z1368" s="112" t="s">
        <v>4</v>
      </c>
      <c r="AA1368" s="139" t="s">
        <v>3469</v>
      </c>
    </row>
    <row r="1369" spans="1:27" ht="17.25" customHeight="1">
      <c r="A1369" s="69" t="str">
        <f>IF(priority(Main[[#This Row],[Comments]])&lt;&gt;0, priority(Main[[#This Row],[Comments]]),"")</f>
        <v/>
      </c>
      <c r="B1369" s="63" t="s">
        <v>2203</v>
      </c>
      <c r="C1369" s="148" t="s">
        <v>2204</v>
      </c>
      <c r="D1369" s="113" t="s">
        <v>2205</v>
      </c>
      <c r="E1369" s="129"/>
      <c r="F1369" s="129"/>
      <c r="G1369" s="69" t="str">
        <f>IF(stdProdLT(Main[[#This Row],[Comments]])=0.1,"N/A",IF(stdProdLT(Main[[#This Row],[Comments]])=0,"",stdProdLT(Main[[#This Row],[Comments]])))</f>
        <v/>
      </c>
      <c r="H1369" s="138" t="str">
        <f>IF(Main[[#This Row],[In Stock Date]]="N/A", "N/A",IF(AND(Main[[#This Row],[In Stock Date]]&lt;&gt;"",Main[[#This Row],[Revised Due Date]]&lt;&gt;"",Main[[#This Row],[In Stock Date]]&lt;&gt;""),Main[[#This Row],[In Stock Date]]-Main[[#This Row],[Revised Due Date]],""))</f>
        <v/>
      </c>
      <c r="I1369" s="139" t="s">
        <v>2206</v>
      </c>
      <c r="J1369" s="139" t="s">
        <v>4</v>
      </c>
      <c r="K1369" s="139" t="s">
        <v>1923</v>
      </c>
      <c r="L1369" s="129">
        <v>37622</v>
      </c>
      <c r="M1369" s="114">
        <f>IF(Main[[#This Row],[Tech Start Date]]&lt;1/1/1990,"",IF(Main[[#This Row],[Class]]="C",WORKDAY(Main[[#This Row],[Tech Start Date]],9),IF(Main[[#This Row],[Class]]="B", WORKDAY(Main[[#This Row],[Tech Start Date]],6),IF(Main[[#This Row],[Class]]="A",WORKDAY(Main[[#This Row],[Tech Start Date]],2),""))))</f>
        <v>37624</v>
      </c>
      <c r="N1369" s="114">
        <f>IF(Main[[#This Row],[Tech Start Date]]&lt;1/1/1990,"",IF(Main[[#This Row],[Class]]="C",WORKDAY(Main[[#This Row],[Tech Start Date]],19),IF(Main[[#This Row],[Class]]="B", WORKDAY(Main[[#This Row],[Tech Start Date]],12),IF(Main[[#This Row],[Class]]="A",WORKDAY(Main[[#This Row],[Tech Start Date]],4),""))))</f>
        <v>37628</v>
      </c>
      <c r="O1369" s="114">
        <f>IF(Main[[#This Row],[Tech Start Date]]&lt;1/1/1990,"",IF(Main[[#This Row],[Class]]="C",WORKDAY(Main[[#This Row],[Tech Start Date]],23),IF(Main[[#This Row],[Class]]="B", WORKDAY(Main[[#This Row],[Tech Start Date]],15),IF(Main[[#This Row],[Class]]="A",WORKDAY(Main[[#This Row],[Tech Start Date]],5),""))))</f>
        <v>37629</v>
      </c>
      <c r="P1369" s="114">
        <f>IF(Main[[#This Row],[Tech Start Date]]&lt;1/1/1990,"",IF(Main[[#This Row],[Class]]="C",WORKDAY(Main[[#This Row],[Tech Start Date]],28),IF(Main[[#This Row],[Class]]="B", WORKDAY(Main[[#This Row],[Tech Start Date]],19),IF(Main[[#This Row],[Class]]="A",WORKDAY(Main[[#This Row],[Tech Start Date]],9),""))))</f>
        <v>37635</v>
      </c>
      <c r="Q1369" s="129"/>
      <c r="R1369" s="129">
        <v>37623</v>
      </c>
      <c r="S1369" s="139" t="s">
        <v>11</v>
      </c>
      <c r="T1369" s="115" t="s">
        <v>4</v>
      </c>
      <c r="U1369" s="139" t="s">
        <v>14</v>
      </c>
      <c r="V1369" s="139" t="s">
        <v>1929</v>
      </c>
      <c r="W1369" s="139" t="s">
        <v>1922</v>
      </c>
      <c r="X1369" s="139" t="s">
        <v>2206</v>
      </c>
      <c r="Y1369" s="112" t="s">
        <v>3141</v>
      </c>
      <c r="Z1369" s="112" t="s">
        <v>4</v>
      </c>
      <c r="AA1369" s="139" t="s">
        <v>3469</v>
      </c>
    </row>
    <row r="1370" spans="1:27" ht="17.25" customHeight="1">
      <c r="A1370" s="69" t="str">
        <f>IF(priority(Main[[#This Row],[Comments]])&lt;&gt;0, priority(Main[[#This Row],[Comments]]),"")</f>
        <v/>
      </c>
      <c r="B1370" s="63" t="s">
        <v>1810</v>
      </c>
      <c r="C1370" s="148" t="s">
        <v>855</v>
      </c>
      <c r="D1370" s="113" t="s">
        <v>859</v>
      </c>
      <c r="E1370" s="129">
        <v>40085.252314814818</v>
      </c>
      <c r="F1370" s="129">
        <v>40421</v>
      </c>
      <c r="G1370" s="69" t="str">
        <f>IF(stdProdLT(Main[[#This Row],[Comments]])=0.1,"N/A",IF(stdProdLT(Main[[#This Row],[Comments]])=0,"",stdProdLT(Main[[#This Row],[Comments]])))</f>
        <v/>
      </c>
      <c r="H1370" s="138">
        <f>IF(Main[[#This Row],[In Stock Date]]="N/A", "N/A",IF(AND(Main[[#This Row],[In Stock Date]]&lt;&gt;"",Main[[#This Row],[Revised Due Date]]&lt;&gt;"",Main[[#This Row],[In Stock Date]]&lt;&gt;""),Main[[#This Row],[In Stock Date]]-Main[[#This Row],[Revised Due Date]],""))</f>
        <v>193</v>
      </c>
      <c r="I1370" s="139" t="s">
        <v>852</v>
      </c>
      <c r="J1370" s="139" t="s">
        <v>4</v>
      </c>
      <c r="K1370" s="139" t="s">
        <v>1926</v>
      </c>
      <c r="L1370" s="129">
        <v>40091</v>
      </c>
      <c r="M1370" s="114" t="str">
        <f>IF(Main[[#This Row],[Tech Start Date]]&lt;1/1/1990,"",IF(Main[[#This Row],[Class]]="C",WORKDAY(Main[[#This Row],[Tech Start Date]],9),IF(Main[[#This Row],[Class]]="B", WORKDAY(Main[[#This Row],[Tech Start Date]],6),IF(Main[[#This Row],[Class]]="A",WORKDAY(Main[[#This Row],[Tech Start Date]],2),""))))</f>
        <v/>
      </c>
      <c r="N1370" s="114" t="str">
        <f>IF(Main[[#This Row],[Tech Start Date]]&lt;1/1/1990,"",IF(Main[[#This Row],[Class]]="C",WORKDAY(Main[[#This Row],[Tech Start Date]],19),IF(Main[[#This Row],[Class]]="B", WORKDAY(Main[[#This Row],[Tech Start Date]],12),IF(Main[[#This Row],[Class]]="A",WORKDAY(Main[[#This Row],[Tech Start Date]],4),""))))</f>
        <v/>
      </c>
      <c r="O1370" s="114" t="str">
        <f>IF(Main[[#This Row],[Tech Start Date]]&lt;1/1/1990,"",IF(Main[[#This Row],[Class]]="C",WORKDAY(Main[[#This Row],[Tech Start Date]],23),IF(Main[[#This Row],[Class]]="B", WORKDAY(Main[[#This Row],[Tech Start Date]],15),IF(Main[[#This Row],[Class]]="A",WORKDAY(Main[[#This Row],[Tech Start Date]],5),""))))</f>
        <v/>
      </c>
      <c r="P1370" s="114" t="str">
        <f>IF(Main[[#This Row],[Tech Start Date]]&lt;1/1/1990,"",IF(Main[[#This Row],[Class]]="C",WORKDAY(Main[[#This Row],[Tech Start Date]],28),IF(Main[[#This Row],[Class]]="B", WORKDAY(Main[[#This Row],[Tech Start Date]],19),IF(Main[[#This Row],[Class]]="A",WORKDAY(Main[[#This Row],[Tech Start Date]],9),""))))</f>
        <v/>
      </c>
      <c r="Q1370" s="129">
        <v>40239</v>
      </c>
      <c r="R1370" s="129">
        <v>40228</v>
      </c>
      <c r="S1370" s="139" t="s">
        <v>17</v>
      </c>
      <c r="T1370" s="115" t="s">
        <v>4</v>
      </c>
      <c r="U1370" s="139" t="s">
        <v>29</v>
      </c>
      <c r="V1370" s="139" t="s">
        <v>1917</v>
      </c>
      <c r="W1370" s="139" t="s">
        <v>1919</v>
      </c>
      <c r="X1370" s="139" t="s">
        <v>2915</v>
      </c>
      <c r="Y1370" s="112" t="s">
        <v>4</v>
      </c>
      <c r="Z1370" s="112" t="s">
        <v>852</v>
      </c>
      <c r="AA1370" s="139" t="s">
        <v>2915</v>
      </c>
    </row>
    <row r="1371" spans="1:27" ht="17.25" customHeight="1">
      <c r="A1371" s="69" t="str">
        <f>IF(priority(Main[[#This Row],[Comments]])&lt;&gt;0, priority(Main[[#This Row],[Comments]]),"")</f>
        <v/>
      </c>
      <c r="B1371" s="63" t="s">
        <v>1803</v>
      </c>
      <c r="C1371" s="148" t="s">
        <v>93</v>
      </c>
      <c r="D1371" s="113" t="s">
        <v>850</v>
      </c>
      <c r="E1371" s="129"/>
      <c r="F1371" s="129">
        <v>40238</v>
      </c>
      <c r="G1371" s="69" t="str">
        <f>IF(stdProdLT(Main[[#This Row],[Comments]])=0.1,"N/A",IF(stdProdLT(Main[[#This Row],[Comments]])=0,"",stdProdLT(Main[[#This Row],[Comments]])))</f>
        <v/>
      </c>
      <c r="H1371" s="138">
        <f>IF(Main[[#This Row],[In Stock Date]]="N/A", "N/A",IF(AND(Main[[#This Row],[In Stock Date]]&lt;&gt;"",Main[[#This Row],[Revised Due Date]]&lt;&gt;"",Main[[#This Row],[In Stock Date]]&lt;&gt;""),Main[[#This Row],[In Stock Date]]-Main[[#This Row],[Revised Due Date]],""))</f>
        <v>81</v>
      </c>
      <c r="I1371" s="139" t="s">
        <v>44</v>
      </c>
      <c r="J1371" s="139" t="s">
        <v>4</v>
      </c>
      <c r="K1371" s="139" t="s">
        <v>4</v>
      </c>
      <c r="L1371" s="129">
        <v>40127</v>
      </c>
      <c r="M1371" s="114" t="str">
        <f>IF(Main[[#This Row],[Tech Start Date]]&lt;1/1/1990,"",IF(Main[[#This Row],[Class]]="C",WORKDAY(Main[[#This Row],[Tech Start Date]],9),IF(Main[[#This Row],[Class]]="B", WORKDAY(Main[[#This Row],[Tech Start Date]],6),IF(Main[[#This Row],[Class]]="A",WORKDAY(Main[[#This Row],[Tech Start Date]],2),""))))</f>
        <v/>
      </c>
      <c r="N1371" s="114" t="str">
        <f>IF(Main[[#This Row],[Tech Start Date]]&lt;1/1/1990,"",IF(Main[[#This Row],[Class]]="C",WORKDAY(Main[[#This Row],[Tech Start Date]],19),IF(Main[[#This Row],[Class]]="B", WORKDAY(Main[[#This Row],[Tech Start Date]],12),IF(Main[[#This Row],[Class]]="A",WORKDAY(Main[[#This Row],[Tech Start Date]],4),""))))</f>
        <v/>
      </c>
      <c r="O1371" s="114" t="str">
        <f>IF(Main[[#This Row],[Tech Start Date]]&lt;1/1/1990,"",IF(Main[[#This Row],[Class]]="C",WORKDAY(Main[[#This Row],[Tech Start Date]],23),IF(Main[[#This Row],[Class]]="B", WORKDAY(Main[[#This Row],[Tech Start Date]],15),IF(Main[[#This Row],[Class]]="A",WORKDAY(Main[[#This Row],[Tech Start Date]],5),""))))</f>
        <v/>
      </c>
      <c r="P1371" s="114" t="str">
        <f>IF(Main[[#This Row],[Tech Start Date]]&lt;1/1/1990,"",IF(Main[[#This Row],[Class]]="C",WORKDAY(Main[[#This Row],[Tech Start Date]],28),IF(Main[[#This Row],[Class]]="B", WORKDAY(Main[[#This Row],[Tech Start Date]],19),IF(Main[[#This Row],[Class]]="A",WORKDAY(Main[[#This Row],[Tech Start Date]],9),""))))</f>
        <v/>
      </c>
      <c r="Q1371" s="129">
        <v>40223</v>
      </c>
      <c r="R1371" s="129">
        <v>40157</v>
      </c>
      <c r="S1371" s="139" t="s">
        <v>11</v>
      </c>
      <c r="T1371" s="115" t="s">
        <v>4</v>
      </c>
      <c r="U1371" s="139" t="s">
        <v>14</v>
      </c>
      <c r="V1371" s="139" t="s">
        <v>1924</v>
      </c>
      <c r="W1371" s="139" t="s">
        <v>1925</v>
      </c>
      <c r="X1371" s="139" t="s">
        <v>2845</v>
      </c>
      <c r="Y1371" s="112" t="s">
        <v>4</v>
      </c>
      <c r="Z1371" s="112" t="s">
        <v>4</v>
      </c>
      <c r="AA1371" s="139" t="s">
        <v>2845</v>
      </c>
    </row>
    <row r="1372" spans="1:27" ht="17.25" customHeight="1">
      <c r="A1372" s="69" t="str">
        <f>IF(priority(Main[[#This Row],[Comments]])&lt;&gt;0, priority(Main[[#This Row],[Comments]]),"")</f>
        <v/>
      </c>
      <c r="B1372" s="63" t="s">
        <v>1181</v>
      </c>
      <c r="C1372" s="148" t="s">
        <v>4</v>
      </c>
      <c r="D1372" s="113" t="s">
        <v>238</v>
      </c>
      <c r="E1372" s="129"/>
      <c r="F1372" s="129"/>
      <c r="G1372" s="69" t="str">
        <f>IF(stdProdLT(Main[[#This Row],[Comments]])=0.1,"N/A",IF(stdProdLT(Main[[#This Row],[Comments]])=0,"",stdProdLT(Main[[#This Row],[Comments]])))</f>
        <v/>
      </c>
      <c r="H1372" s="138" t="str">
        <f>IF(Main[[#This Row],[In Stock Date]]="N/A", "N/A",IF(AND(Main[[#This Row],[In Stock Date]]&lt;&gt;"",Main[[#This Row],[Revised Due Date]]&lt;&gt;"",Main[[#This Row],[In Stock Date]]&lt;&gt;""),Main[[#This Row],[In Stock Date]]-Main[[#This Row],[Revised Due Date]],""))</f>
        <v/>
      </c>
      <c r="I1372" s="139" t="s">
        <v>239</v>
      </c>
      <c r="J1372" s="139" t="s">
        <v>4</v>
      </c>
      <c r="K1372" s="139" t="s">
        <v>4</v>
      </c>
      <c r="L1372" s="129">
        <v>40134</v>
      </c>
      <c r="M1372" s="114" t="str">
        <f>IF(Main[[#This Row],[Tech Start Date]]&lt;1/1/1990,"",IF(Main[[#This Row],[Class]]="C",WORKDAY(Main[[#This Row],[Tech Start Date]],9),IF(Main[[#This Row],[Class]]="B", WORKDAY(Main[[#This Row],[Tech Start Date]],6),IF(Main[[#This Row],[Class]]="A",WORKDAY(Main[[#This Row],[Tech Start Date]],2),""))))</f>
        <v/>
      </c>
      <c r="N1372" s="114" t="str">
        <f>IF(Main[[#This Row],[Tech Start Date]]&lt;1/1/1990,"",IF(Main[[#This Row],[Class]]="C",WORKDAY(Main[[#This Row],[Tech Start Date]],19),IF(Main[[#This Row],[Class]]="B", WORKDAY(Main[[#This Row],[Tech Start Date]],12),IF(Main[[#This Row],[Class]]="A",WORKDAY(Main[[#This Row],[Tech Start Date]],4),""))))</f>
        <v/>
      </c>
      <c r="O1372" s="114" t="str">
        <f>IF(Main[[#This Row],[Tech Start Date]]&lt;1/1/1990,"",IF(Main[[#This Row],[Class]]="C",WORKDAY(Main[[#This Row],[Tech Start Date]],23),IF(Main[[#This Row],[Class]]="B", WORKDAY(Main[[#This Row],[Tech Start Date]],15),IF(Main[[#This Row],[Class]]="A",WORKDAY(Main[[#This Row],[Tech Start Date]],5),""))))</f>
        <v/>
      </c>
      <c r="P1372" s="114" t="str">
        <f>IF(Main[[#This Row],[Tech Start Date]]&lt;1/1/1990,"",IF(Main[[#This Row],[Class]]="C",WORKDAY(Main[[#This Row],[Tech Start Date]],28),IF(Main[[#This Row],[Class]]="B", WORKDAY(Main[[#This Row],[Tech Start Date]],19),IF(Main[[#This Row],[Class]]="A",WORKDAY(Main[[#This Row],[Tech Start Date]],9),""))))</f>
        <v/>
      </c>
      <c r="Q1372" s="129"/>
      <c r="R1372" s="129"/>
      <c r="S1372" s="139" t="s">
        <v>6</v>
      </c>
      <c r="T1372" s="115" t="s">
        <v>4</v>
      </c>
      <c r="U1372" s="139" t="s">
        <v>14</v>
      </c>
      <c r="V1372" s="139" t="s">
        <v>1917</v>
      </c>
      <c r="W1372" s="139" t="s">
        <v>4</v>
      </c>
      <c r="X1372" s="139" t="s">
        <v>2822</v>
      </c>
      <c r="Y1372" s="112" t="s">
        <v>3142</v>
      </c>
      <c r="Z1372" s="112" t="s">
        <v>4</v>
      </c>
      <c r="AA1372" s="139" t="s">
        <v>2822</v>
      </c>
    </row>
    <row r="1373" spans="1:27" ht="17.25" customHeight="1">
      <c r="A1373" s="69" t="str">
        <f>IF(priority(Main[[#This Row],[Comments]])&lt;&gt;0, priority(Main[[#This Row],[Comments]]),"")</f>
        <v/>
      </c>
      <c r="B1373" s="63" t="s">
        <v>1849</v>
      </c>
      <c r="C1373" s="148" t="s">
        <v>857</v>
      </c>
      <c r="D1373" s="113" t="s">
        <v>905</v>
      </c>
      <c r="E1373" s="129"/>
      <c r="F1373" s="129">
        <v>40305</v>
      </c>
      <c r="G1373" s="69" t="str">
        <f>IF(stdProdLT(Main[[#This Row],[Comments]])=0.1,"N/A",IF(stdProdLT(Main[[#This Row],[Comments]])=0,"",stdProdLT(Main[[#This Row],[Comments]])))</f>
        <v/>
      </c>
      <c r="H1373" s="138">
        <f>IF(Main[[#This Row],[In Stock Date]]="N/A", "N/A",IF(AND(Main[[#This Row],[In Stock Date]]&lt;&gt;"",Main[[#This Row],[Revised Due Date]]&lt;&gt;"",Main[[#This Row],[In Stock Date]]&lt;&gt;""),Main[[#This Row],[In Stock Date]]-Main[[#This Row],[Revised Due Date]],""))</f>
        <v>-226</v>
      </c>
      <c r="I1373" s="139" t="s">
        <v>431</v>
      </c>
      <c r="J1373" s="139" t="s">
        <v>4</v>
      </c>
      <c r="K1373" s="139" t="s">
        <v>1921</v>
      </c>
      <c r="L1373" s="129">
        <v>40162</v>
      </c>
      <c r="M1373" s="114">
        <f>IF(Main[[#This Row],[Tech Start Date]]&lt;1/1/1990,"",IF(Main[[#This Row],[Class]]="C",WORKDAY(Main[[#This Row],[Tech Start Date]],9),IF(Main[[#This Row],[Class]]="B", WORKDAY(Main[[#This Row],[Tech Start Date]],6),IF(Main[[#This Row],[Class]]="A",WORKDAY(Main[[#This Row],[Tech Start Date]],2),""))))</f>
        <v>40170</v>
      </c>
      <c r="N1373" s="114">
        <f>IF(Main[[#This Row],[Tech Start Date]]&lt;1/1/1990,"",IF(Main[[#This Row],[Class]]="C",WORKDAY(Main[[#This Row],[Tech Start Date]],19),IF(Main[[#This Row],[Class]]="B", WORKDAY(Main[[#This Row],[Tech Start Date]],12),IF(Main[[#This Row],[Class]]="A",WORKDAY(Main[[#This Row],[Tech Start Date]],4),""))))</f>
        <v>40178</v>
      </c>
      <c r="O1373" s="114">
        <f>IF(Main[[#This Row],[Tech Start Date]]&lt;1/1/1990,"",IF(Main[[#This Row],[Class]]="C",WORKDAY(Main[[#This Row],[Tech Start Date]],23),IF(Main[[#This Row],[Class]]="B", WORKDAY(Main[[#This Row],[Tech Start Date]],15),IF(Main[[#This Row],[Class]]="A",WORKDAY(Main[[#This Row],[Tech Start Date]],5),""))))</f>
        <v>40183</v>
      </c>
      <c r="P1373" s="114">
        <f>IF(Main[[#This Row],[Tech Start Date]]&lt;1/1/1990,"",IF(Main[[#This Row],[Class]]="C",WORKDAY(Main[[#This Row],[Tech Start Date]],28),IF(Main[[#This Row],[Class]]="B", WORKDAY(Main[[#This Row],[Tech Start Date]],19),IF(Main[[#This Row],[Class]]="A",WORKDAY(Main[[#This Row],[Tech Start Date]],9),""))))</f>
        <v>40189</v>
      </c>
      <c r="Q1373" s="129">
        <v>40531</v>
      </c>
      <c r="R1373" s="129">
        <v>40531</v>
      </c>
      <c r="S1373" s="139" t="s">
        <v>11</v>
      </c>
      <c r="T1373" s="115" t="s">
        <v>4</v>
      </c>
      <c r="U1373" s="139" t="s">
        <v>14</v>
      </c>
      <c r="V1373" s="139" t="s">
        <v>1917</v>
      </c>
      <c r="W1373" s="139" t="s">
        <v>1922</v>
      </c>
      <c r="X1373" s="139" t="s">
        <v>2916</v>
      </c>
      <c r="Y1373" s="112" t="s">
        <v>4</v>
      </c>
      <c r="Z1373" s="112" t="s">
        <v>4</v>
      </c>
      <c r="AA1373" s="139" t="s">
        <v>2916</v>
      </c>
    </row>
    <row r="1374" spans="1:27" ht="17.25" customHeight="1">
      <c r="A1374" s="69" t="str">
        <f>IF(priority(Main[[#This Row],[Comments]])&lt;&gt;0, priority(Main[[#This Row],[Comments]]),"")</f>
        <v/>
      </c>
      <c r="B1374" s="63" t="s">
        <v>1807</v>
      </c>
      <c r="C1374" s="148" t="s">
        <v>31</v>
      </c>
      <c r="D1374" s="113" t="s">
        <v>854</v>
      </c>
      <c r="E1374" s="129"/>
      <c r="F1374" s="129">
        <v>40192</v>
      </c>
      <c r="G1374" s="69" t="str">
        <f>IF(stdProdLT(Main[[#This Row],[Comments]])=0.1,"N/A",IF(stdProdLT(Main[[#This Row],[Comments]])=0,"",stdProdLT(Main[[#This Row],[Comments]])))</f>
        <v/>
      </c>
      <c r="H1374" s="138">
        <f>IF(Main[[#This Row],[In Stock Date]]="N/A", "N/A",IF(AND(Main[[#This Row],[In Stock Date]]&lt;&gt;"",Main[[#This Row],[Revised Due Date]]&lt;&gt;"",Main[[#This Row],[In Stock Date]]&lt;&gt;""),Main[[#This Row],[In Stock Date]]-Main[[#This Row],[Revised Due Date]],""))</f>
        <v>0</v>
      </c>
      <c r="I1374" s="139" t="s">
        <v>765</v>
      </c>
      <c r="J1374" s="139" t="s">
        <v>4</v>
      </c>
      <c r="K1374" s="139" t="s">
        <v>4</v>
      </c>
      <c r="L1374" s="129">
        <v>40163</v>
      </c>
      <c r="M1374" s="114" t="str">
        <f>IF(Main[[#This Row],[Tech Start Date]]&lt;1/1/1990,"",IF(Main[[#This Row],[Class]]="C",WORKDAY(Main[[#This Row],[Tech Start Date]],9),IF(Main[[#This Row],[Class]]="B", WORKDAY(Main[[#This Row],[Tech Start Date]],6),IF(Main[[#This Row],[Class]]="A",WORKDAY(Main[[#This Row],[Tech Start Date]],2),""))))</f>
        <v/>
      </c>
      <c r="N1374" s="114" t="str">
        <f>IF(Main[[#This Row],[Tech Start Date]]&lt;1/1/1990,"",IF(Main[[#This Row],[Class]]="C",WORKDAY(Main[[#This Row],[Tech Start Date]],19),IF(Main[[#This Row],[Class]]="B", WORKDAY(Main[[#This Row],[Tech Start Date]],12),IF(Main[[#This Row],[Class]]="A",WORKDAY(Main[[#This Row],[Tech Start Date]],4),""))))</f>
        <v/>
      </c>
      <c r="O1374" s="114" t="str">
        <f>IF(Main[[#This Row],[Tech Start Date]]&lt;1/1/1990,"",IF(Main[[#This Row],[Class]]="C",WORKDAY(Main[[#This Row],[Tech Start Date]],23),IF(Main[[#This Row],[Class]]="B", WORKDAY(Main[[#This Row],[Tech Start Date]],15),IF(Main[[#This Row],[Class]]="A",WORKDAY(Main[[#This Row],[Tech Start Date]],5),""))))</f>
        <v/>
      </c>
      <c r="P1374" s="114" t="str">
        <f>IF(Main[[#This Row],[Tech Start Date]]&lt;1/1/1990,"",IF(Main[[#This Row],[Class]]="C",WORKDAY(Main[[#This Row],[Tech Start Date]],28),IF(Main[[#This Row],[Class]]="B", WORKDAY(Main[[#This Row],[Tech Start Date]],19),IF(Main[[#This Row],[Class]]="A",WORKDAY(Main[[#This Row],[Tech Start Date]],9),""))))</f>
        <v/>
      </c>
      <c r="Q1374" s="129">
        <v>40226</v>
      </c>
      <c r="R1374" s="129">
        <v>40192</v>
      </c>
      <c r="S1374" s="139" t="s">
        <v>11</v>
      </c>
      <c r="T1374" s="115" t="s">
        <v>4</v>
      </c>
      <c r="U1374" s="139" t="s">
        <v>14</v>
      </c>
      <c r="V1374" s="139" t="s">
        <v>1924</v>
      </c>
      <c r="W1374" s="139" t="s">
        <v>1920</v>
      </c>
      <c r="X1374" s="139" t="s">
        <v>2871</v>
      </c>
      <c r="Y1374" s="112" t="s">
        <v>4</v>
      </c>
      <c r="Z1374" s="112" t="s">
        <v>4</v>
      </c>
      <c r="AA1374" s="139" t="s">
        <v>2871</v>
      </c>
    </row>
    <row r="1375" spans="1:27" ht="17.25" customHeight="1">
      <c r="A1375" s="69" t="str">
        <f>IF(priority(Main[[#This Row],[Comments]])&lt;&gt;0, priority(Main[[#This Row],[Comments]]),"")</f>
        <v/>
      </c>
      <c r="B1375" s="63" t="s">
        <v>1806</v>
      </c>
      <c r="C1375" s="148" t="s">
        <v>31</v>
      </c>
      <c r="D1375" s="113" t="s">
        <v>853</v>
      </c>
      <c r="E1375" s="129"/>
      <c r="F1375" s="129">
        <v>40192</v>
      </c>
      <c r="G1375" s="69" t="str">
        <f>IF(stdProdLT(Main[[#This Row],[Comments]])=0.1,"N/A",IF(stdProdLT(Main[[#This Row],[Comments]])=0,"",stdProdLT(Main[[#This Row],[Comments]])))</f>
        <v/>
      </c>
      <c r="H1375" s="138">
        <f>IF(Main[[#This Row],[In Stock Date]]="N/A", "N/A",IF(AND(Main[[#This Row],[In Stock Date]]&lt;&gt;"",Main[[#This Row],[Revised Due Date]]&lt;&gt;"",Main[[#This Row],[In Stock Date]]&lt;&gt;""),Main[[#This Row],[In Stock Date]]-Main[[#This Row],[Revised Due Date]],""))</f>
        <v>0</v>
      </c>
      <c r="I1375" s="139" t="s">
        <v>765</v>
      </c>
      <c r="J1375" s="139" t="s">
        <v>4</v>
      </c>
      <c r="K1375" s="139" t="s">
        <v>4</v>
      </c>
      <c r="L1375" s="129">
        <v>40163</v>
      </c>
      <c r="M1375" s="114" t="str">
        <f>IF(Main[[#This Row],[Tech Start Date]]&lt;1/1/1990,"",IF(Main[[#This Row],[Class]]="C",WORKDAY(Main[[#This Row],[Tech Start Date]],9),IF(Main[[#This Row],[Class]]="B", WORKDAY(Main[[#This Row],[Tech Start Date]],6),IF(Main[[#This Row],[Class]]="A",WORKDAY(Main[[#This Row],[Tech Start Date]],2),""))))</f>
        <v/>
      </c>
      <c r="N1375" s="114" t="str">
        <f>IF(Main[[#This Row],[Tech Start Date]]&lt;1/1/1990,"",IF(Main[[#This Row],[Class]]="C",WORKDAY(Main[[#This Row],[Tech Start Date]],19),IF(Main[[#This Row],[Class]]="B", WORKDAY(Main[[#This Row],[Tech Start Date]],12),IF(Main[[#This Row],[Class]]="A",WORKDAY(Main[[#This Row],[Tech Start Date]],4),""))))</f>
        <v/>
      </c>
      <c r="O1375" s="114" t="str">
        <f>IF(Main[[#This Row],[Tech Start Date]]&lt;1/1/1990,"",IF(Main[[#This Row],[Class]]="C",WORKDAY(Main[[#This Row],[Tech Start Date]],23),IF(Main[[#This Row],[Class]]="B", WORKDAY(Main[[#This Row],[Tech Start Date]],15),IF(Main[[#This Row],[Class]]="A",WORKDAY(Main[[#This Row],[Tech Start Date]],5),""))))</f>
        <v/>
      </c>
      <c r="P1375" s="114" t="str">
        <f>IF(Main[[#This Row],[Tech Start Date]]&lt;1/1/1990,"",IF(Main[[#This Row],[Class]]="C",WORKDAY(Main[[#This Row],[Tech Start Date]],28),IF(Main[[#This Row],[Class]]="B", WORKDAY(Main[[#This Row],[Tech Start Date]],19),IF(Main[[#This Row],[Class]]="A",WORKDAY(Main[[#This Row],[Tech Start Date]],9),""))))</f>
        <v/>
      </c>
      <c r="Q1375" s="129">
        <v>40226</v>
      </c>
      <c r="R1375" s="129">
        <v>40192</v>
      </c>
      <c r="S1375" s="139" t="s">
        <v>11</v>
      </c>
      <c r="T1375" s="115" t="s">
        <v>4</v>
      </c>
      <c r="U1375" s="139" t="s">
        <v>14</v>
      </c>
      <c r="V1375" s="139" t="s">
        <v>1924</v>
      </c>
      <c r="W1375" s="139" t="s">
        <v>1920</v>
      </c>
      <c r="X1375" s="139" t="s">
        <v>2871</v>
      </c>
      <c r="Y1375" s="112" t="s">
        <v>4</v>
      </c>
      <c r="Z1375" s="112" t="s">
        <v>4</v>
      </c>
      <c r="AA1375" s="139" t="s">
        <v>2871</v>
      </c>
    </row>
    <row r="1376" spans="1:27" ht="17.25" customHeight="1">
      <c r="A1376" s="69" t="str">
        <f>IF(priority(Main[[#This Row],[Comments]])&lt;&gt;0, priority(Main[[#This Row],[Comments]]),"")</f>
        <v/>
      </c>
      <c r="B1376" s="63" t="s">
        <v>1809</v>
      </c>
      <c r="C1376" s="148" t="s">
        <v>857</v>
      </c>
      <c r="D1376" s="113" t="s">
        <v>858</v>
      </c>
      <c r="E1376" s="129"/>
      <c r="F1376" s="129">
        <v>40305</v>
      </c>
      <c r="G1376" s="69" t="str">
        <f>IF(stdProdLT(Main[[#This Row],[Comments]])=0.1,"N/A",IF(stdProdLT(Main[[#This Row],[Comments]])=0,"",stdProdLT(Main[[#This Row],[Comments]])))</f>
        <v/>
      </c>
      <c r="H1376" s="138">
        <f>IF(Main[[#This Row],[In Stock Date]]="N/A", "N/A",IF(AND(Main[[#This Row],[In Stock Date]]&lt;&gt;"",Main[[#This Row],[Revised Due Date]]&lt;&gt;"",Main[[#This Row],[In Stock Date]]&lt;&gt;""),Main[[#This Row],[In Stock Date]]-Main[[#This Row],[Revised Due Date]],""))</f>
        <v>80</v>
      </c>
      <c r="I1376" s="139" t="s">
        <v>765</v>
      </c>
      <c r="J1376" s="139" t="s">
        <v>4</v>
      </c>
      <c r="K1376" s="139" t="s">
        <v>4</v>
      </c>
      <c r="L1376" s="129">
        <v>40192</v>
      </c>
      <c r="M1376" s="114" t="str">
        <f>IF(Main[[#This Row],[Tech Start Date]]&lt;1/1/1990,"",IF(Main[[#This Row],[Class]]="C",WORKDAY(Main[[#This Row],[Tech Start Date]],9),IF(Main[[#This Row],[Class]]="B", WORKDAY(Main[[#This Row],[Tech Start Date]],6),IF(Main[[#This Row],[Class]]="A",WORKDAY(Main[[#This Row],[Tech Start Date]],2),""))))</f>
        <v/>
      </c>
      <c r="N1376" s="114" t="str">
        <f>IF(Main[[#This Row],[Tech Start Date]]&lt;1/1/1990,"",IF(Main[[#This Row],[Class]]="C",WORKDAY(Main[[#This Row],[Tech Start Date]],19),IF(Main[[#This Row],[Class]]="B", WORKDAY(Main[[#This Row],[Tech Start Date]],12),IF(Main[[#This Row],[Class]]="A",WORKDAY(Main[[#This Row],[Tech Start Date]],4),""))))</f>
        <v/>
      </c>
      <c r="O1376" s="114" t="str">
        <f>IF(Main[[#This Row],[Tech Start Date]]&lt;1/1/1990,"",IF(Main[[#This Row],[Class]]="C",WORKDAY(Main[[#This Row],[Tech Start Date]],23),IF(Main[[#This Row],[Class]]="B", WORKDAY(Main[[#This Row],[Tech Start Date]],15),IF(Main[[#This Row],[Class]]="A",WORKDAY(Main[[#This Row],[Tech Start Date]],5),""))))</f>
        <v/>
      </c>
      <c r="P1376" s="114" t="str">
        <f>IF(Main[[#This Row],[Tech Start Date]]&lt;1/1/1990,"",IF(Main[[#This Row],[Class]]="C",WORKDAY(Main[[#This Row],[Tech Start Date]],28),IF(Main[[#This Row],[Class]]="B", WORKDAY(Main[[#This Row],[Tech Start Date]],19),IF(Main[[#This Row],[Class]]="A",WORKDAY(Main[[#This Row],[Tech Start Date]],9),""))))</f>
        <v/>
      </c>
      <c r="Q1376" s="129">
        <v>40178</v>
      </c>
      <c r="R1376" s="129">
        <v>40225</v>
      </c>
      <c r="S1376" s="139" t="s">
        <v>11</v>
      </c>
      <c r="T1376" s="115" t="s">
        <v>4</v>
      </c>
      <c r="U1376" s="139" t="s">
        <v>14</v>
      </c>
      <c r="V1376" s="139" t="s">
        <v>1917</v>
      </c>
      <c r="W1376" s="139" t="s">
        <v>1922</v>
      </c>
      <c r="X1376" s="139" t="s">
        <v>2854</v>
      </c>
      <c r="Y1376" s="112" t="s">
        <v>4</v>
      </c>
      <c r="Z1376" s="112" t="s">
        <v>4</v>
      </c>
      <c r="AA1376" s="139" t="s">
        <v>2854</v>
      </c>
    </row>
    <row r="1377" spans="1:27" ht="17.25" customHeight="1">
      <c r="A1377" s="69" t="str">
        <f>IF(priority(Main[[#This Row],[Comments]])&lt;&gt;0, priority(Main[[#This Row],[Comments]]),"")</f>
        <v/>
      </c>
      <c r="B1377" s="63" t="s">
        <v>1808</v>
      </c>
      <c r="C1377" s="148" t="s">
        <v>855</v>
      </c>
      <c r="D1377" s="113" t="s">
        <v>856</v>
      </c>
      <c r="E1377" s="129"/>
      <c r="F1377" s="129">
        <v>40305</v>
      </c>
      <c r="G1377" s="69" t="str">
        <f>IF(stdProdLT(Main[[#This Row],[Comments]])=0.1,"N/A",IF(stdProdLT(Main[[#This Row],[Comments]])=0,"",stdProdLT(Main[[#This Row],[Comments]])))</f>
        <v/>
      </c>
      <c r="H1377" s="138">
        <f>IF(Main[[#This Row],[In Stock Date]]="N/A", "N/A",IF(AND(Main[[#This Row],[In Stock Date]]&lt;&gt;"",Main[[#This Row],[Revised Due Date]]&lt;&gt;"",Main[[#This Row],[In Stock Date]]&lt;&gt;""),Main[[#This Row],[In Stock Date]]-Main[[#This Row],[Revised Due Date]],""))</f>
        <v>81</v>
      </c>
      <c r="I1377" s="139" t="s">
        <v>44</v>
      </c>
      <c r="J1377" s="139" t="s">
        <v>4</v>
      </c>
      <c r="K1377" s="139" t="s">
        <v>4</v>
      </c>
      <c r="L1377" s="129">
        <v>40192</v>
      </c>
      <c r="M1377" s="114" t="str">
        <f>IF(Main[[#This Row],[Tech Start Date]]&lt;1/1/1990,"",IF(Main[[#This Row],[Class]]="C",WORKDAY(Main[[#This Row],[Tech Start Date]],9),IF(Main[[#This Row],[Class]]="B", WORKDAY(Main[[#This Row],[Tech Start Date]],6),IF(Main[[#This Row],[Class]]="A",WORKDAY(Main[[#This Row],[Tech Start Date]],2),""))))</f>
        <v/>
      </c>
      <c r="N1377" s="114" t="str">
        <f>IF(Main[[#This Row],[Tech Start Date]]&lt;1/1/1990,"",IF(Main[[#This Row],[Class]]="C",WORKDAY(Main[[#This Row],[Tech Start Date]],19),IF(Main[[#This Row],[Class]]="B", WORKDAY(Main[[#This Row],[Tech Start Date]],12),IF(Main[[#This Row],[Class]]="A",WORKDAY(Main[[#This Row],[Tech Start Date]],4),""))))</f>
        <v/>
      </c>
      <c r="O1377" s="114" t="str">
        <f>IF(Main[[#This Row],[Tech Start Date]]&lt;1/1/1990,"",IF(Main[[#This Row],[Class]]="C",WORKDAY(Main[[#This Row],[Tech Start Date]],23),IF(Main[[#This Row],[Class]]="B", WORKDAY(Main[[#This Row],[Tech Start Date]],15),IF(Main[[#This Row],[Class]]="A",WORKDAY(Main[[#This Row],[Tech Start Date]],5),""))))</f>
        <v/>
      </c>
      <c r="P1377" s="114" t="str">
        <f>IF(Main[[#This Row],[Tech Start Date]]&lt;1/1/1990,"",IF(Main[[#This Row],[Class]]="C",WORKDAY(Main[[#This Row],[Tech Start Date]],28),IF(Main[[#This Row],[Class]]="B", WORKDAY(Main[[#This Row],[Tech Start Date]],19),IF(Main[[#This Row],[Class]]="A",WORKDAY(Main[[#This Row],[Tech Start Date]],9),""))))</f>
        <v/>
      </c>
      <c r="Q1377" s="129">
        <v>40178</v>
      </c>
      <c r="R1377" s="129">
        <v>40224</v>
      </c>
      <c r="S1377" s="139" t="s">
        <v>11</v>
      </c>
      <c r="T1377" s="115" t="s">
        <v>4</v>
      </c>
      <c r="U1377" s="139" t="s">
        <v>14</v>
      </c>
      <c r="V1377" s="139" t="s">
        <v>1917</v>
      </c>
      <c r="W1377" s="139" t="s">
        <v>1922</v>
      </c>
      <c r="X1377" s="139" t="s">
        <v>2854</v>
      </c>
      <c r="Y1377" s="112" t="s">
        <v>4</v>
      </c>
      <c r="Z1377" s="112" t="s">
        <v>4</v>
      </c>
      <c r="AA1377" s="139" t="s">
        <v>2854</v>
      </c>
    </row>
    <row r="1378" spans="1:27" ht="17.25" customHeight="1">
      <c r="A1378" s="69" t="str">
        <f>IF(priority(Main[[#This Row],[Comments]])&lt;&gt;0, priority(Main[[#This Row],[Comments]]),"")</f>
        <v/>
      </c>
      <c r="B1378" s="63" t="s">
        <v>1811</v>
      </c>
      <c r="C1378" s="148" t="s">
        <v>4</v>
      </c>
      <c r="D1378" s="113" t="s">
        <v>860</v>
      </c>
      <c r="E1378" s="129"/>
      <c r="F1378" s="129"/>
      <c r="G1378" s="69" t="str">
        <f>IF(stdProdLT(Main[[#This Row],[Comments]])=0.1,"N/A",IF(stdProdLT(Main[[#This Row],[Comments]])=0,"",stdProdLT(Main[[#This Row],[Comments]])))</f>
        <v/>
      </c>
      <c r="H1378" s="138" t="str">
        <f>IF(Main[[#This Row],[In Stock Date]]="N/A", "N/A",IF(AND(Main[[#This Row],[In Stock Date]]&lt;&gt;"",Main[[#This Row],[Revised Due Date]]&lt;&gt;"",Main[[#This Row],[In Stock Date]]&lt;&gt;""),Main[[#This Row],[In Stock Date]]-Main[[#This Row],[Revised Due Date]],""))</f>
        <v/>
      </c>
      <c r="I1378" s="139" t="s">
        <v>30</v>
      </c>
      <c r="J1378" s="139" t="s">
        <v>28</v>
      </c>
      <c r="K1378" s="140" t="s">
        <v>1921</v>
      </c>
      <c r="L1378" s="129">
        <v>40231</v>
      </c>
      <c r="M1378" s="114">
        <f>IF(Main[[#This Row],[Tech Start Date]]&lt;1/1/1990,"",IF(Main[[#This Row],[Class]]="C",WORKDAY(Main[[#This Row],[Tech Start Date]],9),IF(Main[[#This Row],[Class]]="B", WORKDAY(Main[[#This Row],[Tech Start Date]],6),IF(Main[[#This Row],[Class]]="A",WORKDAY(Main[[#This Row],[Tech Start Date]],2),""))))</f>
        <v>40239</v>
      </c>
      <c r="N1378" s="114">
        <f>IF(Main[[#This Row],[Tech Start Date]]&lt;1/1/1990,"",IF(Main[[#This Row],[Class]]="C",WORKDAY(Main[[#This Row],[Tech Start Date]],19),IF(Main[[#This Row],[Class]]="B", WORKDAY(Main[[#This Row],[Tech Start Date]],12),IF(Main[[#This Row],[Class]]="A",WORKDAY(Main[[#This Row],[Tech Start Date]],4),""))))</f>
        <v>40247</v>
      </c>
      <c r="O1378" s="114">
        <f>IF(Main[[#This Row],[Tech Start Date]]&lt;1/1/1990,"",IF(Main[[#This Row],[Class]]="C",WORKDAY(Main[[#This Row],[Tech Start Date]],23),IF(Main[[#This Row],[Class]]="B", WORKDAY(Main[[#This Row],[Tech Start Date]],15),IF(Main[[#This Row],[Class]]="A",WORKDAY(Main[[#This Row],[Tech Start Date]],5),""))))</f>
        <v>40252</v>
      </c>
      <c r="P1378" s="114">
        <f>IF(Main[[#This Row],[Tech Start Date]]&lt;1/1/1990,"",IF(Main[[#This Row],[Class]]="C",WORKDAY(Main[[#This Row],[Tech Start Date]],28),IF(Main[[#This Row],[Class]]="B", WORKDAY(Main[[#This Row],[Tech Start Date]],19),IF(Main[[#This Row],[Class]]="A",WORKDAY(Main[[#This Row],[Tech Start Date]],9),""))))</f>
        <v>40256</v>
      </c>
      <c r="Q1378" s="129">
        <v>40269</v>
      </c>
      <c r="R1378" s="129">
        <v>40246</v>
      </c>
      <c r="S1378" s="139" t="s">
        <v>6</v>
      </c>
      <c r="T1378" s="115" t="s">
        <v>4</v>
      </c>
      <c r="U1378" s="139" t="s">
        <v>14</v>
      </c>
      <c r="V1378" s="139" t="s">
        <v>1917</v>
      </c>
      <c r="W1378" s="139" t="s">
        <v>1916</v>
      </c>
      <c r="X1378" s="139" t="s">
        <v>2887</v>
      </c>
      <c r="Y1378" s="112" t="s">
        <v>3043</v>
      </c>
      <c r="Z1378" s="112" t="s">
        <v>4</v>
      </c>
      <c r="AA1378" s="139" t="s">
        <v>2887</v>
      </c>
    </row>
    <row r="1379" spans="1:27" ht="17.25" customHeight="1">
      <c r="A1379" s="12" t="str">
        <f>IF(priority(Main[[#This Row],[Comments]])&lt;&gt;0, priority(Main[[#This Row],[Comments]]),"")</f>
        <v/>
      </c>
      <c r="B1379" s="63" t="s">
        <v>1946</v>
      </c>
      <c r="C1379" s="147" t="s">
        <v>862</v>
      </c>
      <c r="D1379" s="117" t="s">
        <v>863</v>
      </c>
      <c r="E1379" s="130"/>
      <c r="F1379" s="130"/>
      <c r="G1379" s="12" t="str">
        <f>IF(stdProdLT(Main[[#This Row],[Comments]])=0.1,"N/A",IF(stdProdLT(Main[[#This Row],[Comments]])=0,"",stdProdLT(Main[[#This Row],[Comments]])))</f>
        <v/>
      </c>
      <c r="H1379" s="141" t="str">
        <f>IF(Main[[#This Row],[In Stock Date]]="N/A", "N/A",IF(AND(Main[[#This Row],[In Stock Date]]&lt;&gt;"",Main[[#This Row],[Revised Due Date]]&lt;&gt;"",Main[[#This Row],[In Stock Date]]&lt;&gt;""),Main[[#This Row],[In Stock Date]]-Main[[#This Row],[Revised Due Date]],""))</f>
        <v/>
      </c>
      <c r="I1379" s="12" t="s">
        <v>765</v>
      </c>
      <c r="J1379" s="12" t="s">
        <v>4</v>
      </c>
      <c r="K1379" s="12" t="s">
        <v>1926</v>
      </c>
      <c r="L1379" s="130">
        <v>40231</v>
      </c>
      <c r="M1379" s="114" t="str">
        <f>IF(Main[[#This Row],[Tech Start Date]]&lt;1/1/1990,"",IF(Main[[#This Row],[Class]]="C",WORKDAY(Main[[#This Row],[Tech Start Date]],9),IF(Main[[#This Row],[Class]]="B", WORKDAY(Main[[#This Row],[Tech Start Date]],6),IF(Main[[#This Row],[Class]]="A",WORKDAY(Main[[#This Row],[Tech Start Date]],2),""))))</f>
        <v/>
      </c>
      <c r="N1379" s="114" t="str">
        <f>IF(Main[[#This Row],[Tech Start Date]]&lt;1/1/1990,"",IF(Main[[#This Row],[Class]]="C",WORKDAY(Main[[#This Row],[Tech Start Date]],19),IF(Main[[#This Row],[Class]]="B", WORKDAY(Main[[#This Row],[Tech Start Date]],12),IF(Main[[#This Row],[Class]]="A",WORKDAY(Main[[#This Row],[Tech Start Date]],4),""))))</f>
        <v/>
      </c>
      <c r="O1379" s="114" t="str">
        <f>IF(Main[[#This Row],[Tech Start Date]]&lt;1/1/1990,"",IF(Main[[#This Row],[Class]]="C",WORKDAY(Main[[#This Row],[Tech Start Date]],23),IF(Main[[#This Row],[Class]]="B", WORKDAY(Main[[#This Row],[Tech Start Date]],15),IF(Main[[#This Row],[Class]]="A",WORKDAY(Main[[#This Row],[Tech Start Date]],5),""))))</f>
        <v/>
      </c>
      <c r="P1379" s="114" t="str">
        <f>IF(Main[[#This Row],[Tech Start Date]]&lt;1/1/1990,"",IF(Main[[#This Row],[Class]]="C",WORKDAY(Main[[#This Row],[Tech Start Date]],28),IF(Main[[#This Row],[Class]]="B", WORKDAY(Main[[#This Row],[Tech Start Date]],19),IF(Main[[#This Row],[Class]]="A",WORKDAY(Main[[#This Row],[Tech Start Date]],9),""))))</f>
        <v/>
      </c>
      <c r="Q1379" s="130">
        <v>40268</v>
      </c>
      <c r="R1379" s="130">
        <v>40268</v>
      </c>
      <c r="S1379" s="12" t="s">
        <v>17</v>
      </c>
      <c r="T1379" s="118" t="s">
        <v>4</v>
      </c>
      <c r="U1379" s="12" t="s">
        <v>14</v>
      </c>
      <c r="V1379" s="12" t="s">
        <v>1917</v>
      </c>
      <c r="W1379" s="12" t="s">
        <v>1919</v>
      </c>
      <c r="X1379" s="12" t="s">
        <v>2917</v>
      </c>
      <c r="Y1379" s="116" t="s">
        <v>3143</v>
      </c>
      <c r="Z1379" s="116" t="s">
        <v>4</v>
      </c>
      <c r="AA1379" s="139" t="s">
        <v>553</v>
      </c>
    </row>
    <row r="1380" spans="1:27" ht="17.25" customHeight="1">
      <c r="A1380" s="12" t="str">
        <f>IF(priority(Main[[#This Row],[Comments]])&lt;&gt;0, priority(Main[[#This Row],[Comments]]),"")</f>
        <v/>
      </c>
      <c r="B1380" s="63" t="s">
        <v>1819</v>
      </c>
      <c r="C1380" s="147" t="s">
        <v>47</v>
      </c>
      <c r="D1380" s="117" t="s">
        <v>871</v>
      </c>
      <c r="E1380" s="130">
        <v>40220.456550925926</v>
      </c>
      <c r="F1380" s="130"/>
      <c r="G1380" s="12" t="str">
        <f>IF(stdProdLT(Main[[#This Row],[Comments]])=0.1,"N/A",IF(stdProdLT(Main[[#This Row],[Comments]])=0,"",stdProdLT(Main[[#This Row],[Comments]])))</f>
        <v/>
      </c>
      <c r="H1380" s="141" t="str">
        <f>IF(Main[[#This Row],[In Stock Date]]="N/A", "N/A",IF(AND(Main[[#This Row],[In Stock Date]]&lt;&gt;"",Main[[#This Row],[Revised Due Date]]&lt;&gt;"",Main[[#This Row],[In Stock Date]]&lt;&gt;""),Main[[#This Row],[In Stock Date]]-Main[[#This Row],[Revised Due Date]],""))</f>
        <v/>
      </c>
      <c r="I1380" s="12" t="s">
        <v>81</v>
      </c>
      <c r="J1380" s="12" t="s">
        <v>52</v>
      </c>
      <c r="K1380" s="12" t="s">
        <v>1926</v>
      </c>
      <c r="L1380" s="130">
        <v>40231</v>
      </c>
      <c r="M1380" s="114" t="str">
        <f>IF(Main[[#This Row],[Tech Start Date]]&lt;1/1/1990,"",IF(Main[[#This Row],[Class]]="C",WORKDAY(Main[[#This Row],[Tech Start Date]],9),IF(Main[[#This Row],[Class]]="B", WORKDAY(Main[[#This Row],[Tech Start Date]],6),IF(Main[[#This Row],[Class]]="A",WORKDAY(Main[[#This Row],[Tech Start Date]],2),""))))</f>
        <v/>
      </c>
      <c r="N1380" s="114" t="str">
        <f>IF(Main[[#This Row],[Tech Start Date]]&lt;1/1/1990,"",IF(Main[[#This Row],[Class]]="C",WORKDAY(Main[[#This Row],[Tech Start Date]],19),IF(Main[[#This Row],[Class]]="B", WORKDAY(Main[[#This Row],[Tech Start Date]],12),IF(Main[[#This Row],[Class]]="A",WORKDAY(Main[[#This Row],[Tech Start Date]],4),""))))</f>
        <v/>
      </c>
      <c r="O1380" s="114" t="str">
        <f>IF(Main[[#This Row],[Tech Start Date]]&lt;1/1/1990,"",IF(Main[[#This Row],[Class]]="C",WORKDAY(Main[[#This Row],[Tech Start Date]],23),IF(Main[[#This Row],[Class]]="B", WORKDAY(Main[[#This Row],[Tech Start Date]],15),IF(Main[[#This Row],[Class]]="A",WORKDAY(Main[[#This Row],[Tech Start Date]],5),""))))</f>
        <v/>
      </c>
      <c r="P1380" s="114" t="str">
        <f>IF(Main[[#This Row],[Tech Start Date]]&lt;1/1/1990,"",IF(Main[[#This Row],[Class]]="C",WORKDAY(Main[[#This Row],[Tech Start Date]],28),IF(Main[[#This Row],[Class]]="B", WORKDAY(Main[[#This Row],[Tech Start Date]],19),IF(Main[[#This Row],[Class]]="A",WORKDAY(Main[[#This Row],[Tech Start Date]],9),""))))</f>
        <v/>
      </c>
      <c r="Q1380" s="130">
        <v>40255</v>
      </c>
      <c r="R1380" s="130">
        <v>40310</v>
      </c>
      <c r="S1380" s="12" t="s">
        <v>17</v>
      </c>
      <c r="T1380" s="118" t="s">
        <v>4</v>
      </c>
      <c r="U1380" s="12" t="s">
        <v>29</v>
      </c>
      <c r="V1380" s="12" t="s">
        <v>1924</v>
      </c>
      <c r="W1380" s="12" t="s">
        <v>1916</v>
      </c>
      <c r="X1380" s="12" t="s">
        <v>2817</v>
      </c>
      <c r="Y1380" s="116" t="s">
        <v>4</v>
      </c>
      <c r="Z1380" s="116" t="s">
        <v>44</v>
      </c>
      <c r="AA1380" s="139" t="s">
        <v>2817</v>
      </c>
    </row>
    <row r="1381" spans="1:27" ht="17.25" customHeight="1">
      <c r="A1381" s="12" t="str">
        <f>IF(priority(Main[[#This Row],[Comments]])&lt;&gt;0, priority(Main[[#This Row],[Comments]]),"")</f>
        <v/>
      </c>
      <c r="B1381" s="63" t="s">
        <v>1814</v>
      </c>
      <c r="C1381" s="147" t="s">
        <v>47</v>
      </c>
      <c r="D1381" s="117" t="s">
        <v>865</v>
      </c>
      <c r="E1381" s="130"/>
      <c r="F1381" s="130"/>
      <c r="G1381" s="12" t="str">
        <f>IF(stdProdLT(Main[[#This Row],[Comments]])=0.1,"N/A",IF(stdProdLT(Main[[#This Row],[Comments]])=0,"",stdProdLT(Main[[#This Row],[Comments]])))</f>
        <v/>
      </c>
      <c r="H1381" s="141" t="str">
        <f>IF(Main[[#This Row],[In Stock Date]]="N/A", "N/A",IF(AND(Main[[#This Row],[In Stock Date]]&lt;&gt;"",Main[[#This Row],[Revised Due Date]]&lt;&gt;"",Main[[#This Row],[In Stock Date]]&lt;&gt;""),Main[[#This Row],[In Stock Date]]-Main[[#This Row],[Revised Due Date]],""))</f>
        <v/>
      </c>
      <c r="I1381" s="12" t="s">
        <v>431</v>
      </c>
      <c r="J1381" s="12" t="s">
        <v>4</v>
      </c>
      <c r="K1381" s="12" t="s">
        <v>1926</v>
      </c>
      <c r="L1381" s="130">
        <v>40248</v>
      </c>
      <c r="M1381" s="114" t="str">
        <f>IF(Main[[#This Row],[Tech Start Date]]&lt;1/1/1990,"",IF(Main[[#This Row],[Class]]="C",WORKDAY(Main[[#This Row],[Tech Start Date]],9),IF(Main[[#This Row],[Class]]="B", WORKDAY(Main[[#This Row],[Tech Start Date]],6),IF(Main[[#This Row],[Class]]="A",WORKDAY(Main[[#This Row],[Tech Start Date]],2),""))))</f>
        <v/>
      </c>
      <c r="N1381" s="114" t="str">
        <f>IF(Main[[#This Row],[Tech Start Date]]&lt;1/1/1990,"",IF(Main[[#This Row],[Class]]="C",WORKDAY(Main[[#This Row],[Tech Start Date]],19),IF(Main[[#This Row],[Class]]="B", WORKDAY(Main[[#This Row],[Tech Start Date]],12),IF(Main[[#This Row],[Class]]="A",WORKDAY(Main[[#This Row],[Tech Start Date]],4),""))))</f>
        <v/>
      </c>
      <c r="O1381" s="114" t="str">
        <f>IF(Main[[#This Row],[Tech Start Date]]&lt;1/1/1990,"",IF(Main[[#This Row],[Class]]="C",WORKDAY(Main[[#This Row],[Tech Start Date]],23),IF(Main[[#This Row],[Class]]="B", WORKDAY(Main[[#This Row],[Tech Start Date]],15),IF(Main[[#This Row],[Class]]="A",WORKDAY(Main[[#This Row],[Tech Start Date]],5),""))))</f>
        <v/>
      </c>
      <c r="P1381" s="114" t="str">
        <f>IF(Main[[#This Row],[Tech Start Date]]&lt;1/1/1990,"",IF(Main[[#This Row],[Class]]="C",WORKDAY(Main[[#This Row],[Tech Start Date]],28),IF(Main[[#This Row],[Class]]="B", WORKDAY(Main[[#This Row],[Tech Start Date]],19),IF(Main[[#This Row],[Class]]="A",WORKDAY(Main[[#This Row],[Tech Start Date]],9),""))))</f>
        <v/>
      </c>
      <c r="Q1381" s="130">
        <v>40289</v>
      </c>
      <c r="R1381" s="130">
        <v>40289</v>
      </c>
      <c r="S1381" s="12" t="s">
        <v>17</v>
      </c>
      <c r="T1381" s="118" t="s">
        <v>4</v>
      </c>
      <c r="U1381" s="12" t="s">
        <v>14</v>
      </c>
      <c r="V1381" s="12" t="s">
        <v>1917</v>
      </c>
      <c r="W1381" s="12" t="s">
        <v>1920</v>
      </c>
      <c r="X1381" s="12" t="s">
        <v>530</v>
      </c>
      <c r="Y1381" s="116" t="s">
        <v>3144</v>
      </c>
      <c r="Z1381" s="116" t="s">
        <v>4</v>
      </c>
      <c r="AA1381" s="139" t="s">
        <v>530</v>
      </c>
    </row>
    <row r="1382" spans="1:27" ht="17.25" customHeight="1">
      <c r="A1382" s="12" t="str">
        <f>IF(priority(Main[[#This Row],[Comments]])&lt;&gt;0, priority(Main[[#This Row],[Comments]]),"")</f>
        <v/>
      </c>
      <c r="B1382" s="63" t="s">
        <v>1815</v>
      </c>
      <c r="C1382" s="147" t="s">
        <v>867</v>
      </c>
      <c r="D1382" s="117" t="s">
        <v>868</v>
      </c>
      <c r="E1382" s="130"/>
      <c r="F1382" s="130">
        <v>40299</v>
      </c>
      <c r="G1382" s="12" t="str">
        <f>IF(stdProdLT(Main[[#This Row],[Comments]])=0.1,"N/A",IF(stdProdLT(Main[[#This Row],[Comments]])=0,"",stdProdLT(Main[[#This Row],[Comments]])))</f>
        <v/>
      </c>
      <c r="H1382" s="141">
        <f>IF(Main[[#This Row],[In Stock Date]]="N/A", "N/A",IF(AND(Main[[#This Row],[In Stock Date]]&lt;&gt;"",Main[[#This Row],[Revised Due Date]]&lt;&gt;"",Main[[#This Row],[In Stock Date]]&lt;&gt;""),Main[[#This Row],[In Stock Date]]-Main[[#This Row],[Revised Due Date]],""))</f>
        <v>8</v>
      </c>
      <c r="I1382" s="12" t="s">
        <v>652</v>
      </c>
      <c r="J1382" s="12" t="s">
        <v>28</v>
      </c>
      <c r="K1382" s="12" t="s">
        <v>1926</v>
      </c>
      <c r="L1382" s="130">
        <v>40266</v>
      </c>
      <c r="M1382" s="114" t="str">
        <f>IF(Main[[#This Row],[Tech Start Date]]&lt;1/1/1990,"",IF(Main[[#This Row],[Class]]="C",WORKDAY(Main[[#This Row],[Tech Start Date]],9),IF(Main[[#This Row],[Class]]="B", WORKDAY(Main[[#This Row],[Tech Start Date]],6),IF(Main[[#This Row],[Class]]="A",WORKDAY(Main[[#This Row],[Tech Start Date]],2),""))))</f>
        <v/>
      </c>
      <c r="N1382" s="114" t="str">
        <f>IF(Main[[#This Row],[Tech Start Date]]&lt;1/1/1990,"",IF(Main[[#This Row],[Class]]="C",WORKDAY(Main[[#This Row],[Tech Start Date]],19),IF(Main[[#This Row],[Class]]="B", WORKDAY(Main[[#This Row],[Tech Start Date]],12),IF(Main[[#This Row],[Class]]="A",WORKDAY(Main[[#This Row],[Tech Start Date]],4),""))))</f>
        <v/>
      </c>
      <c r="O1382" s="114" t="str">
        <f>IF(Main[[#This Row],[Tech Start Date]]&lt;1/1/1990,"",IF(Main[[#This Row],[Class]]="C",WORKDAY(Main[[#This Row],[Tech Start Date]],23),IF(Main[[#This Row],[Class]]="B", WORKDAY(Main[[#This Row],[Tech Start Date]],15),IF(Main[[#This Row],[Class]]="A",WORKDAY(Main[[#This Row],[Tech Start Date]],5),""))))</f>
        <v/>
      </c>
      <c r="P1382" s="114" t="str">
        <f>IF(Main[[#This Row],[Tech Start Date]]&lt;1/1/1990,"",IF(Main[[#This Row],[Class]]="C",WORKDAY(Main[[#This Row],[Tech Start Date]],28),IF(Main[[#This Row],[Class]]="B", WORKDAY(Main[[#This Row],[Tech Start Date]],19),IF(Main[[#This Row],[Class]]="A",WORKDAY(Main[[#This Row],[Tech Start Date]],9),""))))</f>
        <v/>
      </c>
      <c r="Q1382" s="130">
        <v>40299</v>
      </c>
      <c r="R1382" s="130">
        <v>40291</v>
      </c>
      <c r="S1382" s="12" t="s">
        <v>17</v>
      </c>
      <c r="T1382" s="118" t="s">
        <v>4</v>
      </c>
      <c r="U1382" s="12" t="s">
        <v>14</v>
      </c>
      <c r="V1382" s="12" t="s">
        <v>1924</v>
      </c>
      <c r="W1382" s="12" t="s">
        <v>1919</v>
      </c>
      <c r="X1382" s="12" t="s">
        <v>530</v>
      </c>
      <c r="Y1382" s="116" t="s">
        <v>3144</v>
      </c>
      <c r="Z1382" s="116" t="s">
        <v>652</v>
      </c>
      <c r="AA1382" s="139" t="s">
        <v>530</v>
      </c>
    </row>
    <row r="1383" spans="1:27" ht="17.25" customHeight="1">
      <c r="A1383" s="12" t="str">
        <f>IF(priority(Main[[#This Row],[Comments]])&lt;&gt;0, priority(Main[[#This Row],[Comments]]),"")</f>
        <v/>
      </c>
      <c r="B1383" s="63" t="s">
        <v>1818</v>
      </c>
      <c r="C1383" s="147" t="s">
        <v>4</v>
      </c>
      <c r="D1383" s="117" t="s">
        <v>870</v>
      </c>
      <c r="E1383" s="130"/>
      <c r="F1383" s="130"/>
      <c r="G1383" s="12" t="str">
        <f>IF(stdProdLT(Main[[#This Row],[Comments]])=0.1,"N/A",IF(stdProdLT(Main[[#This Row],[Comments]])=0,"",stdProdLT(Main[[#This Row],[Comments]])))</f>
        <v/>
      </c>
      <c r="H1383" s="141" t="str">
        <f>IF(Main[[#This Row],[In Stock Date]]="N/A", "N/A",IF(AND(Main[[#This Row],[In Stock Date]]&lt;&gt;"",Main[[#This Row],[Revised Due Date]]&lt;&gt;"",Main[[#This Row],[In Stock Date]]&lt;&gt;""),Main[[#This Row],[In Stock Date]]-Main[[#This Row],[Revised Due Date]],""))</f>
        <v/>
      </c>
      <c r="I1383" s="12" t="s">
        <v>399</v>
      </c>
      <c r="J1383" s="12" t="s">
        <v>75</v>
      </c>
      <c r="K1383" s="12" t="s">
        <v>1923</v>
      </c>
      <c r="L1383" s="130">
        <v>40288</v>
      </c>
      <c r="M1383" s="114">
        <f>IF(Main[[#This Row],[Tech Start Date]]&lt;1/1/1990,"",IF(Main[[#This Row],[Class]]="C",WORKDAY(Main[[#This Row],[Tech Start Date]],9),IF(Main[[#This Row],[Class]]="B", WORKDAY(Main[[#This Row],[Tech Start Date]],6),IF(Main[[#This Row],[Class]]="A",WORKDAY(Main[[#This Row],[Tech Start Date]],2),""))))</f>
        <v>40290</v>
      </c>
      <c r="N1383" s="114">
        <f>IF(Main[[#This Row],[Tech Start Date]]&lt;1/1/1990,"",IF(Main[[#This Row],[Class]]="C",WORKDAY(Main[[#This Row],[Tech Start Date]],19),IF(Main[[#This Row],[Class]]="B", WORKDAY(Main[[#This Row],[Tech Start Date]],12),IF(Main[[#This Row],[Class]]="A",WORKDAY(Main[[#This Row],[Tech Start Date]],4),""))))</f>
        <v>40294</v>
      </c>
      <c r="O1383" s="114">
        <f>IF(Main[[#This Row],[Tech Start Date]]&lt;1/1/1990,"",IF(Main[[#This Row],[Class]]="C",WORKDAY(Main[[#This Row],[Tech Start Date]],23),IF(Main[[#This Row],[Class]]="B", WORKDAY(Main[[#This Row],[Tech Start Date]],15),IF(Main[[#This Row],[Class]]="A",WORKDAY(Main[[#This Row],[Tech Start Date]],5),""))))</f>
        <v>40295</v>
      </c>
      <c r="P1383" s="114">
        <f>IF(Main[[#This Row],[Tech Start Date]]&lt;1/1/1990,"",IF(Main[[#This Row],[Class]]="C",WORKDAY(Main[[#This Row],[Tech Start Date]],28),IF(Main[[#This Row],[Class]]="B", WORKDAY(Main[[#This Row],[Tech Start Date]],19),IF(Main[[#This Row],[Class]]="A",WORKDAY(Main[[#This Row],[Tech Start Date]],9),""))))</f>
        <v>40301</v>
      </c>
      <c r="Q1383" s="130"/>
      <c r="R1383" s="130">
        <v>40309</v>
      </c>
      <c r="S1383" s="12" t="s">
        <v>6</v>
      </c>
      <c r="T1383" s="118" t="s">
        <v>4</v>
      </c>
      <c r="U1383" s="12" t="s">
        <v>14</v>
      </c>
      <c r="V1383" s="12" t="s">
        <v>1917</v>
      </c>
      <c r="W1383" s="12" t="s">
        <v>4</v>
      </c>
      <c r="X1383" s="12" t="s">
        <v>2836</v>
      </c>
      <c r="Y1383" s="116" t="s">
        <v>2965</v>
      </c>
      <c r="Z1383" s="116" t="s">
        <v>306</v>
      </c>
      <c r="AA1383" s="139" t="s">
        <v>2836</v>
      </c>
    </row>
    <row r="1384" spans="1:27" ht="17.25" customHeight="1">
      <c r="A1384" s="69" t="str">
        <f>IF(priority(Main[[#This Row],[Comments]])&lt;&gt;0, priority(Main[[#This Row],[Comments]]),"")</f>
        <v/>
      </c>
      <c r="B1384" s="63" t="s">
        <v>1820</v>
      </c>
      <c r="C1384" s="148" t="s">
        <v>4</v>
      </c>
      <c r="D1384" s="113" t="s">
        <v>872</v>
      </c>
      <c r="E1384" s="129"/>
      <c r="F1384" s="129"/>
      <c r="G1384" s="69" t="str">
        <f>IF(stdProdLT(Main[[#This Row],[Comments]])=0.1,"N/A",IF(stdProdLT(Main[[#This Row],[Comments]])=0,"",stdProdLT(Main[[#This Row],[Comments]])))</f>
        <v/>
      </c>
      <c r="H1384" s="138" t="str">
        <f>IF(Main[[#This Row],[In Stock Date]]="N/A", "N/A",IF(AND(Main[[#This Row],[In Stock Date]]&lt;&gt;"",Main[[#This Row],[Revised Due Date]]&lt;&gt;"",Main[[#This Row],[In Stock Date]]&lt;&gt;""),Main[[#This Row],[In Stock Date]]-Main[[#This Row],[Revised Due Date]],""))</f>
        <v/>
      </c>
      <c r="I1384" s="139" t="s">
        <v>765</v>
      </c>
      <c r="J1384" s="139" t="s">
        <v>4</v>
      </c>
      <c r="K1384" s="139" t="s">
        <v>1921</v>
      </c>
      <c r="L1384" s="129">
        <v>40291</v>
      </c>
      <c r="M1384" s="114">
        <f>IF(Main[[#This Row],[Tech Start Date]]&lt;1/1/1990,"",IF(Main[[#This Row],[Class]]="C",WORKDAY(Main[[#This Row],[Tech Start Date]],9),IF(Main[[#This Row],[Class]]="B", WORKDAY(Main[[#This Row],[Tech Start Date]],6),IF(Main[[#This Row],[Class]]="A",WORKDAY(Main[[#This Row],[Tech Start Date]],2),""))))</f>
        <v>40301</v>
      </c>
      <c r="N1384" s="114">
        <f>IF(Main[[#This Row],[Tech Start Date]]&lt;1/1/1990,"",IF(Main[[#This Row],[Class]]="C",WORKDAY(Main[[#This Row],[Tech Start Date]],19),IF(Main[[#This Row],[Class]]="B", WORKDAY(Main[[#This Row],[Tech Start Date]],12),IF(Main[[#This Row],[Class]]="A",WORKDAY(Main[[#This Row],[Tech Start Date]],4),""))))</f>
        <v>40309</v>
      </c>
      <c r="O1384" s="114">
        <f>IF(Main[[#This Row],[Tech Start Date]]&lt;1/1/1990,"",IF(Main[[#This Row],[Class]]="C",WORKDAY(Main[[#This Row],[Tech Start Date]],23),IF(Main[[#This Row],[Class]]="B", WORKDAY(Main[[#This Row],[Tech Start Date]],15),IF(Main[[#This Row],[Class]]="A",WORKDAY(Main[[#This Row],[Tech Start Date]],5),""))))</f>
        <v>40312</v>
      </c>
      <c r="P1384" s="114">
        <f>IF(Main[[#This Row],[Tech Start Date]]&lt;1/1/1990,"",IF(Main[[#This Row],[Class]]="C",WORKDAY(Main[[#This Row],[Tech Start Date]],28),IF(Main[[#This Row],[Class]]="B", WORKDAY(Main[[#This Row],[Tech Start Date]],19),IF(Main[[#This Row],[Class]]="A",WORKDAY(Main[[#This Row],[Tech Start Date]],9),""))))</f>
        <v>40318</v>
      </c>
      <c r="Q1384" s="129">
        <v>40312</v>
      </c>
      <c r="R1384" s="129">
        <v>40312</v>
      </c>
      <c r="S1384" s="139" t="s">
        <v>6</v>
      </c>
      <c r="T1384" s="115" t="s">
        <v>4</v>
      </c>
      <c r="U1384" s="139" t="s">
        <v>14</v>
      </c>
      <c r="V1384" s="139" t="s">
        <v>1917</v>
      </c>
      <c r="W1384" s="139" t="s">
        <v>4</v>
      </c>
      <c r="X1384" s="139" t="s">
        <v>2918</v>
      </c>
      <c r="Y1384" s="112" t="s">
        <v>3145</v>
      </c>
      <c r="Z1384" s="112" t="s">
        <v>4</v>
      </c>
      <c r="AA1384" s="139" t="s">
        <v>2918</v>
      </c>
    </row>
    <row r="1385" spans="1:27" ht="17.25" customHeight="1">
      <c r="A1385" s="69" t="str">
        <f>IF(priority(Main[[#This Row],[Comments]])&lt;&gt;0, priority(Main[[#This Row],[Comments]]),"")</f>
        <v/>
      </c>
      <c r="B1385" s="63" t="s">
        <v>1822</v>
      </c>
      <c r="C1385" s="148" t="s">
        <v>4</v>
      </c>
      <c r="D1385" s="113" t="s">
        <v>2132</v>
      </c>
      <c r="E1385" s="129"/>
      <c r="F1385" s="129"/>
      <c r="G1385" s="69" t="str">
        <f>IF(stdProdLT(Main[[#This Row],[Comments]])=0.1,"N/A",IF(stdProdLT(Main[[#This Row],[Comments]])=0,"",stdProdLT(Main[[#This Row],[Comments]])))</f>
        <v/>
      </c>
      <c r="H1385" s="138" t="str">
        <f>IF(Main[[#This Row],[In Stock Date]]="N/A", "N/A",IF(AND(Main[[#This Row],[In Stock Date]]&lt;&gt;"",Main[[#This Row],[Revised Due Date]]&lt;&gt;"",Main[[#This Row],[In Stock Date]]&lt;&gt;""),Main[[#This Row],[In Stock Date]]-Main[[#This Row],[Revised Due Date]],""))</f>
        <v/>
      </c>
      <c r="I1385" s="139" t="s">
        <v>530</v>
      </c>
      <c r="J1385" s="139" t="s">
        <v>28</v>
      </c>
      <c r="K1385" s="139" t="s">
        <v>1921</v>
      </c>
      <c r="L1385" s="129">
        <v>40294</v>
      </c>
      <c r="M1385" s="114">
        <f>IF(Main[[#This Row],[Tech Start Date]]&lt;1/1/1990,"",IF(Main[[#This Row],[Class]]="C",WORKDAY(Main[[#This Row],[Tech Start Date]],9),IF(Main[[#This Row],[Class]]="B", WORKDAY(Main[[#This Row],[Tech Start Date]],6),IF(Main[[#This Row],[Class]]="A",WORKDAY(Main[[#This Row],[Tech Start Date]],2),""))))</f>
        <v>40302</v>
      </c>
      <c r="N1385" s="114">
        <f>IF(Main[[#This Row],[Tech Start Date]]&lt;1/1/1990,"",IF(Main[[#This Row],[Class]]="C",WORKDAY(Main[[#This Row],[Tech Start Date]],19),IF(Main[[#This Row],[Class]]="B", WORKDAY(Main[[#This Row],[Tech Start Date]],12),IF(Main[[#This Row],[Class]]="A",WORKDAY(Main[[#This Row],[Tech Start Date]],4),""))))</f>
        <v>40310</v>
      </c>
      <c r="O1385" s="114">
        <f>IF(Main[[#This Row],[Tech Start Date]]&lt;1/1/1990,"",IF(Main[[#This Row],[Class]]="C",WORKDAY(Main[[#This Row],[Tech Start Date]],23),IF(Main[[#This Row],[Class]]="B", WORKDAY(Main[[#This Row],[Tech Start Date]],15),IF(Main[[#This Row],[Class]]="A",WORKDAY(Main[[#This Row],[Tech Start Date]],5),""))))</f>
        <v>40315</v>
      </c>
      <c r="P1385" s="114">
        <f>IF(Main[[#This Row],[Tech Start Date]]&lt;1/1/1990,"",IF(Main[[#This Row],[Class]]="C",WORKDAY(Main[[#This Row],[Tech Start Date]],28),IF(Main[[#This Row],[Class]]="B", WORKDAY(Main[[#This Row],[Tech Start Date]],19),IF(Main[[#This Row],[Class]]="A",WORKDAY(Main[[#This Row],[Tech Start Date]],9),""))))</f>
        <v>40319</v>
      </c>
      <c r="Q1385" s="129">
        <v>40329</v>
      </c>
      <c r="R1385" s="129">
        <v>40326</v>
      </c>
      <c r="S1385" s="139" t="s">
        <v>6</v>
      </c>
      <c r="T1385" s="115" t="s">
        <v>4</v>
      </c>
      <c r="U1385" s="139" t="s">
        <v>14</v>
      </c>
      <c r="V1385" s="139" t="s">
        <v>1917</v>
      </c>
      <c r="W1385" s="139" t="s">
        <v>1918</v>
      </c>
      <c r="X1385" s="139" t="s">
        <v>2918</v>
      </c>
      <c r="Y1385" s="112" t="s">
        <v>3145</v>
      </c>
      <c r="Z1385" s="112" t="s">
        <v>30</v>
      </c>
      <c r="AA1385" s="139" t="s">
        <v>2918</v>
      </c>
    </row>
    <row r="1386" spans="1:27" ht="17.25" customHeight="1">
      <c r="A1386" s="69" t="str">
        <f>IF(priority(Main[[#This Row],[Comments]])&lt;&gt;0, priority(Main[[#This Row],[Comments]]),"")</f>
        <v/>
      </c>
      <c r="B1386" s="63" t="s">
        <v>1821</v>
      </c>
      <c r="C1386" s="148" t="s">
        <v>4</v>
      </c>
      <c r="D1386" s="113" t="s">
        <v>873</v>
      </c>
      <c r="E1386" s="129"/>
      <c r="F1386" s="129"/>
      <c r="G1386" s="69" t="str">
        <f>IF(stdProdLT(Main[[#This Row],[Comments]])=0.1,"N/A",IF(stdProdLT(Main[[#This Row],[Comments]])=0,"",stdProdLT(Main[[#This Row],[Comments]])))</f>
        <v/>
      </c>
      <c r="H1386" s="138" t="str">
        <f>IF(Main[[#This Row],[In Stock Date]]="N/A", "N/A",IF(AND(Main[[#This Row],[In Stock Date]]&lt;&gt;"",Main[[#This Row],[Revised Due Date]]&lt;&gt;"",Main[[#This Row],[In Stock Date]]&lt;&gt;""),Main[[#This Row],[In Stock Date]]-Main[[#This Row],[Revised Due Date]],""))</f>
        <v/>
      </c>
      <c r="I1386" s="139" t="s">
        <v>489</v>
      </c>
      <c r="J1386" s="139" t="s">
        <v>4</v>
      </c>
      <c r="K1386" s="140" t="s">
        <v>1921</v>
      </c>
      <c r="L1386" s="129">
        <v>40295</v>
      </c>
      <c r="M1386" s="114">
        <f>IF(Main[[#This Row],[Tech Start Date]]&lt;1/1/1990,"",IF(Main[[#This Row],[Class]]="C",WORKDAY(Main[[#This Row],[Tech Start Date]],9),IF(Main[[#This Row],[Class]]="B", WORKDAY(Main[[#This Row],[Tech Start Date]],6),IF(Main[[#This Row],[Class]]="A",WORKDAY(Main[[#This Row],[Tech Start Date]],2),""))))</f>
        <v>40303</v>
      </c>
      <c r="N1386" s="114">
        <f>IF(Main[[#This Row],[Tech Start Date]]&lt;1/1/1990,"",IF(Main[[#This Row],[Class]]="C",WORKDAY(Main[[#This Row],[Tech Start Date]],19),IF(Main[[#This Row],[Class]]="B", WORKDAY(Main[[#This Row],[Tech Start Date]],12),IF(Main[[#This Row],[Class]]="A",WORKDAY(Main[[#This Row],[Tech Start Date]],4),""))))</f>
        <v>40311</v>
      </c>
      <c r="O1386" s="114">
        <f>IF(Main[[#This Row],[Tech Start Date]]&lt;1/1/1990,"",IF(Main[[#This Row],[Class]]="C",WORKDAY(Main[[#This Row],[Tech Start Date]],23),IF(Main[[#This Row],[Class]]="B", WORKDAY(Main[[#This Row],[Tech Start Date]],15),IF(Main[[#This Row],[Class]]="A",WORKDAY(Main[[#This Row],[Tech Start Date]],5),""))))</f>
        <v>40316</v>
      </c>
      <c r="P1386" s="114">
        <f>IF(Main[[#This Row],[Tech Start Date]]&lt;1/1/1990,"",IF(Main[[#This Row],[Class]]="C",WORKDAY(Main[[#This Row],[Tech Start Date]],28),IF(Main[[#This Row],[Class]]="B", WORKDAY(Main[[#This Row],[Tech Start Date]],19),IF(Main[[#This Row],[Class]]="A",WORKDAY(Main[[#This Row],[Tech Start Date]],9),""))))</f>
        <v>40322</v>
      </c>
      <c r="Q1386" s="129">
        <v>40329</v>
      </c>
      <c r="R1386" s="129">
        <v>40325</v>
      </c>
      <c r="S1386" s="139" t="s">
        <v>6</v>
      </c>
      <c r="T1386" s="115" t="s">
        <v>4</v>
      </c>
      <c r="U1386" s="139" t="s">
        <v>14</v>
      </c>
      <c r="V1386" s="139" t="s">
        <v>1917</v>
      </c>
      <c r="W1386" s="139" t="s">
        <v>4</v>
      </c>
      <c r="X1386" s="139" t="s">
        <v>2918</v>
      </c>
      <c r="Y1386" s="112" t="s">
        <v>3145</v>
      </c>
      <c r="Z1386" s="112" t="s">
        <v>973</v>
      </c>
      <c r="AA1386" s="139" t="s">
        <v>2918</v>
      </c>
    </row>
    <row r="1387" spans="1:27" ht="17.25" customHeight="1">
      <c r="A1387" s="69" t="str">
        <f>IF(priority(Main[[#This Row],[Comments]])&lt;&gt;0, priority(Main[[#This Row],[Comments]]),"")</f>
        <v/>
      </c>
      <c r="B1387" s="63" t="s">
        <v>1871</v>
      </c>
      <c r="C1387" s="148" t="s">
        <v>33</v>
      </c>
      <c r="D1387" s="113" t="s">
        <v>926</v>
      </c>
      <c r="E1387" s="129">
        <v>40314.31863425926</v>
      </c>
      <c r="F1387" s="129">
        <v>40489</v>
      </c>
      <c r="G1387" s="69" t="str">
        <f>IF(stdProdLT(Main[[#This Row],[Comments]])=0.1,"N/A",IF(stdProdLT(Main[[#This Row],[Comments]])=0,"",stdProdLT(Main[[#This Row],[Comments]])))</f>
        <v/>
      </c>
      <c r="H1387" s="138">
        <f>IF(Main[[#This Row],[In Stock Date]]="N/A", "N/A",IF(AND(Main[[#This Row],[In Stock Date]]&lt;&gt;"",Main[[#This Row],[Revised Due Date]]&lt;&gt;"",Main[[#This Row],[In Stock Date]]&lt;&gt;""),Main[[#This Row],[In Stock Date]]-Main[[#This Row],[Revised Due Date]],""))</f>
        <v>-373</v>
      </c>
      <c r="I1387" s="139" t="s">
        <v>163</v>
      </c>
      <c r="J1387" s="139" t="s">
        <v>4</v>
      </c>
      <c r="K1387" s="139" t="s">
        <v>1926</v>
      </c>
      <c r="L1387" s="129">
        <v>40331</v>
      </c>
      <c r="M1387" s="114" t="str">
        <f>IF(Main[[#This Row],[Tech Start Date]]&lt;1/1/1990,"",IF(Main[[#This Row],[Class]]="C",WORKDAY(Main[[#This Row],[Tech Start Date]],9),IF(Main[[#This Row],[Class]]="B", WORKDAY(Main[[#This Row],[Tech Start Date]],6),IF(Main[[#This Row],[Class]]="A",WORKDAY(Main[[#This Row],[Tech Start Date]],2),""))))</f>
        <v/>
      </c>
      <c r="N1387" s="114" t="str">
        <f>IF(Main[[#This Row],[Tech Start Date]]&lt;1/1/1990,"",IF(Main[[#This Row],[Class]]="C",WORKDAY(Main[[#This Row],[Tech Start Date]],19),IF(Main[[#This Row],[Class]]="B", WORKDAY(Main[[#This Row],[Tech Start Date]],12),IF(Main[[#This Row],[Class]]="A",WORKDAY(Main[[#This Row],[Tech Start Date]],4),""))))</f>
        <v/>
      </c>
      <c r="O1387" s="114" t="str">
        <f>IF(Main[[#This Row],[Tech Start Date]]&lt;1/1/1990,"",IF(Main[[#This Row],[Class]]="C",WORKDAY(Main[[#This Row],[Tech Start Date]],23),IF(Main[[#This Row],[Class]]="B", WORKDAY(Main[[#This Row],[Tech Start Date]],15),IF(Main[[#This Row],[Class]]="A",WORKDAY(Main[[#This Row],[Tech Start Date]],5),""))))</f>
        <v/>
      </c>
      <c r="P1387" s="114" t="str">
        <f>IF(Main[[#This Row],[Tech Start Date]]&lt;1/1/1990,"",IF(Main[[#This Row],[Class]]="C",WORKDAY(Main[[#This Row],[Tech Start Date]],28),IF(Main[[#This Row],[Class]]="B", WORKDAY(Main[[#This Row],[Tech Start Date]],19),IF(Main[[#This Row],[Class]]="A",WORKDAY(Main[[#This Row],[Tech Start Date]],9),""))))</f>
        <v/>
      </c>
      <c r="Q1387" s="129">
        <v>40349</v>
      </c>
      <c r="R1387" s="129">
        <v>40862</v>
      </c>
      <c r="S1387" s="139" t="s">
        <v>17</v>
      </c>
      <c r="T1387" s="115" t="s">
        <v>4</v>
      </c>
      <c r="U1387" s="139" t="s">
        <v>29</v>
      </c>
      <c r="V1387" s="139" t="s">
        <v>1917</v>
      </c>
      <c r="W1387" s="139" t="s">
        <v>1919</v>
      </c>
      <c r="X1387" s="139" t="s">
        <v>2919</v>
      </c>
      <c r="Y1387" s="112" t="s">
        <v>4</v>
      </c>
      <c r="Z1387" s="112" t="s">
        <v>415</v>
      </c>
      <c r="AA1387" s="139" t="s">
        <v>2919</v>
      </c>
    </row>
    <row r="1388" spans="1:27" ht="17.25" customHeight="1">
      <c r="A1388" s="69" t="str">
        <f>IF(priority(Main[[#This Row],[Comments]])&lt;&gt;0, priority(Main[[#This Row],[Comments]]),"")</f>
        <v/>
      </c>
      <c r="B1388" s="63" t="s">
        <v>1831</v>
      </c>
      <c r="C1388" s="148" t="s">
        <v>180</v>
      </c>
      <c r="D1388" s="113" t="s">
        <v>882</v>
      </c>
      <c r="E1388" s="129"/>
      <c r="F1388" s="129">
        <v>40421</v>
      </c>
      <c r="G1388" s="69" t="str">
        <f>IF(stdProdLT(Main[[#This Row],[Comments]])=0.1,"N/A",IF(stdProdLT(Main[[#This Row],[Comments]])=0,"",stdProdLT(Main[[#This Row],[Comments]])))</f>
        <v/>
      </c>
      <c r="H1388" s="138">
        <f>IF(Main[[#This Row],[In Stock Date]]="N/A", "N/A",IF(AND(Main[[#This Row],[In Stock Date]]&lt;&gt;"",Main[[#This Row],[Revised Due Date]]&lt;&gt;"",Main[[#This Row],[In Stock Date]]&lt;&gt;""),Main[[#This Row],[In Stock Date]]-Main[[#This Row],[Revised Due Date]],""))</f>
        <v>4</v>
      </c>
      <c r="I1388" s="139" t="s">
        <v>883</v>
      </c>
      <c r="J1388" s="139" t="s">
        <v>51</v>
      </c>
      <c r="K1388" s="139" t="s">
        <v>1923</v>
      </c>
      <c r="L1388" s="129">
        <v>40354</v>
      </c>
      <c r="M1388" s="114">
        <f>IF(Main[[#This Row],[Tech Start Date]]&lt;1/1/1990,"",IF(Main[[#This Row],[Class]]="C",WORKDAY(Main[[#This Row],[Tech Start Date]],9),IF(Main[[#This Row],[Class]]="B", WORKDAY(Main[[#This Row],[Tech Start Date]],6),IF(Main[[#This Row],[Class]]="A",WORKDAY(Main[[#This Row],[Tech Start Date]],2),""))))</f>
        <v>40358</v>
      </c>
      <c r="N1388" s="114">
        <f>IF(Main[[#This Row],[Tech Start Date]]&lt;1/1/1990,"",IF(Main[[#This Row],[Class]]="C",WORKDAY(Main[[#This Row],[Tech Start Date]],19),IF(Main[[#This Row],[Class]]="B", WORKDAY(Main[[#This Row],[Tech Start Date]],12),IF(Main[[#This Row],[Class]]="A",WORKDAY(Main[[#This Row],[Tech Start Date]],4),""))))</f>
        <v>40360</v>
      </c>
      <c r="O1388" s="114">
        <f>IF(Main[[#This Row],[Tech Start Date]]&lt;1/1/1990,"",IF(Main[[#This Row],[Class]]="C",WORKDAY(Main[[#This Row],[Tech Start Date]],23),IF(Main[[#This Row],[Class]]="B", WORKDAY(Main[[#This Row],[Tech Start Date]],15),IF(Main[[#This Row],[Class]]="A",WORKDAY(Main[[#This Row],[Tech Start Date]],5),""))))</f>
        <v>40361</v>
      </c>
      <c r="P1388" s="114">
        <f>IF(Main[[#This Row],[Tech Start Date]]&lt;1/1/1990,"",IF(Main[[#This Row],[Class]]="C",WORKDAY(Main[[#This Row],[Tech Start Date]],28),IF(Main[[#This Row],[Class]]="B", WORKDAY(Main[[#This Row],[Tech Start Date]],19),IF(Main[[#This Row],[Class]]="A",WORKDAY(Main[[#This Row],[Tech Start Date]],9),""))))</f>
        <v>40367</v>
      </c>
      <c r="Q1388" s="129">
        <v>40417</v>
      </c>
      <c r="R1388" s="129">
        <v>40417</v>
      </c>
      <c r="S1388" s="139" t="s">
        <v>11</v>
      </c>
      <c r="T1388" s="115" t="s">
        <v>4</v>
      </c>
      <c r="U1388" s="139" t="s">
        <v>14</v>
      </c>
      <c r="V1388" s="139" t="s">
        <v>1924</v>
      </c>
      <c r="W1388" s="139" t="s">
        <v>1920</v>
      </c>
      <c r="X1388" s="139" t="s">
        <v>2872</v>
      </c>
      <c r="Y1388" s="112" t="s">
        <v>2996</v>
      </c>
      <c r="Z1388" s="112" t="s">
        <v>883</v>
      </c>
      <c r="AA1388" s="139" t="s">
        <v>2872</v>
      </c>
    </row>
    <row r="1389" spans="1:27" ht="17.25" customHeight="1">
      <c r="A1389" s="69" t="str">
        <f>IF(priority(Main[[#This Row],[Comments]])&lt;&gt;0, priority(Main[[#This Row],[Comments]]),"")</f>
        <v/>
      </c>
      <c r="B1389" s="63" t="s">
        <v>1830</v>
      </c>
      <c r="C1389" s="148" t="s">
        <v>180</v>
      </c>
      <c r="D1389" s="113" t="s">
        <v>884</v>
      </c>
      <c r="E1389" s="129"/>
      <c r="F1389" s="129">
        <v>40421</v>
      </c>
      <c r="G1389" s="69" t="str">
        <f>IF(stdProdLT(Main[[#This Row],[Comments]])=0.1,"N/A",IF(stdProdLT(Main[[#This Row],[Comments]])=0,"",stdProdLT(Main[[#This Row],[Comments]])))</f>
        <v/>
      </c>
      <c r="H1389" s="138">
        <f>IF(Main[[#This Row],[In Stock Date]]="N/A", "N/A",IF(AND(Main[[#This Row],[In Stock Date]]&lt;&gt;"",Main[[#This Row],[Revised Due Date]]&lt;&gt;"",Main[[#This Row],[In Stock Date]]&lt;&gt;""),Main[[#This Row],[In Stock Date]]-Main[[#This Row],[Revised Due Date]],""))</f>
        <v>4</v>
      </c>
      <c r="I1389" s="139" t="s">
        <v>883</v>
      </c>
      <c r="J1389" s="139" t="s">
        <v>51</v>
      </c>
      <c r="K1389" s="139" t="s">
        <v>1923</v>
      </c>
      <c r="L1389" s="129">
        <v>40354</v>
      </c>
      <c r="M1389" s="114">
        <f>IF(Main[[#This Row],[Tech Start Date]]&lt;1/1/1990,"",IF(Main[[#This Row],[Class]]="C",WORKDAY(Main[[#This Row],[Tech Start Date]],9),IF(Main[[#This Row],[Class]]="B", WORKDAY(Main[[#This Row],[Tech Start Date]],6),IF(Main[[#This Row],[Class]]="A",WORKDAY(Main[[#This Row],[Tech Start Date]],2),""))))</f>
        <v>40358</v>
      </c>
      <c r="N1389" s="114">
        <f>IF(Main[[#This Row],[Tech Start Date]]&lt;1/1/1990,"",IF(Main[[#This Row],[Class]]="C",WORKDAY(Main[[#This Row],[Tech Start Date]],19),IF(Main[[#This Row],[Class]]="B", WORKDAY(Main[[#This Row],[Tech Start Date]],12),IF(Main[[#This Row],[Class]]="A",WORKDAY(Main[[#This Row],[Tech Start Date]],4),""))))</f>
        <v>40360</v>
      </c>
      <c r="O1389" s="114">
        <f>IF(Main[[#This Row],[Tech Start Date]]&lt;1/1/1990,"",IF(Main[[#This Row],[Class]]="C",WORKDAY(Main[[#This Row],[Tech Start Date]],23),IF(Main[[#This Row],[Class]]="B", WORKDAY(Main[[#This Row],[Tech Start Date]],15),IF(Main[[#This Row],[Class]]="A",WORKDAY(Main[[#This Row],[Tech Start Date]],5),""))))</f>
        <v>40361</v>
      </c>
      <c r="P1389" s="114">
        <f>IF(Main[[#This Row],[Tech Start Date]]&lt;1/1/1990,"",IF(Main[[#This Row],[Class]]="C",WORKDAY(Main[[#This Row],[Tech Start Date]],28),IF(Main[[#This Row],[Class]]="B", WORKDAY(Main[[#This Row],[Tech Start Date]],19),IF(Main[[#This Row],[Class]]="A",WORKDAY(Main[[#This Row],[Tech Start Date]],9),""))))</f>
        <v>40367</v>
      </c>
      <c r="Q1389" s="129">
        <v>40417</v>
      </c>
      <c r="R1389" s="129">
        <v>40417</v>
      </c>
      <c r="S1389" s="139" t="s">
        <v>11</v>
      </c>
      <c r="T1389" s="115" t="s">
        <v>4</v>
      </c>
      <c r="U1389" s="139" t="s">
        <v>14</v>
      </c>
      <c r="V1389" s="139" t="s">
        <v>1924</v>
      </c>
      <c r="W1389" s="139" t="s">
        <v>1920</v>
      </c>
      <c r="X1389" s="139" t="s">
        <v>2872</v>
      </c>
      <c r="Y1389" s="112" t="s">
        <v>2996</v>
      </c>
      <c r="Z1389" s="112" t="s">
        <v>883</v>
      </c>
      <c r="AA1389" s="139" t="s">
        <v>2872</v>
      </c>
    </row>
    <row r="1390" spans="1:27" ht="17.25" customHeight="1">
      <c r="A1390" s="69" t="str">
        <f>IF(priority(Main[[#This Row],[Comments]])&lt;&gt;0, priority(Main[[#This Row],[Comments]]),"")</f>
        <v/>
      </c>
      <c r="B1390" s="63" t="s">
        <v>1828</v>
      </c>
      <c r="C1390" s="148" t="s">
        <v>879</v>
      </c>
      <c r="D1390" s="113" t="s">
        <v>880</v>
      </c>
      <c r="E1390" s="129"/>
      <c r="F1390" s="129">
        <v>40442</v>
      </c>
      <c r="G1390" s="69" t="str">
        <f>IF(stdProdLT(Main[[#This Row],[Comments]])=0.1,"N/A",IF(stdProdLT(Main[[#This Row],[Comments]])=0,"",stdProdLT(Main[[#This Row],[Comments]])))</f>
        <v/>
      </c>
      <c r="H1390" s="138">
        <f>IF(Main[[#This Row],[In Stock Date]]="N/A", "N/A",IF(AND(Main[[#This Row],[In Stock Date]]&lt;&gt;"",Main[[#This Row],[Revised Due Date]]&lt;&gt;"",Main[[#This Row],[In Stock Date]]&lt;&gt;""),Main[[#This Row],[In Stock Date]]-Main[[#This Row],[Revised Due Date]],""))</f>
        <v>40</v>
      </c>
      <c r="I1390" s="139" t="s">
        <v>553</v>
      </c>
      <c r="J1390" s="139" t="s">
        <v>28</v>
      </c>
      <c r="K1390" s="139" t="s">
        <v>1926</v>
      </c>
      <c r="L1390" s="129">
        <v>40366</v>
      </c>
      <c r="M1390" s="114" t="str">
        <f>IF(Main[[#This Row],[Tech Start Date]]&lt;1/1/1990,"",IF(Main[[#This Row],[Class]]="C",WORKDAY(Main[[#This Row],[Tech Start Date]],9),IF(Main[[#This Row],[Class]]="B", WORKDAY(Main[[#This Row],[Tech Start Date]],6),IF(Main[[#This Row],[Class]]="A",WORKDAY(Main[[#This Row],[Tech Start Date]],2),""))))</f>
        <v/>
      </c>
      <c r="N1390" s="114" t="str">
        <f>IF(Main[[#This Row],[Tech Start Date]]&lt;1/1/1990,"",IF(Main[[#This Row],[Class]]="C",WORKDAY(Main[[#This Row],[Tech Start Date]],19),IF(Main[[#This Row],[Class]]="B", WORKDAY(Main[[#This Row],[Tech Start Date]],12),IF(Main[[#This Row],[Class]]="A",WORKDAY(Main[[#This Row],[Tech Start Date]],4),""))))</f>
        <v/>
      </c>
      <c r="O1390" s="114" t="str">
        <f>IF(Main[[#This Row],[Tech Start Date]]&lt;1/1/1990,"",IF(Main[[#This Row],[Class]]="C",WORKDAY(Main[[#This Row],[Tech Start Date]],23),IF(Main[[#This Row],[Class]]="B", WORKDAY(Main[[#This Row],[Tech Start Date]],15),IF(Main[[#This Row],[Class]]="A",WORKDAY(Main[[#This Row],[Tech Start Date]],5),""))))</f>
        <v/>
      </c>
      <c r="P1390" s="114" t="str">
        <f>IF(Main[[#This Row],[Tech Start Date]]&lt;1/1/1990,"",IF(Main[[#This Row],[Class]]="C",WORKDAY(Main[[#This Row],[Tech Start Date]],28),IF(Main[[#This Row],[Class]]="B", WORKDAY(Main[[#This Row],[Tech Start Date]],19),IF(Main[[#This Row],[Class]]="A",WORKDAY(Main[[#This Row],[Tech Start Date]],9),""))))</f>
        <v/>
      </c>
      <c r="Q1390" s="129">
        <v>40374</v>
      </c>
      <c r="R1390" s="129">
        <v>40402</v>
      </c>
      <c r="S1390" s="139" t="s">
        <v>11</v>
      </c>
      <c r="T1390" s="115" t="s">
        <v>4</v>
      </c>
      <c r="U1390" s="139" t="s">
        <v>14</v>
      </c>
      <c r="V1390" s="139" t="s">
        <v>1917</v>
      </c>
      <c r="W1390" s="139" t="s">
        <v>1919</v>
      </c>
      <c r="X1390" s="139" t="s">
        <v>2874</v>
      </c>
      <c r="Y1390" s="112" t="s">
        <v>3019</v>
      </c>
      <c r="Z1390" s="112" t="s">
        <v>4</v>
      </c>
      <c r="AA1390" s="139" t="s">
        <v>2874</v>
      </c>
    </row>
    <row r="1391" spans="1:27" ht="17.25" customHeight="1">
      <c r="A1391" s="69" t="str">
        <f>IF(priority(Main[[#This Row],[Comments]])&lt;&gt;0, priority(Main[[#This Row],[Comments]]),"")</f>
        <v/>
      </c>
      <c r="B1391" s="63" t="s">
        <v>1245</v>
      </c>
      <c r="C1391" s="148" t="s">
        <v>4</v>
      </c>
      <c r="D1391" s="113" t="s">
        <v>309</v>
      </c>
      <c r="E1391" s="129">
        <v>40395.401192129626</v>
      </c>
      <c r="F1391" s="129">
        <v>40574</v>
      </c>
      <c r="G1391" s="69" t="str">
        <f>IF(stdProdLT(Main[[#This Row],[Comments]])=0.1,"N/A",IF(stdProdLT(Main[[#This Row],[Comments]])=0,"",stdProdLT(Main[[#This Row],[Comments]])))</f>
        <v/>
      </c>
      <c r="H1391" s="138">
        <f>IF(Main[[#This Row],[In Stock Date]]="N/A", "N/A",IF(AND(Main[[#This Row],[In Stock Date]]&lt;&gt;"",Main[[#This Row],[Revised Due Date]]&lt;&gt;"",Main[[#This Row],[In Stock Date]]&lt;&gt;""),Main[[#This Row],[In Stock Date]]-Main[[#This Row],[Revised Due Date]],""))</f>
        <v>-465</v>
      </c>
      <c r="I1391" s="139" t="s">
        <v>4</v>
      </c>
      <c r="J1391" s="139" t="s">
        <v>28</v>
      </c>
      <c r="K1391" s="139" t="s">
        <v>1926</v>
      </c>
      <c r="L1391" s="129">
        <v>40405</v>
      </c>
      <c r="M1391" s="114" t="str">
        <f>IF(Main[[#This Row],[Tech Start Date]]&lt;1/1/1990,"",IF(Main[[#This Row],[Class]]="C",WORKDAY(Main[[#This Row],[Tech Start Date]],9),IF(Main[[#This Row],[Class]]="B", WORKDAY(Main[[#This Row],[Tech Start Date]],6),IF(Main[[#This Row],[Class]]="A",WORKDAY(Main[[#This Row],[Tech Start Date]],2),""))))</f>
        <v/>
      </c>
      <c r="N1391" s="114" t="str">
        <f>IF(Main[[#This Row],[Tech Start Date]]&lt;1/1/1990,"",IF(Main[[#This Row],[Class]]="C",WORKDAY(Main[[#This Row],[Tech Start Date]],19),IF(Main[[#This Row],[Class]]="B", WORKDAY(Main[[#This Row],[Tech Start Date]],12),IF(Main[[#This Row],[Class]]="A",WORKDAY(Main[[#This Row],[Tech Start Date]],4),""))))</f>
        <v/>
      </c>
      <c r="O1391" s="114" t="str">
        <f>IF(Main[[#This Row],[Tech Start Date]]&lt;1/1/1990,"",IF(Main[[#This Row],[Class]]="C",WORKDAY(Main[[#This Row],[Tech Start Date]],23),IF(Main[[#This Row],[Class]]="B", WORKDAY(Main[[#This Row],[Tech Start Date]],15),IF(Main[[#This Row],[Class]]="A",WORKDAY(Main[[#This Row],[Tech Start Date]],5),""))))</f>
        <v/>
      </c>
      <c r="P1391" s="114" t="str">
        <f>IF(Main[[#This Row],[Tech Start Date]]&lt;1/1/1990,"",IF(Main[[#This Row],[Class]]="C",WORKDAY(Main[[#This Row],[Tech Start Date]],28),IF(Main[[#This Row],[Class]]="B", WORKDAY(Main[[#This Row],[Tech Start Date]],19),IF(Main[[#This Row],[Class]]="A",WORKDAY(Main[[#This Row],[Tech Start Date]],9),""))))</f>
        <v/>
      </c>
      <c r="Q1391" s="129"/>
      <c r="R1391" s="129">
        <v>41039</v>
      </c>
      <c r="S1391" s="139" t="s">
        <v>17</v>
      </c>
      <c r="T1391" s="115" t="s">
        <v>4</v>
      </c>
      <c r="U1391" s="139" t="s">
        <v>29</v>
      </c>
      <c r="V1391" s="139" t="s">
        <v>1917</v>
      </c>
      <c r="W1391" s="139" t="s">
        <v>1919</v>
      </c>
      <c r="X1391" s="139" t="s">
        <v>50</v>
      </c>
      <c r="Y1391" s="112" t="s">
        <v>2985</v>
      </c>
      <c r="Z1391" s="112" t="s">
        <v>968</v>
      </c>
      <c r="AA1391" s="139" t="s">
        <v>65</v>
      </c>
    </row>
    <row r="1392" spans="1:27" ht="17.25" customHeight="1">
      <c r="A1392" s="69" t="str">
        <f>IF(priority(Main[[#This Row],[Comments]])&lt;&gt;0, priority(Main[[#This Row],[Comments]]),"")</f>
        <v/>
      </c>
      <c r="B1392" s="63" t="s">
        <v>1711</v>
      </c>
      <c r="C1392" s="148" t="s">
        <v>4</v>
      </c>
      <c r="D1392" s="113" t="s">
        <v>762</v>
      </c>
      <c r="E1392" s="129">
        <v>40395.395856481482</v>
      </c>
      <c r="F1392" s="129">
        <v>40574</v>
      </c>
      <c r="G1392" s="69" t="str">
        <f>IF(stdProdLT(Main[[#This Row],[Comments]])=0.1,"N/A",IF(stdProdLT(Main[[#This Row],[Comments]])=0,"",stdProdLT(Main[[#This Row],[Comments]])))</f>
        <v/>
      </c>
      <c r="H1392" s="138">
        <f>IF(Main[[#This Row],[In Stock Date]]="N/A", "N/A",IF(AND(Main[[#This Row],[In Stock Date]]&lt;&gt;"",Main[[#This Row],[Revised Due Date]]&lt;&gt;"",Main[[#This Row],[In Stock Date]]&lt;&gt;""),Main[[#This Row],[In Stock Date]]-Main[[#This Row],[Revised Due Date]],""))</f>
        <v>-431</v>
      </c>
      <c r="I1392" s="139" t="s">
        <v>4</v>
      </c>
      <c r="J1392" s="139" t="s">
        <v>28</v>
      </c>
      <c r="K1392" s="140" t="s">
        <v>1926</v>
      </c>
      <c r="L1392" s="129">
        <v>40405</v>
      </c>
      <c r="M1392" s="114" t="str">
        <f>IF(Main[[#This Row],[Tech Start Date]]&lt;1/1/1990,"",IF(Main[[#This Row],[Class]]="C",WORKDAY(Main[[#This Row],[Tech Start Date]],9),IF(Main[[#This Row],[Class]]="B", WORKDAY(Main[[#This Row],[Tech Start Date]],6),IF(Main[[#This Row],[Class]]="A",WORKDAY(Main[[#This Row],[Tech Start Date]],2),""))))</f>
        <v/>
      </c>
      <c r="N1392" s="114" t="str">
        <f>IF(Main[[#This Row],[Tech Start Date]]&lt;1/1/1990,"",IF(Main[[#This Row],[Class]]="C",WORKDAY(Main[[#This Row],[Tech Start Date]],19),IF(Main[[#This Row],[Class]]="B", WORKDAY(Main[[#This Row],[Tech Start Date]],12),IF(Main[[#This Row],[Class]]="A",WORKDAY(Main[[#This Row],[Tech Start Date]],4),""))))</f>
        <v/>
      </c>
      <c r="O1392" s="114" t="str">
        <f>IF(Main[[#This Row],[Tech Start Date]]&lt;1/1/1990,"",IF(Main[[#This Row],[Class]]="C",WORKDAY(Main[[#This Row],[Tech Start Date]],23),IF(Main[[#This Row],[Class]]="B", WORKDAY(Main[[#This Row],[Tech Start Date]],15),IF(Main[[#This Row],[Class]]="A",WORKDAY(Main[[#This Row],[Tech Start Date]],5),""))))</f>
        <v/>
      </c>
      <c r="P1392" s="114" t="str">
        <f>IF(Main[[#This Row],[Tech Start Date]]&lt;1/1/1990,"",IF(Main[[#This Row],[Class]]="C",WORKDAY(Main[[#This Row],[Tech Start Date]],28),IF(Main[[#This Row],[Class]]="B", WORKDAY(Main[[#This Row],[Tech Start Date]],19),IF(Main[[#This Row],[Class]]="A",WORKDAY(Main[[#This Row],[Tech Start Date]],9),""))))</f>
        <v/>
      </c>
      <c r="Q1392" s="129"/>
      <c r="R1392" s="129">
        <v>41005</v>
      </c>
      <c r="S1392" s="139" t="s">
        <v>17</v>
      </c>
      <c r="T1392" s="115" t="s">
        <v>4</v>
      </c>
      <c r="U1392" s="139" t="s">
        <v>29</v>
      </c>
      <c r="V1392" s="139" t="s">
        <v>1917</v>
      </c>
      <c r="W1392" s="139" t="s">
        <v>1919</v>
      </c>
      <c r="X1392" s="139" t="s">
        <v>50</v>
      </c>
      <c r="Y1392" s="112" t="s">
        <v>2985</v>
      </c>
      <c r="Z1392" s="112" t="s">
        <v>968</v>
      </c>
      <c r="AA1392" s="139" t="s">
        <v>65</v>
      </c>
    </row>
    <row r="1393" spans="1:27" ht="17.25" customHeight="1">
      <c r="A1393" s="69" t="str">
        <f>IF(priority(Main[[#This Row],[Comments]])&lt;&gt;0, priority(Main[[#This Row],[Comments]]),"")</f>
        <v/>
      </c>
      <c r="B1393" s="63" t="s">
        <v>1521</v>
      </c>
      <c r="C1393" s="148" t="s">
        <v>4</v>
      </c>
      <c r="D1393" s="113" t="s">
        <v>3781</v>
      </c>
      <c r="E1393" s="129">
        <v>40436.377106481479</v>
      </c>
      <c r="F1393" s="129"/>
      <c r="G1393" s="69" t="str">
        <f>IF(stdProdLT(Main[[#This Row],[Comments]])=0.1,"N/A",IF(stdProdLT(Main[[#This Row],[Comments]])=0,"",stdProdLT(Main[[#This Row],[Comments]])))</f>
        <v/>
      </c>
      <c r="H1393" s="138" t="str">
        <f>IF(Main[[#This Row],[In Stock Date]]="N/A", "N/A",IF(AND(Main[[#This Row],[In Stock Date]]&lt;&gt;"",Main[[#This Row],[Revised Due Date]]&lt;&gt;"",Main[[#This Row],[In Stock Date]]&lt;&gt;""),Main[[#This Row],[In Stock Date]]-Main[[#This Row],[Revised Due Date]],""))</f>
        <v/>
      </c>
      <c r="I1393" s="139" t="s">
        <v>886</v>
      </c>
      <c r="J1393" s="139" t="s">
        <v>4</v>
      </c>
      <c r="K1393" s="139" t="s">
        <v>1926</v>
      </c>
      <c r="L1393" s="129">
        <v>40441</v>
      </c>
      <c r="M1393" s="114" t="str">
        <f>IF(Main[[#This Row],[Tech Start Date]]&lt;1/1/1990,"",IF(Main[[#This Row],[Class]]="C",WORKDAY(Main[[#This Row],[Tech Start Date]],9),IF(Main[[#This Row],[Class]]="B", WORKDAY(Main[[#This Row],[Tech Start Date]],6),IF(Main[[#This Row],[Class]]="A",WORKDAY(Main[[#This Row],[Tech Start Date]],2),""))))</f>
        <v/>
      </c>
      <c r="N1393" s="114" t="str">
        <f>IF(Main[[#This Row],[Tech Start Date]]&lt;1/1/1990,"",IF(Main[[#This Row],[Class]]="C",WORKDAY(Main[[#This Row],[Tech Start Date]],19),IF(Main[[#This Row],[Class]]="B", WORKDAY(Main[[#This Row],[Tech Start Date]],12),IF(Main[[#This Row],[Class]]="A",WORKDAY(Main[[#This Row],[Tech Start Date]],4),""))))</f>
        <v/>
      </c>
      <c r="O1393" s="114" t="str">
        <f>IF(Main[[#This Row],[Tech Start Date]]&lt;1/1/1990,"",IF(Main[[#This Row],[Class]]="C",WORKDAY(Main[[#This Row],[Tech Start Date]],23),IF(Main[[#This Row],[Class]]="B", WORKDAY(Main[[#This Row],[Tech Start Date]],15),IF(Main[[#This Row],[Class]]="A",WORKDAY(Main[[#This Row],[Tech Start Date]],5),""))))</f>
        <v/>
      </c>
      <c r="P1393" s="114" t="str">
        <f>IF(Main[[#This Row],[Tech Start Date]]&lt;1/1/1990,"",IF(Main[[#This Row],[Class]]="C",WORKDAY(Main[[#This Row],[Tech Start Date]],28),IF(Main[[#This Row],[Class]]="B", WORKDAY(Main[[#This Row],[Tech Start Date]],19),IF(Main[[#This Row],[Class]]="A",WORKDAY(Main[[#This Row],[Tech Start Date]],9),""))))</f>
        <v/>
      </c>
      <c r="Q1393" s="129">
        <v>41274</v>
      </c>
      <c r="R1393" s="129">
        <v>41180</v>
      </c>
      <c r="S1393" s="139" t="s">
        <v>17</v>
      </c>
      <c r="T1393" s="115" t="s">
        <v>2602</v>
      </c>
      <c r="U1393" s="139" t="s">
        <v>29</v>
      </c>
      <c r="V1393" s="139" t="s">
        <v>1914</v>
      </c>
      <c r="W1393" s="139" t="s">
        <v>1919</v>
      </c>
      <c r="X1393" s="139" t="s">
        <v>922</v>
      </c>
      <c r="Y1393" s="112" t="s">
        <v>3146</v>
      </c>
      <c r="Z1393" s="112" t="s">
        <v>877</v>
      </c>
      <c r="AA1393" s="139" t="s">
        <v>2828</v>
      </c>
    </row>
    <row r="1394" spans="1:27" ht="17.25" customHeight="1">
      <c r="A1394" s="69" t="str">
        <f>IF(priority(Main[[#This Row],[Comments]])&lt;&gt;0, priority(Main[[#This Row],[Comments]]),"")</f>
        <v/>
      </c>
      <c r="B1394" s="63" t="s">
        <v>1839</v>
      </c>
      <c r="C1394" s="148" t="s">
        <v>4</v>
      </c>
      <c r="D1394" s="113" t="s">
        <v>895</v>
      </c>
      <c r="E1394" s="129"/>
      <c r="F1394" s="129"/>
      <c r="G1394" s="69" t="str">
        <f>IF(stdProdLT(Main[[#This Row],[Comments]])=0.1,"N/A",IF(stdProdLT(Main[[#This Row],[Comments]])=0,"",stdProdLT(Main[[#This Row],[Comments]])))</f>
        <v/>
      </c>
      <c r="H1394" s="138" t="str">
        <f>IF(Main[[#This Row],[In Stock Date]]="N/A", "N/A",IF(AND(Main[[#This Row],[In Stock Date]]&lt;&gt;"",Main[[#This Row],[Revised Due Date]]&lt;&gt;"",Main[[#This Row],[In Stock Date]]&lt;&gt;""),Main[[#This Row],[In Stock Date]]-Main[[#This Row],[Revised Due Date]],""))</f>
        <v/>
      </c>
      <c r="I1394" s="139" t="s">
        <v>708</v>
      </c>
      <c r="J1394" s="139" t="s">
        <v>4</v>
      </c>
      <c r="K1394" s="139" t="s">
        <v>4</v>
      </c>
      <c r="L1394" s="129">
        <v>40469</v>
      </c>
      <c r="M1394" s="114" t="str">
        <f>IF(Main[[#This Row],[Tech Start Date]]&lt;1/1/1990,"",IF(Main[[#This Row],[Class]]="C",WORKDAY(Main[[#This Row],[Tech Start Date]],9),IF(Main[[#This Row],[Class]]="B", WORKDAY(Main[[#This Row],[Tech Start Date]],6),IF(Main[[#This Row],[Class]]="A",WORKDAY(Main[[#This Row],[Tech Start Date]],2),""))))</f>
        <v/>
      </c>
      <c r="N1394" s="114" t="str">
        <f>IF(Main[[#This Row],[Tech Start Date]]&lt;1/1/1990,"",IF(Main[[#This Row],[Class]]="C",WORKDAY(Main[[#This Row],[Tech Start Date]],19),IF(Main[[#This Row],[Class]]="B", WORKDAY(Main[[#This Row],[Tech Start Date]],12),IF(Main[[#This Row],[Class]]="A",WORKDAY(Main[[#This Row],[Tech Start Date]],4),""))))</f>
        <v/>
      </c>
      <c r="O1394" s="114" t="str">
        <f>IF(Main[[#This Row],[Tech Start Date]]&lt;1/1/1990,"",IF(Main[[#This Row],[Class]]="C",WORKDAY(Main[[#This Row],[Tech Start Date]],23),IF(Main[[#This Row],[Class]]="B", WORKDAY(Main[[#This Row],[Tech Start Date]],15),IF(Main[[#This Row],[Class]]="A",WORKDAY(Main[[#This Row],[Tech Start Date]],5),""))))</f>
        <v/>
      </c>
      <c r="P1394" s="114" t="str">
        <f>IF(Main[[#This Row],[Tech Start Date]]&lt;1/1/1990,"",IF(Main[[#This Row],[Class]]="C",WORKDAY(Main[[#This Row],[Tech Start Date]],28),IF(Main[[#This Row],[Class]]="B", WORKDAY(Main[[#This Row],[Tech Start Date]],19),IF(Main[[#This Row],[Class]]="A",WORKDAY(Main[[#This Row],[Tech Start Date]],9),""))))</f>
        <v/>
      </c>
      <c r="Q1394" s="129"/>
      <c r="R1394" s="129">
        <v>40473</v>
      </c>
      <c r="S1394" s="139" t="s">
        <v>23</v>
      </c>
      <c r="T1394" s="115" t="s">
        <v>4</v>
      </c>
      <c r="U1394" s="139" t="s">
        <v>14</v>
      </c>
      <c r="V1394" s="139" t="s">
        <v>1914</v>
      </c>
      <c r="W1394" s="139" t="s">
        <v>1918</v>
      </c>
      <c r="X1394" s="139" t="s">
        <v>306</v>
      </c>
      <c r="Y1394" s="112" t="s">
        <v>4</v>
      </c>
      <c r="Z1394" s="112" t="s">
        <v>129</v>
      </c>
      <c r="AA1394" s="139" t="s">
        <v>3470</v>
      </c>
    </row>
    <row r="1395" spans="1:27" ht="17.25" customHeight="1">
      <c r="A1395" s="69" t="str">
        <f>IF(priority(Main[[#This Row],[Comments]])&lt;&gt;0, priority(Main[[#This Row],[Comments]]),"")</f>
        <v/>
      </c>
      <c r="B1395" s="63" t="s">
        <v>1089</v>
      </c>
      <c r="C1395" s="148" t="s">
        <v>4</v>
      </c>
      <c r="D1395" s="113" t="s">
        <v>2000</v>
      </c>
      <c r="E1395" s="129"/>
      <c r="F1395" s="129"/>
      <c r="G1395" s="69" t="str">
        <f>IF(stdProdLT(Main[[#This Row],[Comments]])=0.1,"N/A",IF(stdProdLT(Main[[#This Row],[Comments]])=0,"",stdProdLT(Main[[#This Row],[Comments]])))</f>
        <v/>
      </c>
      <c r="H1395" s="138" t="str">
        <f>IF(Main[[#This Row],[In Stock Date]]="N/A", "N/A",IF(AND(Main[[#This Row],[In Stock Date]]&lt;&gt;"",Main[[#This Row],[Revised Due Date]]&lt;&gt;"",Main[[#This Row],[In Stock Date]]&lt;&gt;""),Main[[#This Row],[In Stock Date]]-Main[[#This Row],[Revised Due Date]],""))</f>
        <v/>
      </c>
      <c r="I1395" s="139" t="s">
        <v>30</v>
      </c>
      <c r="J1395" s="139" t="s">
        <v>28</v>
      </c>
      <c r="K1395" s="139" t="s">
        <v>1921</v>
      </c>
      <c r="L1395" s="129">
        <v>40486</v>
      </c>
      <c r="M1395" s="114">
        <f>IF(Main[[#This Row],[Tech Start Date]]&lt;1/1/1990,"",IF(Main[[#This Row],[Class]]="C",WORKDAY(Main[[#This Row],[Tech Start Date]],9),IF(Main[[#This Row],[Class]]="B", WORKDAY(Main[[#This Row],[Tech Start Date]],6),IF(Main[[#This Row],[Class]]="A",WORKDAY(Main[[#This Row],[Tech Start Date]],2),""))))</f>
        <v>40494</v>
      </c>
      <c r="N1395" s="114">
        <f>IF(Main[[#This Row],[Tech Start Date]]&lt;1/1/1990,"",IF(Main[[#This Row],[Class]]="C",WORKDAY(Main[[#This Row],[Tech Start Date]],19),IF(Main[[#This Row],[Class]]="B", WORKDAY(Main[[#This Row],[Tech Start Date]],12),IF(Main[[#This Row],[Class]]="A",WORKDAY(Main[[#This Row],[Tech Start Date]],4),""))))</f>
        <v>40504</v>
      </c>
      <c r="O1395" s="114">
        <f>IF(Main[[#This Row],[Tech Start Date]]&lt;1/1/1990,"",IF(Main[[#This Row],[Class]]="C",WORKDAY(Main[[#This Row],[Tech Start Date]],23),IF(Main[[#This Row],[Class]]="B", WORKDAY(Main[[#This Row],[Tech Start Date]],15),IF(Main[[#This Row],[Class]]="A",WORKDAY(Main[[#This Row],[Tech Start Date]],5),""))))</f>
        <v>40507</v>
      </c>
      <c r="P1395" s="114">
        <f>IF(Main[[#This Row],[Tech Start Date]]&lt;1/1/1990,"",IF(Main[[#This Row],[Class]]="C",WORKDAY(Main[[#This Row],[Tech Start Date]],28),IF(Main[[#This Row],[Class]]="B", WORKDAY(Main[[#This Row],[Tech Start Date]],19),IF(Main[[#This Row],[Class]]="A",WORKDAY(Main[[#This Row],[Tech Start Date]],9),""))))</f>
        <v>40513</v>
      </c>
      <c r="Q1395" s="129"/>
      <c r="R1395" s="129"/>
      <c r="S1395" s="139" t="s">
        <v>6</v>
      </c>
      <c r="T1395" s="115" t="s">
        <v>4</v>
      </c>
      <c r="U1395" s="139" t="s">
        <v>14</v>
      </c>
      <c r="V1395" s="139" t="s">
        <v>1917</v>
      </c>
      <c r="W1395" s="139" t="s">
        <v>1918</v>
      </c>
      <c r="X1395" s="139" t="s">
        <v>2866</v>
      </c>
      <c r="Y1395" s="112" t="s">
        <v>3000</v>
      </c>
      <c r="Z1395" s="112" t="s">
        <v>530</v>
      </c>
      <c r="AA1395" s="139" t="s">
        <v>2866</v>
      </c>
    </row>
    <row r="1396" spans="1:27" ht="17.25" customHeight="1">
      <c r="A1396" s="69" t="str">
        <f>IF(priority(Main[[#This Row],[Comments]])&lt;&gt;0, priority(Main[[#This Row],[Comments]]),"")</f>
        <v/>
      </c>
      <c r="B1396" s="63" t="s">
        <v>1712</v>
      </c>
      <c r="C1396" s="148" t="s">
        <v>4</v>
      </c>
      <c r="D1396" s="113" t="s">
        <v>763</v>
      </c>
      <c r="E1396" s="129"/>
      <c r="F1396" s="129"/>
      <c r="G1396" s="69" t="str">
        <f>IF(stdProdLT(Main[[#This Row],[Comments]])=0.1,"N/A",IF(stdProdLT(Main[[#This Row],[Comments]])=0,"",stdProdLT(Main[[#This Row],[Comments]])))</f>
        <v/>
      </c>
      <c r="H1396" s="138" t="str">
        <f>IF(Main[[#This Row],[In Stock Date]]="N/A", "N/A",IF(AND(Main[[#This Row],[In Stock Date]]&lt;&gt;"",Main[[#This Row],[Revised Due Date]]&lt;&gt;"",Main[[#This Row],[In Stock Date]]&lt;&gt;""),Main[[#This Row],[In Stock Date]]-Main[[#This Row],[Revised Due Date]],""))</f>
        <v/>
      </c>
      <c r="I1396" s="139" t="s">
        <v>171</v>
      </c>
      <c r="J1396" s="139" t="s">
        <v>70</v>
      </c>
      <c r="K1396" s="139" t="s">
        <v>1921</v>
      </c>
      <c r="L1396" s="129">
        <v>40486</v>
      </c>
      <c r="M1396" s="114">
        <f>IF(Main[[#This Row],[Tech Start Date]]&lt;1/1/1990,"",IF(Main[[#This Row],[Class]]="C",WORKDAY(Main[[#This Row],[Tech Start Date]],9),IF(Main[[#This Row],[Class]]="B", WORKDAY(Main[[#This Row],[Tech Start Date]],6),IF(Main[[#This Row],[Class]]="A",WORKDAY(Main[[#This Row],[Tech Start Date]],2),""))))</f>
        <v>40494</v>
      </c>
      <c r="N1396" s="114">
        <f>IF(Main[[#This Row],[Tech Start Date]]&lt;1/1/1990,"",IF(Main[[#This Row],[Class]]="C",WORKDAY(Main[[#This Row],[Tech Start Date]],19),IF(Main[[#This Row],[Class]]="B", WORKDAY(Main[[#This Row],[Tech Start Date]],12),IF(Main[[#This Row],[Class]]="A",WORKDAY(Main[[#This Row],[Tech Start Date]],4),""))))</f>
        <v>40504</v>
      </c>
      <c r="O1396" s="114">
        <f>IF(Main[[#This Row],[Tech Start Date]]&lt;1/1/1990,"",IF(Main[[#This Row],[Class]]="C",WORKDAY(Main[[#This Row],[Tech Start Date]],23),IF(Main[[#This Row],[Class]]="B", WORKDAY(Main[[#This Row],[Tech Start Date]],15),IF(Main[[#This Row],[Class]]="A",WORKDAY(Main[[#This Row],[Tech Start Date]],5),""))))</f>
        <v>40507</v>
      </c>
      <c r="P1396" s="114">
        <f>IF(Main[[#This Row],[Tech Start Date]]&lt;1/1/1990,"",IF(Main[[#This Row],[Class]]="C",WORKDAY(Main[[#This Row],[Tech Start Date]],28),IF(Main[[#This Row],[Class]]="B", WORKDAY(Main[[#This Row],[Tech Start Date]],19),IF(Main[[#This Row],[Class]]="A",WORKDAY(Main[[#This Row],[Tech Start Date]],9),""))))</f>
        <v>40513</v>
      </c>
      <c r="Q1396" s="129">
        <v>40504</v>
      </c>
      <c r="R1396" s="129"/>
      <c r="S1396" s="139" t="s">
        <v>6</v>
      </c>
      <c r="T1396" s="115" t="s">
        <v>4</v>
      </c>
      <c r="U1396" s="139" t="s">
        <v>14</v>
      </c>
      <c r="V1396" s="139" t="s">
        <v>1917</v>
      </c>
      <c r="W1396" s="139" t="s">
        <v>1918</v>
      </c>
      <c r="X1396" s="139" t="s">
        <v>2822</v>
      </c>
      <c r="Y1396" s="112" t="s">
        <v>2938</v>
      </c>
      <c r="Z1396" s="112" t="s">
        <v>30</v>
      </c>
      <c r="AA1396" s="139" t="s">
        <v>2822</v>
      </c>
    </row>
    <row r="1397" spans="1:27" ht="17.25" customHeight="1">
      <c r="A1397" s="69" t="str">
        <f>IF(priority(Main[[#This Row],[Comments]])&lt;&gt;0, priority(Main[[#This Row],[Comments]]),"")</f>
        <v/>
      </c>
      <c r="B1397" s="63" t="s">
        <v>1725</v>
      </c>
      <c r="C1397" s="148" t="s">
        <v>4</v>
      </c>
      <c r="D1397" s="113" t="s">
        <v>2292</v>
      </c>
      <c r="E1397" s="129">
        <v>40462.421793981484</v>
      </c>
      <c r="F1397" s="129"/>
      <c r="G1397" s="69" t="str">
        <f>IF(stdProdLT(Main[[#This Row],[Comments]])=0.1,"N/A",IF(stdProdLT(Main[[#This Row],[Comments]])=0,"",stdProdLT(Main[[#This Row],[Comments]])))</f>
        <v/>
      </c>
      <c r="H1397" s="138" t="str">
        <f>IF(Main[[#This Row],[In Stock Date]]="N/A", "N/A",IF(AND(Main[[#This Row],[In Stock Date]]&lt;&gt;"",Main[[#This Row],[Revised Due Date]]&lt;&gt;"",Main[[#This Row],[In Stock Date]]&lt;&gt;""),Main[[#This Row],[In Stock Date]]-Main[[#This Row],[Revised Due Date]],""))</f>
        <v/>
      </c>
      <c r="I1397" s="139" t="s">
        <v>894</v>
      </c>
      <c r="J1397" s="139" t="s">
        <v>52</v>
      </c>
      <c r="K1397" s="139" t="s">
        <v>1921</v>
      </c>
      <c r="L1397" s="129">
        <v>40486</v>
      </c>
      <c r="M1397" s="114">
        <f>IF(Main[[#This Row],[Tech Start Date]]&lt;1/1/1990,"",IF(Main[[#This Row],[Class]]="C",WORKDAY(Main[[#This Row],[Tech Start Date]],9),IF(Main[[#This Row],[Class]]="B", WORKDAY(Main[[#This Row],[Tech Start Date]],6),IF(Main[[#This Row],[Class]]="A",WORKDAY(Main[[#This Row],[Tech Start Date]],2),""))))</f>
        <v>40494</v>
      </c>
      <c r="N1397" s="114">
        <f>IF(Main[[#This Row],[Tech Start Date]]&lt;1/1/1990,"",IF(Main[[#This Row],[Class]]="C",WORKDAY(Main[[#This Row],[Tech Start Date]],19),IF(Main[[#This Row],[Class]]="B", WORKDAY(Main[[#This Row],[Tech Start Date]],12),IF(Main[[#This Row],[Class]]="A",WORKDAY(Main[[#This Row],[Tech Start Date]],4),""))))</f>
        <v>40504</v>
      </c>
      <c r="O1397" s="114">
        <f>IF(Main[[#This Row],[Tech Start Date]]&lt;1/1/1990,"",IF(Main[[#This Row],[Class]]="C",WORKDAY(Main[[#This Row],[Tech Start Date]],23),IF(Main[[#This Row],[Class]]="B", WORKDAY(Main[[#This Row],[Tech Start Date]],15),IF(Main[[#This Row],[Class]]="A",WORKDAY(Main[[#This Row],[Tech Start Date]],5),""))))</f>
        <v>40507</v>
      </c>
      <c r="P1397" s="114">
        <f>IF(Main[[#This Row],[Tech Start Date]]&lt;1/1/1990,"",IF(Main[[#This Row],[Class]]="C",WORKDAY(Main[[#This Row],[Tech Start Date]],28),IF(Main[[#This Row],[Class]]="B", WORKDAY(Main[[#This Row],[Tech Start Date]],19),IF(Main[[#This Row],[Class]]="A",WORKDAY(Main[[#This Row],[Tech Start Date]],9),""))))</f>
        <v>40513</v>
      </c>
      <c r="Q1397" s="129">
        <v>40543</v>
      </c>
      <c r="R1397" s="129"/>
      <c r="S1397" s="139" t="s">
        <v>6</v>
      </c>
      <c r="T1397" s="115" t="s">
        <v>4</v>
      </c>
      <c r="U1397" s="139" t="s">
        <v>29</v>
      </c>
      <c r="V1397" s="139" t="s">
        <v>1917</v>
      </c>
      <c r="W1397" s="139" t="s">
        <v>1918</v>
      </c>
      <c r="X1397" s="139" t="s">
        <v>2887</v>
      </c>
      <c r="Y1397" s="112" t="s">
        <v>3043</v>
      </c>
      <c r="Z1397" s="112" t="s">
        <v>30</v>
      </c>
      <c r="AA1397" s="139" t="s">
        <v>2887</v>
      </c>
    </row>
    <row r="1398" spans="1:27" ht="17.25" customHeight="1">
      <c r="A1398" s="69" t="str">
        <f>IF(priority(Main[[#This Row],[Comments]])&lt;&gt;0, priority(Main[[#This Row],[Comments]]),"")</f>
        <v/>
      </c>
      <c r="B1398" s="63" t="s">
        <v>1729</v>
      </c>
      <c r="C1398" s="148" t="s">
        <v>4</v>
      </c>
      <c r="D1398" s="113" t="s">
        <v>2019</v>
      </c>
      <c r="E1398" s="129">
        <v>40478.606620370374</v>
      </c>
      <c r="F1398" s="129"/>
      <c r="G1398" s="69" t="str">
        <f>IF(stdProdLT(Main[[#This Row],[Comments]])=0.1,"N/A",IF(stdProdLT(Main[[#This Row],[Comments]])=0,"",stdProdLT(Main[[#This Row],[Comments]])))</f>
        <v/>
      </c>
      <c r="H1398" s="138" t="str">
        <f>IF(Main[[#This Row],[In Stock Date]]="N/A", "N/A",IF(AND(Main[[#This Row],[In Stock Date]]&lt;&gt;"",Main[[#This Row],[Revised Due Date]]&lt;&gt;"",Main[[#This Row],[In Stock Date]]&lt;&gt;""),Main[[#This Row],[In Stock Date]]-Main[[#This Row],[Revised Due Date]],""))</f>
        <v/>
      </c>
      <c r="I1398" s="139" t="s">
        <v>429</v>
      </c>
      <c r="J1398" s="139" t="s">
        <v>70</v>
      </c>
      <c r="K1398" s="139" t="s">
        <v>1926</v>
      </c>
      <c r="L1398" s="129">
        <v>40513</v>
      </c>
      <c r="M1398" s="114" t="str">
        <f>IF(Main[[#This Row],[Tech Start Date]]&lt;1/1/1990,"",IF(Main[[#This Row],[Class]]="C",WORKDAY(Main[[#This Row],[Tech Start Date]],9),IF(Main[[#This Row],[Class]]="B", WORKDAY(Main[[#This Row],[Tech Start Date]],6),IF(Main[[#This Row],[Class]]="A",WORKDAY(Main[[#This Row],[Tech Start Date]],2),""))))</f>
        <v/>
      </c>
      <c r="N1398" s="114" t="str">
        <f>IF(Main[[#This Row],[Tech Start Date]]&lt;1/1/1990,"",IF(Main[[#This Row],[Class]]="C",WORKDAY(Main[[#This Row],[Tech Start Date]],19),IF(Main[[#This Row],[Class]]="B", WORKDAY(Main[[#This Row],[Tech Start Date]],12),IF(Main[[#This Row],[Class]]="A",WORKDAY(Main[[#This Row],[Tech Start Date]],4),""))))</f>
        <v/>
      </c>
      <c r="O1398" s="114" t="str">
        <f>IF(Main[[#This Row],[Tech Start Date]]&lt;1/1/1990,"",IF(Main[[#This Row],[Class]]="C",WORKDAY(Main[[#This Row],[Tech Start Date]],23),IF(Main[[#This Row],[Class]]="B", WORKDAY(Main[[#This Row],[Tech Start Date]],15),IF(Main[[#This Row],[Class]]="A",WORKDAY(Main[[#This Row],[Tech Start Date]],5),""))))</f>
        <v/>
      </c>
      <c r="P1398" s="114" t="str">
        <f>IF(Main[[#This Row],[Tech Start Date]]&lt;1/1/1990,"",IF(Main[[#This Row],[Class]]="C",WORKDAY(Main[[#This Row],[Tech Start Date]],28),IF(Main[[#This Row],[Class]]="B", WORKDAY(Main[[#This Row],[Tech Start Date]],19),IF(Main[[#This Row],[Class]]="A",WORKDAY(Main[[#This Row],[Tech Start Date]],9),""))))</f>
        <v/>
      </c>
      <c r="Q1398" s="129">
        <v>40724</v>
      </c>
      <c r="R1398" s="129"/>
      <c r="S1398" s="139" t="s">
        <v>17</v>
      </c>
      <c r="T1398" s="115" t="s">
        <v>4</v>
      </c>
      <c r="U1398" s="139" t="s">
        <v>29</v>
      </c>
      <c r="V1398" s="139" t="s">
        <v>1917</v>
      </c>
      <c r="W1398" s="139" t="s">
        <v>1918</v>
      </c>
      <c r="X1398" s="139" t="s">
        <v>2891</v>
      </c>
      <c r="Y1398" s="112" t="s">
        <v>3102</v>
      </c>
      <c r="Z1398" s="112" t="s">
        <v>30</v>
      </c>
      <c r="AA1398" s="139" t="s">
        <v>2891</v>
      </c>
    </row>
    <row r="1399" spans="1:27" ht="17.25" customHeight="1">
      <c r="A1399" s="69" t="str">
        <f>IF(priority(Main[[#This Row],[Comments]])&lt;&gt;0, priority(Main[[#This Row],[Comments]]),"")</f>
        <v/>
      </c>
      <c r="B1399" s="63" t="s">
        <v>1723</v>
      </c>
      <c r="C1399" s="148" t="s">
        <v>72</v>
      </c>
      <c r="D1399" s="113" t="s">
        <v>778</v>
      </c>
      <c r="E1399" s="129"/>
      <c r="F1399" s="129">
        <v>40513</v>
      </c>
      <c r="G1399" s="69" t="str">
        <f>IF(stdProdLT(Main[[#This Row],[Comments]])=0.1,"N/A",IF(stdProdLT(Main[[#This Row],[Comments]])=0,"",stdProdLT(Main[[#This Row],[Comments]])))</f>
        <v/>
      </c>
      <c r="H1399" s="138" t="str">
        <f>IF(Main[[#This Row],[In Stock Date]]="N/A", "N/A",IF(AND(Main[[#This Row],[In Stock Date]]&lt;&gt;"",Main[[#This Row],[Revised Due Date]]&lt;&gt;"",Main[[#This Row],[In Stock Date]]&lt;&gt;""),Main[[#This Row],[In Stock Date]]-Main[[#This Row],[Revised Due Date]],""))</f>
        <v/>
      </c>
      <c r="I1399" s="139" t="s">
        <v>30</v>
      </c>
      <c r="J1399" s="139" t="s">
        <v>28</v>
      </c>
      <c r="K1399" s="139" t="s">
        <v>1926</v>
      </c>
      <c r="L1399" s="129">
        <v>40547</v>
      </c>
      <c r="M1399" s="114" t="str">
        <f>IF(Main[[#This Row],[Tech Start Date]]&lt;1/1/1990,"",IF(Main[[#This Row],[Class]]="C",WORKDAY(Main[[#This Row],[Tech Start Date]],9),IF(Main[[#This Row],[Class]]="B", WORKDAY(Main[[#This Row],[Tech Start Date]],6),IF(Main[[#This Row],[Class]]="A",WORKDAY(Main[[#This Row],[Tech Start Date]],2),""))))</f>
        <v/>
      </c>
      <c r="N1399" s="114" t="str">
        <f>IF(Main[[#This Row],[Tech Start Date]]&lt;1/1/1990,"",IF(Main[[#This Row],[Class]]="C",WORKDAY(Main[[#This Row],[Tech Start Date]],19),IF(Main[[#This Row],[Class]]="B", WORKDAY(Main[[#This Row],[Tech Start Date]],12),IF(Main[[#This Row],[Class]]="A",WORKDAY(Main[[#This Row],[Tech Start Date]],4),""))))</f>
        <v/>
      </c>
      <c r="O1399" s="114" t="str">
        <f>IF(Main[[#This Row],[Tech Start Date]]&lt;1/1/1990,"",IF(Main[[#This Row],[Class]]="C",WORKDAY(Main[[#This Row],[Tech Start Date]],23),IF(Main[[#This Row],[Class]]="B", WORKDAY(Main[[#This Row],[Tech Start Date]],15),IF(Main[[#This Row],[Class]]="A",WORKDAY(Main[[#This Row],[Tech Start Date]],5),""))))</f>
        <v/>
      </c>
      <c r="P1399" s="114" t="str">
        <f>IF(Main[[#This Row],[Tech Start Date]]&lt;1/1/1990,"",IF(Main[[#This Row],[Class]]="C",WORKDAY(Main[[#This Row],[Tech Start Date]],28),IF(Main[[#This Row],[Class]]="B", WORKDAY(Main[[#This Row],[Tech Start Date]],19),IF(Main[[#This Row],[Class]]="A",WORKDAY(Main[[#This Row],[Tech Start Date]],9),""))))</f>
        <v/>
      </c>
      <c r="Q1399" s="129"/>
      <c r="R1399" s="129"/>
      <c r="S1399" s="139" t="s">
        <v>17</v>
      </c>
      <c r="T1399" s="115" t="s">
        <v>4</v>
      </c>
      <c r="U1399" s="139" t="s">
        <v>14</v>
      </c>
      <c r="V1399" s="139" t="s">
        <v>1917</v>
      </c>
      <c r="W1399" s="139" t="s">
        <v>1919</v>
      </c>
      <c r="X1399" s="139" t="s">
        <v>2847</v>
      </c>
      <c r="Y1399" s="112" t="s">
        <v>2978</v>
      </c>
      <c r="Z1399" s="112" t="s">
        <v>30</v>
      </c>
      <c r="AA1399" s="139" t="s">
        <v>2847</v>
      </c>
    </row>
    <row r="1400" spans="1:27" ht="17.25" customHeight="1">
      <c r="A1400" s="69" t="str">
        <f>IF(priority(Main[[#This Row],[Comments]])&lt;&gt;0, priority(Main[[#This Row],[Comments]]),"")</f>
        <v/>
      </c>
      <c r="B1400" s="63" t="s">
        <v>1909</v>
      </c>
      <c r="C1400" s="148" t="s">
        <v>4</v>
      </c>
      <c r="D1400" s="113" t="s">
        <v>959</v>
      </c>
      <c r="E1400" s="129">
        <v>40436.63890046296</v>
      </c>
      <c r="F1400" s="129"/>
      <c r="G1400" s="69" t="str">
        <f>IF(stdProdLT(Main[[#This Row],[Comments]])=0.1,"N/A",IF(stdProdLT(Main[[#This Row],[Comments]])=0,"",stdProdLT(Main[[#This Row],[Comments]])))</f>
        <v/>
      </c>
      <c r="H1400" s="138" t="str">
        <f>IF(Main[[#This Row],[In Stock Date]]="N/A", "N/A",IF(AND(Main[[#This Row],[In Stock Date]]&lt;&gt;"",Main[[#This Row],[Revised Due Date]]&lt;&gt;"",Main[[#This Row],[In Stock Date]]&lt;&gt;""),Main[[#This Row],[In Stock Date]]-Main[[#This Row],[Revised Due Date]],""))</f>
        <v/>
      </c>
      <c r="I1400" s="139" t="s">
        <v>877</v>
      </c>
      <c r="J1400" s="139" t="s">
        <v>28</v>
      </c>
      <c r="K1400" s="139" t="s">
        <v>1926</v>
      </c>
      <c r="L1400" s="129">
        <v>40549</v>
      </c>
      <c r="M1400" s="114" t="str">
        <f>IF(Main[[#This Row],[Tech Start Date]]&lt;1/1/1990,"",IF(Main[[#This Row],[Class]]="C",WORKDAY(Main[[#This Row],[Tech Start Date]],9),IF(Main[[#This Row],[Class]]="B", WORKDAY(Main[[#This Row],[Tech Start Date]],6),IF(Main[[#This Row],[Class]]="A",WORKDAY(Main[[#This Row],[Tech Start Date]],2),""))))</f>
        <v/>
      </c>
      <c r="N1400" s="114" t="str">
        <f>IF(Main[[#This Row],[Tech Start Date]]&lt;1/1/1990,"",IF(Main[[#This Row],[Class]]="C",WORKDAY(Main[[#This Row],[Tech Start Date]],19),IF(Main[[#This Row],[Class]]="B", WORKDAY(Main[[#This Row],[Tech Start Date]],12),IF(Main[[#This Row],[Class]]="A",WORKDAY(Main[[#This Row],[Tech Start Date]],4),""))))</f>
        <v/>
      </c>
      <c r="O1400" s="114" t="str">
        <f>IF(Main[[#This Row],[Tech Start Date]]&lt;1/1/1990,"",IF(Main[[#This Row],[Class]]="C",WORKDAY(Main[[#This Row],[Tech Start Date]],23),IF(Main[[#This Row],[Class]]="B", WORKDAY(Main[[#This Row],[Tech Start Date]],15),IF(Main[[#This Row],[Class]]="A",WORKDAY(Main[[#This Row],[Tech Start Date]],5),""))))</f>
        <v/>
      </c>
      <c r="P1400" s="114" t="str">
        <f>IF(Main[[#This Row],[Tech Start Date]]&lt;1/1/1990,"",IF(Main[[#This Row],[Class]]="C",WORKDAY(Main[[#This Row],[Tech Start Date]],28),IF(Main[[#This Row],[Class]]="B", WORKDAY(Main[[#This Row],[Tech Start Date]],19),IF(Main[[#This Row],[Class]]="A",WORKDAY(Main[[#This Row],[Tech Start Date]],9),""))))</f>
        <v/>
      </c>
      <c r="Q1400" s="129">
        <v>40939</v>
      </c>
      <c r="R1400" s="129">
        <v>40939</v>
      </c>
      <c r="S1400" s="139" t="s">
        <v>17</v>
      </c>
      <c r="T1400" s="115" t="s">
        <v>960</v>
      </c>
      <c r="U1400" s="139" t="s">
        <v>29</v>
      </c>
      <c r="V1400" s="139" t="s">
        <v>1914</v>
      </c>
      <c r="W1400" s="139" t="s">
        <v>1918</v>
      </c>
      <c r="X1400" s="139" t="s">
        <v>922</v>
      </c>
      <c r="Y1400" s="112" t="s">
        <v>2982</v>
      </c>
      <c r="Z1400" s="112" t="s">
        <v>129</v>
      </c>
      <c r="AA1400" s="139" t="s">
        <v>922</v>
      </c>
    </row>
    <row r="1401" spans="1:27" ht="17.25" customHeight="1">
      <c r="A1401" s="69" t="str">
        <f>IF(priority(Main[[#This Row],[Comments]])&lt;&gt;0, priority(Main[[#This Row],[Comments]]),"")</f>
        <v/>
      </c>
      <c r="B1401" s="63" t="s">
        <v>1910</v>
      </c>
      <c r="C1401" s="148" t="s">
        <v>4</v>
      </c>
      <c r="D1401" s="113" t="s">
        <v>961</v>
      </c>
      <c r="E1401" s="129"/>
      <c r="F1401" s="129"/>
      <c r="G1401" s="69" t="str">
        <f>IF(stdProdLT(Main[[#This Row],[Comments]])=0.1,"N/A",IF(stdProdLT(Main[[#This Row],[Comments]])=0,"",stdProdLT(Main[[#This Row],[Comments]])))</f>
        <v/>
      </c>
      <c r="H1401" s="138" t="str">
        <f>IF(Main[[#This Row],[In Stock Date]]="N/A", "N/A",IF(AND(Main[[#This Row],[In Stock Date]]&lt;&gt;"",Main[[#This Row],[Revised Due Date]]&lt;&gt;"",Main[[#This Row],[In Stock Date]]&lt;&gt;""),Main[[#This Row],[In Stock Date]]-Main[[#This Row],[Revised Due Date]],""))</f>
        <v/>
      </c>
      <c r="I1401" s="139" t="s">
        <v>2053</v>
      </c>
      <c r="J1401" s="139" t="s">
        <v>4</v>
      </c>
      <c r="K1401" s="140" t="s">
        <v>1926</v>
      </c>
      <c r="L1401" s="129">
        <v>40549</v>
      </c>
      <c r="M1401" s="114" t="str">
        <f>IF(Main[[#This Row],[Tech Start Date]]&lt;1/1/1990,"",IF(Main[[#This Row],[Class]]="C",WORKDAY(Main[[#This Row],[Tech Start Date]],9),IF(Main[[#This Row],[Class]]="B", WORKDAY(Main[[#This Row],[Tech Start Date]],6),IF(Main[[#This Row],[Class]]="A",WORKDAY(Main[[#This Row],[Tech Start Date]],2),""))))</f>
        <v/>
      </c>
      <c r="N1401" s="114" t="str">
        <f>IF(Main[[#This Row],[Tech Start Date]]&lt;1/1/1990,"",IF(Main[[#This Row],[Class]]="C",WORKDAY(Main[[#This Row],[Tech Start Date]],19),IF(Main[[#This Row],[Class]]="B", WORKDAY(Main[[#This Row],[Tech Start Date]],12),IF(Main[[#This Row],[Class]]="A",WORKDAY(Main[[#This Row],[Tech Start Date]],4),""))))</f>
        <v/>
      </c>
      <c r="O1401" s="114" t="str">
        <f>IF(Main[[#This Row],[Tech Start Date]]&lt;1/1/1990,"",IF(Main[[#This Row],[Class]]="C",WORKDAY(Main[[#This Row],[Tech Start Date]],23),IF(Main[[#This Row],[Class]]="B", WORKDAY(Main[[#This Row],[Tech Start Date]],15),IF(Main[[#This Row],[Class]]="A",WORKDAY(Main[[#This Row],[Tech Start Date]],5),""))))</f>
        <v/>
      </c>
      <c r="P1401" s="114" t="str">
        <f>IF(Main[[#This Row],[Tech Start Date]]&lt;1/1/1990,"",IF(Main[[#This Row],[Class]]="C",WORKDAY(Main[[#This Row],[Tech Start Date]],28),IF(Main[[#This Row],[Class]]="B", WORKDAY(Main[[#This Row],[Tech Start Date]],19),IF(Main[[#This Row],[Class]]="A",WORKDAY(Main[[#This Row],[Tech Start Date]],9),""))))</f>
        <v/>
      </c>
      <c r="Q1401" s="129">
        <v>40939</v>
      </c>
      <c r="R1401" s="129">
        <v>40939</v>
      </c>
      <c r="S1401" s="139" t="s">
        <v>11</v>
      </c>
      <c r="T1401" s="115" t="s">
        <v>4</v>
      </c>
      <c r="U1401" s="139" t="s">
        <v>14</v>
      </c>
      <c r="V1401" s="139" t="s">
        <v>1915</v>
      </c>
      <c r="W1401" s="139" t="s">
        <v>1918</v>
      </c>
      <c r="X1401" s="139" t="s">
        <v>922</v>
      </c>
      <c r="Y1401" s="112" t="s">
        <v>2992</v>
      </c>
      <c r="Z1401" s="112" t="s">
        <v>129</v>
      </c>
      <c r="AA1401" s="139" t="s">
        <v>3426</v>
      </c>
    </row>
    <row r="1402" spans="1:27" ht="17.25" customHeight="1">
      <c r="A1402" s="69" t="str">
        <f>IF(priority(Main[[#This Row],[Comments]])&lt;&gt;0, priority(Main[[#This Row],[Comments]]),"")</f>
        <v/>
      </c>
      <c r="B1402" s="63" t="s">
        <v>1908</v>
      </c>
      <c r="C1402" s="148" t="s">
        <v>4</v>
      </c>
      <c r="D1402" s="113" t="s">
        <v>958</v>
      </c>
      <c r="E1402" s="129"/>
      <c r="F1402" s="129"/>
      <c r="G1402" s="69" t="str">
        <f>IF(stdProdLT(Main[[#This Row],[Comments]])=0.1,"N/A",IF(stdProdLT(Main[[#This Row],[Comments]])=0,"",stdProdLT(Main[[#This Row],[Comments]])))</f>
        <v/>
      </c>
      <c r="H1402" s="138" t="str">
        <f>IF(Main[[#This Row],[In Stock Date]]="N/A", "N/A",IF(AND(Main[[#This Row],[In Stock Date]]&lt;&gt;"",Main[[#This Row],[Revised Due Date]]&lt;&gt;"",Main[[#This Row],[In Stock Date]]&lt;&gt;""),Main[[#This Row],[In Stock Date]]-Main[[#This Row],[Revised Due Date]],""))</f>
        <v/>
      </c>
      <c r="I1402" s="139" t="s">
        <v>877</v>
      </c>
      <c r="J1402" s="139" t="s">
        <v>28</v>
      </c>
      <c r="K1402" s="140" t="s">
        <v>1926</v>
      </c>
      <c r="L1402" s="129">
        <v>40549</v>
      </c>
      <c r="M1402" s="114" t="str">
        <f>IF(Main[[#This Row],[Tech Start Date]]&lt;1/1/1990,"",IF(Main[[#This Row],[Class]]="C",WORKDAY(Main[[#This Row],[Tech Start Date]],9),IF(Main[[#This Row],[Class]]="B", WORKDAY(Main[[#This Row],[Tech Start Date]],6),IF(Main[[#This Row],[Class]]="A",WORKDAY(Main[[#This Row],[Tech Start Date]],2),""))))</f>
        <v/>
      </c>
      <c r="N1402" s="114" t="str">
        <f>IF(Main[[#This Row],[Tech Start Date]]&lt;1/1/1990,"",IF(Main[[#This Row],[Class]]="C",WORKDAY(Main[[#This Row],[Tech Start Date]],19),IF(Main[[#This Row],[Class]]="B", WORKDAY(Main[[#This Row],[Tech Start Date]],12),IF(Main[[#This Row],[Class]]="A",WORKDAY(Main[[#This Row],[Tech Start Date]],4),""))))</f>
        <v/>
      </c>
      <c r="O1402" s="114" t="str">
        <f>IF(Main[[#This Row],[Tech Start Date]]&lt;1/1/1990,"",IF(Main[[#This Row],[Class]]="C",WORKDAY(Main[[#This Row],[Tech Start Date]],23),IF(Main[[#This Row],[Class]]="B", WORKDAY(Main[[#This Row],[Tech Start Date]],15),IF(Main[[#This Row],[Class]]="A",WORKDAY(Main[[#This Row],[Tech Start Date]],5),""))))</f>
        <v/>
      </c>
      <c r="P1402" s="114" t="str">
        <f>IF(Main[[#This Row],[Tech Start Date]]&lt;1/1/1990,"",IF(Main[[#This Row],[Class]]="C",WORKDAY(Main[[#This Row],[Tech Start Date]],28),IF(Main[[#This Row],[Class]]="B", WORKDAY(Main[[#This Row],[Tech Start Date]],19),IF(Main[[#This Row],[Class]]="A",WORKDAY(Main[[#This Row],[Tech Start Date]],9),""))))</f>
        <v/>
      </c>
      <c r="Q1402" s="129">
        <v>40939</v>
      </c>
      <c r="R1402" s="129">
        <v>40939</v>
      </c>
      <c r="S1402" s="139" t="s">
        <v>11</v>
      </c>
      <c r="T1402" s="115" t="s">
        <v>4</v>
      </c>
      <c r="U1402" s="139" t="s">
        <v>14</v>
      </c>
      <c r="V1402" s="139" t="s">
        <v>1914</v>
      </c>
      <c r="W1402" s="139" t="s">
        <v>1918</v>
      </c>
      <c r="X1402" s="139" t="s">
        <v>922</v>
      </c>
      <c r="Y1402" s="112" t="s">
        <v>2992</v>
      </c>
      <c r="Z1402" s="112" t="s">
        <v>129</v>
      </c>
      <c r="AA1402" s="139" t="s">
        <v>3426</v>
      </c>
    </row>
    <row r="1403" spans="1:27" ht="17.25" customHeight="1">
      <c r="A1403" s="69" t="str">
        <f>IF(priority(Main[[#This Row],[Comments]])&lt;&gt;0, priority(Main[[#This Row],[Comments]]),"")</f>
        <v/>
      </c>
      <c r="B1403" s="63" t="s">
        <v>1911</v>
      </c>
      <c r="C1403" s="148" t="s">
        <v>4</v>
      </c>
      <c r="D1403" s="113" t="s">
        <v>962</v>
      </c>
      <c r="E1403" s="129"/>
      <c r="F1403" s="129"/>
      <c r="G1403" s="69" t="str">
        <f>IF(stdProdLT(Main[[#This Row],[Comments]])=0.1,"N/A",IF(stdProdLT(Main[[#This Row],[Comments]])=0,"",stdProdLT(Main[[#This Row],[Comments]])))</f>
        <v/>
      </c>
      <c r="H1403" s="138" t="str">
        <f>IF(Main[[#This Row],[In Stock Date]]="N/A", "N/A",IF(AND(Main[[#This Row],[In Stock Date]]&lt;&gt;"",Main[[#This Row],[Revised Due Date]]&lt;&gt;"",Main[[#This Row],[In Stock Date]]&lt;&gt;""),Main[[#This Row],[In Stock Date]]-Main[[#This Row],[Revised Due Date]],""))</f>
        <v/>
      </c>
      <c r="I1403" s="139" t="s">
        <v>922</v>
      </c>
      <c r="J1403" s="139" t="s">
        <v>4</v>
      </c>
      <c r="K1403" s="139" t="s">
        <v>1926</v>
      </c>
      <c r="L1403" s="129">
        <v>40549</v>
      </c>
      <c r="M1403" s="114" t="str">
        <f>IF(Main[[#This Row],[Tech Start Date]]&lt;1/1/1990,"",IF(Main[[#This Row],[Class]]="C",WORKDAY(Main[[#This Row],[Tech Start Date]],9),IF(Main[[#This Row],[Class]]="B", WORKDAY(Main[[#This Row],[Tech Start Date]],6),IF(Main[[#This Row],[Class]]="A",WORKDAY(Main[[#This Row],[Tech Start Date]],2),""))))</f>
        <v/>
      </c>
      <c r="N1403" s="114" t="str">
        <f>IF(Main[[#This Row],[Tech Start Date]]&lt;1/1/1990,"",IF(Main[[#This Row],[Class]]="C",WORKDAY(Main[[#This Row],[Tech Start Date]],19),IF(Main[[#This Row],[Class]]="B", WORKDAY(Main[[#This Row],[Tech Start Date]],12),IF(Main[[#This Row],[Class]]="A",WORKDAY(Main[[#This Row],[Tech Start Date]],4),""))))</f>
        <v/>
      </c>
      <c r="O1403" s="114" t="str">
        <f>IF(Main[[#This Row],[Tech Start Date]]&lt;1/1/1990,"",IF(Main[[#This Row],[Class]]="C",WORKDAY(Main[[#This Row],[Tech Start Date]],23),IF(Main[[#This Row],[Class]]="B", WORKDAY(Main[[#This Row],[Tech Start Date]],15),IF(Main[[#This Row],[Class]]="A",WORKDAY(Main[[#This Row],[Tech Start Date]],5),""))))</f>
        <v/>
      </c>
      <c r="P1403" s="114" t="str">
        <f>IF(Main[[#This Row],[Tech Start Date]]&lt;1/1/1990,"",IF(Main[[#This Row],[Class]]="C",WORKDAY(Main[[#This Row],[Tech Start Date]],28),IF(Main[[#This Row],[Class]]="B", WORKDAY(Main[[#This Row],[Tech Start Date]],19),IF(Main[[#This Row],[Class]]="A",WORKDAY(Main[[#This Row],[Tech Start Date]],9),""))))</f>
        <v/>
      </c>
      <c r="Q1403" s="129">
        <v>40939</v>
      </c>
      <c r="R1403" s="129">
        <v>40939</v>
      </c>
      <c r="S1403" s="139" t="s">
        <v>11</v>
      </c>
      <c r="T1403" s="115" t="s">
        <v>4</v>
      </c>
      <c r="U1403" s="139" t="s">
        <v>14</v>
      </c>
      <c r="V1403" s="139" t="s">
        <v>1914</v>
      </c>
      <c r="W1403" s="139" t="s">
        <v>1918</v>
      </c>
      <c r="X1403" s="139" t="s">
        <v>922</v>
      </c>
      <c r="Y1403" s="112" t="s">
        <v>2992</v>
      </c>
      <c r="Z1403" s="112" t="s">
        <v>129</v>
      </c>
      <c r="AA1403" s="139" t="s">
        <v>3426</v>
      </c>
    </row>
    <row r="1404" spans="1:27" ht="17.25" customHeight="1">
      <c r="A1404" s="69" t="str">
        <f>IF(priority(Main[[#This Row],[Comments]])&lt;&gt;0, priority(Main[[#This Row],[Comments]]),"")</f>
        <v/>
      </c>
      <c r="B1404" s="63" t="s">
        <v>1866</v>
      </c>
      <c r="C1404" s="148" t="s">
        <v>4</v>
      </c>
      <c r="D1404" s="113" t="s">
        <v>2020</v>
      </c>
      <c r="E1404" s="129">
        <v>40478.350138888891</v>
      </c>
      <c r="F1404" s="129"/>
      <c r="G1404" s="69" t="str">
        <f>IF(stdProdLT(Main[[#This Row],[Comments]])=0.1,"N/A",IF(stdProdLT(Main[[#This Row],[Comments]])=0,"",stdProdLT(Main[[#This Row],[Comments]])))</f>
        <v/>
      </c>
      <c r="H1404" s="138" t="str">
        <f>IF(Main[[#This Row],[In Stock Date]]="N/A", "N/A",IF(AND(Main[[#This Row],[In Stock Date]]&lt;&gt;"",Main[[#This Row],[Revised Due Date]]&lt;&gt;"",Main[[#This Row],[In Stock Date]]&lt;&gt;""),Main[[#This Row],[In Stock Date]]-Main[[#This Row],[Revised Due Date]],""))</f>
        <v/>
      </c>
      <c r="I1404" s="139" t="s">
        <v>922</v>
      </c>
      <c r="J1404" s="139" t="s">
        <v>28</v>
      </c>
      <c r="K1404" s="140" t="s">
        <v>1926</v>
      </c>
      <c r="L1404" s="129">
        <v>40554</v>
      </c>
      <c r="M1404" s="114" t="str">
        <f>IF(Main[[#This Row],[Tech Start Date]]&lt;1/1/1990,"",IF(Main[[#This Row],[Class]]="C",WORKDAY(Main[[#This Row],[Tech Start Date]],9),IF(Main[[#This Row],[Class]]="B", WORKDAY(Main[[#This Row],[Tech Start Date]],6),IF(Main[[#This Row],[Class]]="A",WORKDAY(Main[[#This Row],[Tech Start Date]],2),""))))</f>
        <v/>
      </c>
      <c r="N1404" s="114" t="str">
        <f>IF(Main[[#This Row],[Tech Start Date]]&lt;1/1/1990,"",IF(Main[[#This Row],[Class]]="C",WORKDAY(Main[[#This Row],[Tech Start Date]],19),IF(Main[[#This Row],[Class]]="B", WORKDAY(Main[[#This Row],[Tech Start Date]],12),IF(Main[[#This Row],[Class]]="A",WORKDAY(Main[[#This Row],[Tech Start Date]],4),""))))</f>
        <v/>
      </c>
      <c r="O1404" s="114" t="str">
        <f>IF(Main[[#This Row],[Tech Start Date]]&lt;1/1/1990,"",IF(Main[[#This Row],[Class]]="C",WORKDAY(Main[[#This Row],[Tech Start Date]],23),IF(Main[[#This Row],[Class]]="B", WORKDAY(Main[[#This Row],[Tech Start Date]],15),IF(Main[[#This Row],[Class]]="A",WORKDAY(Main[[#This Row],[Tech Start Date]],5),""))))</f>
        <v/>
      </c>
      <c r="P1404" s="114" t="str">
        <f>IF(Main[[#This Row],[Tech Start Date]]&lt;1/1/1990,"",IF(Main[[#This Row],[Class]]="C",WORKDAY(Main[[#This Row],[Tech Start Date]],28),IF(Main[[#This Row],[Class]]="B", WORKDAY(Main[[#This Row],[Tech Start Date]],19),IF(Main[[#This Row],[Class]]="A",WORKDAY(Main[[#This Row],[Tech Start Date]],9),""))))</f>
        <v/>
      </c>
      <c r="Q1404" s="129">
        <v>40979</v>
      </c>
      <c r="R1404" s="129">
        <v>40979</v>
      </c>
      <c r="S1404" s="139" t="s">
        <v>17</v>
      </c>
      <c r="T1404" s="115" t="s">
        <v>923</v>
      </c>
      <c r="U1404" s="139" t="s">
        <v>29</v>
      </c>
      <c r="V1404" s="139" t="s">
        <v>1929</v>
      </c>
      <c r="W1404" s="139" t="s">
        <v>1918</v>
      </c>
      <c r="X1404" s="139" t="s">
        <v>922</v>
      </c>
      <c r="Y1404" s="112" t="s">
        <v>2982</v>
      </c>
      <c r="Z1404" s="112" t="s">
        <v>2211</v>
      </c>
      <c r="AA1404" s="139" t="s">
        <v>922</v>
      </c>
    </row>
    <row r="1405" spans="1:27" ht="17.25" customHeight="1">
      <c r="A1405" s="69" t="str">
        <f>IF(priority(Main[[#This Row],[Comments]])&lt;&gt;0, priority(Main[[#This Row],[Comments]]),"")</f>
        <v/>
      </c>
      <c r="B1405" s="63" t="s">
        <v>1868</v>
      </c>
      <c r="C1405" s="148" t="s">
        <v>4</v>
      </c>
      <c r="D1405" s="113" t="s">
        <v>925</v>
      </c>
      <c r="E1405" s="129"/>
      <c r="F1405" s="129"/>
      <c r="G1405" s="69" t="str">
        <f>IF(stdProdLT(Main[[#This Row],[Comments]])=0.1,"N/A",IF(stdProdLT(Main[[#This Row],[Comments]])=0,"",stdProdLT(Main[[#This Row],[Comments]])))</f>
        <v/>
      </c>
      <c r="H1405" s="138" t="str">
        <f>IF(Main[[#This Row],[In Stock Date]]="N/A", "N/A",IF(AND(Main[[#This Row],[In Stock Date]]&lt;&gt;"",Main[[#This Row],[Revised Due Date]]&lt;&gt;"",Main[[#This Row],[In Stock Date]]&lt;&gt;""),Main[[#This Row],[In Stock Date]]-Main[[#This Row],[Revised Due Date]],""))</f>
        <v/>
      </c>
      <c r="I1405" s="139" t="s">
        <v>30</v>
      </c>
      <c r="J1405" s="139" t="s">
        <v>52</v>
      </c>
      <c r="K1405" s="139" t="s">
        <v>1923</v>
      </c>
      <c r="L1405" s="129">
        <v>40589</v>
      </c>
      <c r="M1405" s="114">
        <f>IF(Main[[#This Row],[Tech Start Date]]&lt;1/1/1990,"",IF(Main[[#This Row],[Class]]="C",WORKDAY(Main[[#This Row],[Tech Start Date]],9),IF(Main[[#This Row],[Class]]="B", WORKDAY(Main[[#This Row],[Tech Start Date]],6),IF(Main[[#This Row],[Class]]="A",WORKDAY(Main[[#This Row],[Tech Start Date]],2),""))))</f>
        <v>40591</v>
      </c>
      <c r="N1405" s="114">
        <f>IF(Main[[#This Row],[Tech Start Date]]&lt;1/1/1990,"",IF(Main[[#This Row],[Class]]="C",WORKDAY(Main[[#This Row],[Tech Start Date]],19),IF(Main[[#This Row],[Class]]="B", WORKDAY(Main[[#This Row],[Tech Start Date]],12),IF(Main[[#This Row],[Class]]="A",WORKDAY(Main[[#This Row],[Tech Start Date]],4),""))))</f>
        <v>40595</v>
      </c>
      <c r="O1405" s="114">
        <f>IF(Main[[#This Row],[Tech Start Date]]&lt;1/1/1990,"",IF(Main[[#This Row],[Class]]="C",WORKDAY(Main[[#This Row],[Tech Start Date]],23),IF(Main[[#This Row],[Class]]="B", WORKDAY(Main[[#This Row],[Tech Start Date]],15),IF(Main[[#This Row],[Class]]="A",WORKDAY(Main[[#This Row],[Tech Start Date]],5),""))))</f>
        <v>40596</v>
      </c>
      <c r="P1405" s="114">
        <f>IF(Main[[#This Row],[Tech Start Date]]&lt;1/1/1990,"",IF(Main[[#This Row],[Class]]="C",WORKDAY(Main[[#This Row],[Tech Start Date]],28),IF(Main[[#This Row],[Class]]="B", WORKDAY(Main[[#This Row],[Tech Start Date]],19),IF(Main[[#This Row],[Class]]="A",WORKDAY(Main[[#This Row],[Tech Start Date]],9),""))))</f>
        <v>40602</v>
      </c>
      <c r="Q1405" s="129">
        <v>40592</v>
      </c>
      <c r="R1405" s="129">
        <v>40624</v>
      </c>
      <c r="S1405" s="139" t="s">
        <v>6</v>
      </c>
      <c r="T1405" s="115" t="s">
        <v>4</v>
      </c>
      <c r="U1405" s="139" t="s">
        <v>14</v>
      </c>
      <c r="V1405" s="139" t="s">
        <v>1917</v>
      </c>
      <c r="W1405" s="139" t="s">
        <v>1916</v>
      </c>
      <c r="X1405" s="139" t="s">
        <v>30</v>
      </c>
      <c r="Y1405" s="112" t="s">
        <v>3015</v>
      </c>
      <c r="Z1405" s="112" t="s">
        <v>30</v>
      </c>
      <c r="AA1405" s="139" t="s">
        <v>3400</v>
      </c>
    </row>
    <row r="1406" spans="1:27" ht="17.25" customHeight="1">
      <c r="A1406" s="69" t="str">
        <f>IF(priority(Main[[#This Row],[Comments]])&lt;&gt;0, priority(Main[[#This Row],[Comments]]),"")</f>
        <v/>
      </c>
      <c r="B1406" s="63" t="s">
        <v>1865</v>
      </c>
      <c r="C1406" s="148" t="s">
        <v>4</v>
      </c>
      <c r="D1406" s="113" t="s">
        <v>921</v>
      </c>
      <c r="E1406" s="129">
        <v>40590.540578703702</v>
      </c>
      <c r="F1406" s="129"/>
      <c r="G1406" s="69" t="str">
        <f>IF(stdProdLT(Main[[#This Row],[Comments]])=0.1,"N/A",IF(stdProdLT(Main[[#This Row],[Comments]])=0,"",stdProdLT(Main[[#This Row],[Comments]])))</f>
        <v/>
      </c>
      <c r="H1406" s="138" t="str">
        <f>IF(Main[[#This Row],[In Stock Date]]="N/A", "N/A",IF(AND(Main[[#This Row],[In Stock Date]]&lt;&gt;"",Main[[#This Row],[Revised Due Date]]&lt;&gt;"",Main[[#This Row],[In Stock Date]]&lt;&gt;""),Main[[#This Row],[In Stock Date]]-Main[[#This Row],[Revised Due Date]],""))</f>
        <v/>
      </c>
      <c r="I1406" s="139" t="s">
        <v>4</v>
      </c>
      <c r="J1406" s="139" t="s">
        <v>28</v>
      </c>
      <c r="K1406" s="139" t="s">
        <v>1923</v>
      </c>
      <c r="L1406" s="129">
        <v>40590</v>
      </c>
      <c r="M1406" s="114">
        <f>IF(Main[[#This Row],[Tech Start Date]]&lt;1/1/1990,"",IF(Main[[#This Row],[Class]]="C",WORKDAY(Main[[#This Row],[Tech Start Date]],9),IF(Main[[#This Row],[Class]]="B", WORKDAY(Main[[#This Row],[Tech Start Date]],6),IF(Main[[#This Row],[Class]]="A",WORKDAY(Main[[#This Row],[Tech Start Date]],2),""))))</f>
        <v>40592</v>
      </c>
      <c r="N1406" s="114">
        <f>IF(Main[[#This Row],[Tech Start Date]]&lt;1/1/1990,"",IF(Main[[#This Row],[Class]]="C",WORKDAY(Main[[#This Row],[Tech Start Date]],19),IF(Main[[#This Row],[Class]]="B", WORKDAY(Main[[#This Row],[Tech Start Date]],12),IF(Main[[#This Row],[Class]]="A",WORKDAY(Main[[#This Row],[Tech Start Date]],4),""))))</f>
        <v>40596</v>
      </c>
      <c r="O1406" s="114">
        <f>IF(Main[[#This Row],[Tech Start Date]]&lt;1/1/1990,"",IF(Main[[#This Row],[Class]]="C",WORKDAY(Main[[#This Row],[Tech Start Date]],23),IF(Main[[#This Row],[Class]]="B", WORKDAY(Main[[#This Row],[Tech Start Date]],15),IF(Main[[#This Row],[Class]]="A",WORKDAY(Main[[#This Row],[Tech Start Date]],5),""))))</f>
        <v>40597</v>
      </c>
      <c r="P1406" s="114">
        <f>IF(Main[[#This Row],[Tech Start Date]]&lt;1/1/1990,"",IF(Main[[#This Row],[Class]]="C",WORKDAY(Main[[#This Row],[Tech Start Date]],28),IF(Main[[#This Row],[Class]]="B", WORKDAY(Main[[#This Row],[Tech Start Date]],19),IF(Main[[#This Row],[Class]]="A",WORKDAY(Main[[#This Row],[Tech Start Date]],9),""))))</f>
        <v>40603</v>
      </c>
      <c r="Q1406" s="129">
        <v>40618</v>
      </c>
      <c r="R1406" s="129">
        <v>40604</v>
      </c>
      <c r="S1406" s="139" t="s">
        <v>6</v>
      </c>
      <c r="T1406" s="115" t="s">
        <v>4</v>
      </c>
      <c r="U1406" s="139" t="s">
        <v>29</v>
      </c>
      <c r="V1406" s="139" t="s">
        <v>1914</v>
      </c>
      <c r="W1406" s="139" t="s">
        <v>1918</v>
      </c>
      <c r="X1406" s="139" t="s">
        <v>2836</v>
      </c>
      <c r="Y1406" s="112" t="s">
        <v>2965</v>
      </c>
      <c r="Z1406" s="112" t="s">
        <v>4</v>
      </c>
      <c r="AA1406" s="139" t="s">
        <v>2836</v>
      </c>
    </row>
    <row r="1407" spans="1:27" ht="17.25" customHeight="1">
      <c r="A1407" s="69" t="str">
        <f>IF(priority(Main[[#This Row],[Comments]])&lt;&gt;0, priority(Main[[#This Row],[Comments]]),"")</f>
        <v/>
      </c>
      <c r="B1407" s="63" t="s">
        <v>1869</v>
      </c>
      <c r="C1407" s="148" t="s">
        <v>4</v>
      </c>
      <c r="D1407" s="113" t="s">
        <v>2247</v>
      </c>
      <c r="E1407" s="129">
        <v>40577.592002314814</v>
      </c>
      <c r="F1407" s="129"/>
      <c r="G1407" s="69" t="str">
        <f>IF(stdProdLT(Main[[#This Row],[Comments]])=0.1,"N/A",IF(stdProdLT(Main[[#This Row],[Comments]])=0,"",stdProdLT(Main[[#This Row],[Comments]])))</f>
        <v/>
      </c>
      <c r="H1407" s="138" t="str">
        <f>IF(Main[[#This Row],[In Stock Date]]="N/A", "N/A",IF(AND(Main[[#This Row],[In Stock Date]]&lt;&gt;"",Main[[#This Row],[Revised Due Date]]&lt;&gt;"",Main[[#This Row],[In Stock Date]]&lt;&gt;""),Main[[#This Row],[In Stock Date]]-Main[[#This Row],[Revised Due Date]],""))</f>
        <v/>
      </c>
      <c r="I1407" s="139" t="s">
        <v>912</v>
      </c>
      <c r="J1407" s="139" t="s">
        <v>28</v>
      </c>
      <c r="K1407" s="140" t="s">
        <v>1923</v>
      </c>
      <c r="L1407" s="129">
        <v>40591</v>
      </c>
      <c r="M1407" s="114">
        <f>IF(Main[[#This Row],[Tech Start Date]]&lt;1/1/1990,"",IF(Main[[#This Row],[Class]]="C",WORKDAY(Main[[#This Row],[Tech Start Date]],9),IF(Main[[#This Row],[Class]]="B", WORKDAY(Main[[#This Row],[Tech Start Date]],6),IF(Main[[#This Row],[Class]]="A",WORKDAY(Main[[#This Row],[Tech Start Date]],2),""))))</f>
        <v>40595</v>
      </c>
      <c r="N1407" s="114">
        <f>IF(Main[[#This Row],[Tech Start Date]]&lt;1/1/1990,"",IF(Main[[#This Row],[Class]]="C",WORKDAY(Main[[#This Row],[Tech Start Date]],19),IF(Main[[#This Row],[Class]]="B", WORKDAY(Main[[#This Row],[Tech Start Date]],12),IF(Main[[#This Row],[Class]]="A",WORKDAY(Main[[#This Row],[Tech Start Date]],4),""))))</f>
        <v>40597</v>
      </c>
      <c r="O1407" s="114">
        <f>IF(Main[[#This Row],[Tech Start Date]]&lt;1/1/1990,"",IF(Main[[#This Row],[Class]]="C",WORKDAY(Main[[#This Row],[Tech Start Date]],23),IF(Main[[#This Row],[Class]]="B", WORKDAY(Main[[#This Row],[Tech Start Date]],15),IF(Main[[#This Row],[Class]]="A",WORKDAY(Main[[#This Row],[Tech Start Date]],5),""))))</f>
        <v>40598</v>
      </c>
      <c r="P1407" s="114">
        <f>IF(Main[[#This Row],[Tech Start Date]]&lt;1/1/1990,"",IF(Main[[#This Row],[Class]]="C",WORKDAY(Main[[#This Row],[Tech Start Date]],28),IF(Main[[#This Row],[Class]]="B", WORKDAY(Main[[#This Row],[Tech Start Date]],19),IF(Main[[#This Row],[Class]]="A",WORKDAY(Main[[#This Row],[Tech Start Date]],9),""))))</f>
        <v>40604</v>
      </c>
      <c r="Q1407" s="129">
        <v>40626</v>
      </c>
      <c r="R1407" s="129">
        <v>40626</v>
      </c>
      <c r="S1407" s="139" t="s">
        <v>6</v>
      </c>
      <c r="T1407" s="115" t="s">
        <v>4</v>
      </c>
      <c r="U1407" s="139" t="s">
        <v>29</v>
      </c>
      <c r="V1407" s="139" t="s">
        <v>1914</v>
      </c>
      <c r="W1407" s="139" t="s">
        <v>1916</v>
      </c>
      <c r="X1407" s="139" t="s">
        <v>399</v>
      </c>
      <c r="Y1407" s="112" t="s">
        <v>3108</v>
      </c>
      <c r="Z1407" s="112" t="s">
        <v>912</v>
      </c>
      <c r="AA1407" s="139" t="s">
        <v>3374</v>
      </c>
    </row>
    <row r="1408" spans="1:27" ht="17.25" customHeight="1">
      <c r="A1408" s="69" t="str">
        <f>IF(priority(Main[[#This Row],[Comments]])&lt;&gt;0, priority(Main[[#This Row],[Comments]]),"")</f>
        <v/>
      </c>
      <c r="B1408" s="63" t="s">
        <v>1892</v>
      </c>
      <c r="C1408" s="148" t="s">
        <v>947</v>
      </c>
      <c r="D1408" s="113" t="s">
        <v>1960</v>
      </c>
      <c r="E1408" s="129"/>
      <c r="F1408" s="129">
        <v>40709</v>
      </c>
      <c r="G1408" s="69" t="str">
        <f>IF(stdProdLT(Main[[#This Row],[Comments]])=0.1,"N/A",IF(stdProdLT(Main[[#This Row],[Comments]])=0,"",stdProdLT(Main[[#This Row],[Comments]])))</f>
        <v/>
      </c>
      <c r="H1408" s="138">
        <f>IF(Main[[#This Row],[In Stock Date]]="N/A", "N/A",IF(AND(Main[[#This Row],[In Stock Date]]&lt;&gt;"",Main[[#This Row],[Revised Due Date]]&lt;&gt;"",Main[[#This Row],[In Stock Date]]&lt;&gt;""),Main[[#This Row],[In Stock Date]]-Main[[#This Row],[Revised Due Date]],""))</f>
        <v>-44</v>
      </c>
      <c r="I1408" s="139" t="s">
        <v>907</v>
      </c>
      <c r="J1408" s="139" t="s">
        <v>28</v>
      </c>
      <c r="K1408" s="140" t="s">
        <v>1921</v>
      </c>
      <c r="L1408" s="129">
        <v>40612</v>
      </c>
      <c r="M1408" s="114">
        <f>IF(Main[[#This Row],[Tech Start Date]]&lt;1/1/1990,"",IF(Main[[#This Row],[Class]]="C",WORKDAY(Main[[#This Row],[Tech Start Date]],9),IF(Main[[#This Row],[Class]]="B", WORKDAY(Main[[#This Row],[Tech Start Date]],6),IF(Main[[#This Row],[Class]]="A",WORKDAY(Main[[#This Row],[Tech Start Date]],2),""))))</f>
        <v>40620</v>
      </c>
      <c r="N1408" s="114">
        <f>IF(Main[[#This Row],[Tech Start Date]]&lt;1/1/1990,"",IF(Main[[#This Row],[Class]]="C",WORKDAY(Main[[#This Row],[Tech Start Date]],19),IF(Main[[#This Row],[Class]]="B", WORKDAY(Main[[#This Row],[Tech Start Date]],12),IF(Main[[#This Row],[Class]]="A",WORKDAY(Main[[#This Row],[Tech Start Date]],4),""))))</f>
        <v>40630</v>
      </c>
      <c r="O1408" s="114">
        <f>IF(Main[[#This Row],[Tech Start Date]]&lt;1/1/1990,"",IF(Main[[#This Row],[Class]]="C",WORKDAY(Main[[#This Row],[Tech Start Date]],23),IF(Main[[#This Row],[Class]]="B", WORKDAY(Main[[#This Row],[Tech Start Date]],15),IF(Main[[#This Row],[Class]]="A",WORKDAY(Main[[#This Row],[Tech Start Date]],5),""))))</f>
        <v>40633</v>
      </c>
      <c r="P1408" s="114">
        <f>IF(Main[[#This Row],[Tech Start Date]]&lt;1/1/1990,"",IF(Main[[#This Row],[Class]]="C",WORKDAY(Main[[#This Row],[Tech Start Date]],28),IF(Main[[#This Row],[Class]]="B", WORKDAY(Main[[#This Row],[Tech Start Date]],19),IF(Main[[#This Row],[Class]]="A",WORKDAY(Main[[#This Row],[Tech Start Date]],9),""))))</f>
        <v>40639</v>
      </c>
      <c r="Q1408" s="129"/>
      <c r="R1408" s="129">
        <v>40753</v>
      </c>
      <c r="S1408" s="139" t="s">
        <v>11</v>
      </c>
      <c r="T1408" s="115" t="s">
        <v>2001</v>
      </c>
      <c r="U1408" s="139" t="s">
        <v>14</v>
      </c>
      <c r="V1408" s="139" t="s">
        <v>1914</v>
      </c>
      <c r="W1408" s="139" t="s">
        <v>1919</v>
      </c>
      <c r="X1408" s="139" t="s">
        <v>50</v>
      </c>
      <c r="Y1408" s="112" t="s">
        <v>3147</v>
      </c>
      <c r="Z1408" s="112" t="s">
        <v>877</v>
      </c>
      <c r="AA1408" s="139" t="s">
        <v>3471</v>
      </c>
    </row>
    <row r="1409" spans="1:27" ht="17.25" customHeight="1">
      <c r="A1409" s="69" t="str">
        <f>IF(priority(Main[[#This Row],[Comments]])&lt;&gt;0, priority(Main[[#This Row],[Comments]]),"")</f>
        <v/>
      </c>
      <c r="B1409" s="63" t="s">
        <v>1896</v>
      </c>
      <c r="C1409" s="148" t="s">
        <v>949</v>
      </c>
      <c r="D1409" s="113" t="s">
        <v>950</v>
      </c>
      <c r="E1409" s="129"/>
      <c r="F1409" s="129">
        <v>40775</v>
      </c>
      <c r="G1409" s="69" t="str">
        <f>IF(stdProdLT(Main[[#This Row],[Comments]])=0.1,"N/A",IF(stdProdLT(Main[[#This Row],[Comments]])=0,"",stdProdLT(Main[[#This Row],[Comments]])))</f>
        <v/>
      </c>
      <c r="H1409" s="138">
        <f>IF(Main[[#This Row],[In Stock Date]]="N/A", "N/A",IF(AND(Main[[#This Row],[In Stock Date]]&lt;&gt;"",Main[[#This Row],[Revised Due Date]]&lt;&gt;"",Main[[#This Row],[In Stock Date]]&lt;&gt;""),Main[[#This Row],[In Stock Date]]-Main[[#This Row],[Revised Due Date]],""))</f>
        <v>51</v>
      </c>
      <c r="I1409" s="139" t="s">
        <v>889</v>
      </c>
      <c r="J1409" s="139" t="s">
        <v>28</v>
      </c>
      <c r="K1409" s="139" t="s">
        <v>1926</v>
      </c>
      <c r="L1409" s="129">
        <v>40619</v>
      </c>
      <c r="M1409" s="114" t="str">
        <f>IF(Main[[#This Row],[Tech Start Date]]&lt;1/1/1990,"",IF(Main[[#This Row],[Class]]="C",WORKDAY(Main[[#This Row],[Tech Start Date]],9),IF(Main[[#This Row],[Class]]="B", WORKDAY(Main[[#This Row],[Tech Start Date]],6),IF(Main[[#This Row],[Class]]="A",WORKDAY(Main[[#This Row],[Tech Start Date]],2),""))))</f>
        <v/>
      </c>
      <c r="N1409" s="114" t="str">
        <f>IF(Main[[#This Row],[Tech Start Date]]&lt;1/1/1990,"",IF(Main[[#This Row],[Class]]="C",WORKDAY(Main[[#This Row],[Tech Start Date]],19),IF(Main[[#This Row],[Class]]="B", WORKDAY(Main[[#This Row],[Tech Start Date]],12),IF(Main[[#This Row],[Class]]="A",WORKDAY(Main[[#This Row],[Tech Start Date]],4),""))))</f>
        <v/>
      </c>
      <c r="O1409" s="114" t="str">
        <f>IF(Main[[#This Row],[Tech Start Date]]&lt;1/1/1990,"",IF(Main[[#This Row],[Class]]="C",WORKDAY(Main[[#This Row],[Tech Start Date]],23),IF(Main[[#This Row],[Class]]="B", WORKDAY(Main[[#This Row],[Tech Start Date]],15),IF(Main[[#This Row],[Class]]="A",WORKDAY(Main[[#This Row],[Tech Start Date]],5),""))))</f>
        <v/>
      </c>
      <c r="P1409" s="114" t="str">
        <f>IF(Main[[#This Row],[Tech Start Date]]&lt;1/1/1990,"",IF(Main[[#This Row],[Class]]="C",WORKDAY(Main[[#This Row],[Tech Start Date]],28),IF(Main[[#This Row],[Class]]="B", WORKDAY(Main[[#This Row],[Tech Start Date]],19),IF(Main[[#This Row],[Class]]="A",WORKDAY(Main[[#This Row],[Tech Start Date]],9),""))))</f>
        <v/>
      </c>
      <c r="Q1409" s="129">
        <v>40635</v>
      </c>
      <c r="R1409" s="129">
        <v>40724</v>
      </c>
      <c r="S1409" s="139" t="s">
        <v>11</v>
      </c>
      <c r="T1409" s="115" t="s">
        <v>4</v>
      </c>
      <c r="U1409" s="139" t="s">
        <v>14</v>
      </c>
      <c r="V1409" s="139" t="s">
        <v>1915</v>
      </c>
      <c r="W1409" s="139" t="s">
        <v>1922</v>
      </c>
      <c r="X1409" s="139" t="s">
        <v>2904</v>
      </c>
      <c r="Y1409" s="112" t="s">
        <v>4</v>
      </c>
      <c r="Z1409" s="112" t="s">
        <v>877</v>
      </c>
      <c r="AA1409" s="139" t="s">
        <v>2904</v>
      </c>
    </row>
    <row r="1410" spans="1:27" ht="17.25" customHeight="1">
      <c r="A1410" s="69" t="str">
        <f>IF(priority(Main[[#This Row],[Comments]])&lt;&gt;0, priority(Main[[#This Row],[Comments]]),"")</f>
        <v/>
      </c>
      <c r="B1410" s="63" t="s">
        <v>1888</v>
      </c>
      <c r="C1410" s="148" t="s">
        <v>116</v>
      </c>
      <c r="D1410" s="113" t="s">
        <v>943</v>
      </c>
      <c r="E1410" s="129"/>
      <c r="F1410" s="129">
        <v>40725</v>
      </c>
      <c r="G1410" s="69" t="str">
        <f>IF(stdProdLT(Main[[#This Row],[Comments]])=0.1,"N/A",IF(stdProdLT(Main[[#This Row],[Comments]])=0,"",stdProdLT(Main[[#This Row],[Comments]])))</f>
        <v/>
      </c>
      <c r="H1410" s="138">
        <f>IF(Main[[#This Row],[In Stock Date]]="N/A", "N/A",IF(AND(Main[[#This Row],[In Stock Date]]&lt;&gt;"",Main[[#This Row],[Revised Due Date]]&lt;&gt;"",Main[[#This Row],[In Stock Date]]&lt;&gt;""),Main[[#This Row],[In Stock Date]]-Main[[#This Row],[Revised Due Date]],""))</f>
        <v>11</v>
      </c>
      <c r="I1410" s="139" t="s">
        <v>171</v>
      </c>
      <c r="J1410" s="139" t="s">
        <v>28</v>
      </c>
      <c r="K1410" s="139" t="s">
        <v>1923</v>
      </c>
      <c r="L1410" s="129">
        <v>40623</v>
      </c>
      <c r="M1410" s="114">
        <f>IF(Main[[#This Row],[Tech Start Date]]&lt;1/1/1990,"",IF(Main[[#This Row],[Class]]="C",WORKDAY(Main[[#This Row],[Tech Start Date]],9),IF(Main[[#This Row],[Class]]="B", WORKDAY(Main[[#This Row],[Tech Start Date]],6),IF(Main[[#This Row],[Class]]="A",WORKDAY(Main[[#This Row],[Tech Start Date]],2),""))))</f>
        <v>40625</v>
      </c>
      <c r="N1410" s="114">
        <f>IF(Main[[#This Row],[Tech Start Date]]&lt;1/1/1990,"",IF(Main[[#This Row],[Class]]="C",WORKDAY(Main[[#This Row],[Tech Start Date]],19),IF(Main[[#This Row],[Class]]="B", WORKDAY(Main[[#This Row],[Tech Start Date]],12),IF(Main[[#This Row],[Class]]="A",WORKDAY(Main[[#This Row],[Tech Start Date]],4),""))))</f>
        <v>40627</v>
      </c>
      <c r="O1410" s="114">
        <f>IF(Main[[#This Row],[Tech Start Date]]&lt;1/1/1990,"",IF(Main[[#This Row],[Class]]="C",WORKDAY(Main[[#This Row],[Tech Start Date]],23),IF(Main[[#This Row],[Class]]="B", WORKDAY(Main[[#This Row],[Tech Start Date]],15),IF(Main[[#This Row],[Class]]="A",WORKDAY(Main[[#This Row],[Tech Start Date]],5),""))))</f>
        <v>40630</v>
      </c>
      <c r="P1410" s="114">
        <f>IF(Main[[#This Row],[Tech Start Date]]&lt;1/1/1990,"",IF(Main[[#This Row],[Class]]="C",WORKDAY(Main[[#This Row],[Tech Start Date]],28),IF(Main[[#This Row],[Class]]="B", WORKDAY(Main[[#This Row],[Tech Start Date]],19),IF(Main[[#This Row],[Class]]="A",WORKDAY(Main[[#This Row],[Tech Start Date]],9),""))))</f>
        <v>40634</v>
      </c>
      <c r="Q1410" s="129">
        <v>40714</v>
      </c>
      <c r="R1410" s="129">
        <v>40714</v>
      </c>
      <c r="S1410" s="139" t="s">
        <v>11</v>
      </c>
      <c r="T1410" s="115" t="s">
        <v>944</v>
      </c>
      <c r="U1410" s="139" t="s">
        <v>14</v>
      </c>
      <c r="V1410" s="139" t="s">
        <v>1917</v>
      </c>
      <c r="W1410" s="139" t="s">
        <v>1919</v>
      </c>
      <c r="X1410" s="139" t="s">
        <v>2845</v>
      </c>
      <c r="Y1410" s="112" t="s">
        <v>3065</v>
      </c>
      <c r="Z1410" s="112" t="s">
        <v>171</v>
      </c>
      <c r="AA1410" s="139" t="s">
        <v>2845</v>
      </c>
    </row>
    <row r="1411" spans="1:27" ht="17.25" customHeight="1">
      <c r="A1411" s="69" t="str">
        <f>IF(priority(Main[[#This Row],[Comments]])&lt;&gt;0, priority(Main[[#This Row],[Comments]]),"")</f>
        <v/>
      </c>
      <c r="B1411" s="63" t="s">
        <v>1436</v>
      </c>
      <c r="C1411" s="148" t="s">
        <v>4</v>
      </c>
      <c r="D1411" s="113" t="s">
        <v>514</v>
      </c>
      <c r="E1411" s="129">
        <v>40623.553414351853</v>
      </c>
      <c r="F1411" s="129"/>
      <c r="G1411" s="69" t="str">
        <f>IF(stdProdLT(Main[[#This Row],[Comments]])=0.1,"N/A",IF(stdProdLT(Main[[#This Row],[Comments]])=0,"",stdProdLT(Main[[#This Row],[Comments]])))</f>
        <v/>
      </c>
      <c r="H1411" s="138" t="str">
        <f>IF(Main[[#This Row],[In Stock Date]]="N/A", "N/A",IF(AND(Main[[#This Row],[In Stock Date]]&lt;&gt;"",Main[[#This Row],[Revised Due Date]]&lt;&gt;"",Main[[#This Row],[In Stock Date]]&lt;&gt;""),Main[[#This Row],[In Stock Date]]-Main[[#This Row],[Revised Due Date]],""))</f>
        <v/>
      </c>
      <c r="I1411" s="139" t="s">
        <v>30</v>
      </c>
      <c r="J1411" s="139" t="s">
        <v>21</v>
      </c>
      <c r="K1411" s="139" t="s">
        <v>1923</v>
      </c>
      <c r="L1411" s="129">
        <v>40623</v>
      </c>
      <c r="M1411" s="114">
        <f>IF(Main[[#This Row],[Tech Start Date]]&lt;1/1/1990,"",IF(Main[[#This Row],[Class]]="C",WORKDAY(Main[[#This Row],[Tech Start Date]],9),IF(Main[[#This Row],[Class]]="B", WORKDAY(Main[[#This Row],[Tech Start Date]],6),IF(Main[[#This Row],[Class]]="A",WORKDAY(Main[[#This Row],[Tech Start Date]],2),""))))</f>
        <v>40625</v>
      </c>
      <c r="N1411" s="114">
        <f>IF(Main[[#This Row],[Tech Start Date]]&lt;1/1/1990,"",IF(Main[[#This Row],[Class]]="C",WORKDAY(Main[[#This Row],[Tech Start Date]],19),IF(Main[[#This Row],[Class]]="B", WORKDAY(Main[[#This Row],[Tech Start Date]],12),IF(Main[[#This Row],[Class]]="A",WORKDAY(Main[[#This Row],[Tech Start Date]],4),""))))</f>
        <v>40627</v>
      </c>
      <c r="O1411" s="114">
        <f>IF(Main[[#This Row],[Tech Start Date]]&lt;1/1/1990,"",IF(Main[[#This Row],[Class]]="C",WORKDAY(Main[[#This Row],[Tech Start Date]],23),IF(Main[[#This Row],[Class]]="B", WORKDAY(Main[[#This Row],[Tech Start Date]],15),IF(Main[[#This Row],[Class]]="A",WORKDAY(Main[[#This Row],[Tech Start Date]],5),""))))</f>
        <v>40630</v>
      </c>
      <c r="P1411" s="114">
        <f>IF(Main[[#This Row],[Tech Start Date]]&lt;1/1/1990,"",IF(Main[[#This Row],[Class]]="C",WORKDAY(Main[[#This Row],[Tech Start Date]],28),IF(Main[[#This Row],[Class]]="B", WORKDAY(Main[[#This Row],[Tech Start Date]],19),IF(Main[[#This Row],[Class]]="A",WORKDAY(Main[[#This Row],[Tech Start Date]],9),""))))</f>
        <v>40634</v>
      </c>
      <c r="Q1411" s="129">
        <v>40662</v>
      </c>
      <c r="R1411" s="129"/>
      <c r="S1411" s="139" t="s">
        <v>6</v>
      </c>
      <c r="T1411" s="115" t="s">
        <v>4</v>
      </c>
      <c r="U1411" s="139" t="s">
        <v>29</v>
      </c>
      <c r="V1411" s="139" t="s">
        <v>1924</v>
      </c>
      <c r="W1411" s="139" t="s">
        <v>1918</v>
      </c>
      <c r="X1411" s="139" t="s">
        <v>30</v>
      </c>
      <c r="Y1411" s="112" t="s">
        <v>2957</v>
      </c>
      <c r="Z1411" s="112" t="s">
        <v>30</v>
      </c>
      <c r="AA1411" s="139" t="s">
        <v>30</v>
      </c>
    </row>
    <row r="1412" spans="1:27" ht="17.25" customHeight="1">
      <c r="A1412" s="69" t="str">
        <f>IF(priority(Main[[#This Row],[Comments]])&lt;&gt;0, priority(Main[[#This Row],[Comments]]),"")</f>
        <v/>
      </c>
      <c r="B1412" s="63" t="s">
        <v>1874</v>
      </c>
      <c r="C1412" s="148" t="s">
        <v>31</v>
      </c>
      <c r="D1412" s="113" t="s">
        <v>927</v>
      </c>
      <c r="E1412" s="129"/>
      <c r="F1412" s="129">
        <v>40725</v>
      </c>
      <c r="G1412" s="69" t="str">
        <f>IF(stdProdLT(Main[[#This Row],[Comments]])=0.1,"N/A",IF(stdProdLT(Main[[#This Row],[Comments]])=0,"",stdProdLT(Main[[#This Row],[Comments]])))</f>
        <v/>
      </c>
      <c r="H1412" s="138">
        <f>IF(Main[[#This Row],[In Stock Date]]="N/A", "N/A",IF(AND(Main[[#This Row],[In Stock Date]]&lt;&gt;"",Main[[#This Row],[Revised Due Date]]&lt;&gt;"",Main[[#This Row],[In Stock Date]]&lt;&gt;""),Main[[#This Row],[In Stock Date]]-Main[[#This Row],[Revised Due Date]],""))</f>
        <v>66</v>
      </c>
      <c r="I1412" s="139" t="s">
        <v>171</v>
      </c>
      <c r="J1412" s="139" t="s">
        <v>28</v>
      </c>
      <c r="K1412" s="139" t="s">
        <v>1923</v>
      </c>
      <c r="L1412" s="129">
        <v>40623</v>
      </c>
      <c r="M1412" s="114">
        <f>IF(Main[[#This Row],[Tech Start Date]]&lt;1/1/1990,"",IF(Main[[#This Row],[Class]]="C",WORKDAY(Main[[#This Row],[Tech Start Date]],9),IF(Main[[#This Row],[Class]]="B", WORKDAY(Main[[#This Row],[Tech Start Date]],6),IF(Main[[#This Row],[Class]]="A",WORKDAY(Main[[#This Row],[Tech Start Date]],2),""))))</f>
        <v>40625</v>
      </c>
      <c r="N1412" s="114">
        <f>IF(Main[[#This Row],[Tech Start Date]]&lt;1/1/1990,"",IF(Main[[#This Row],[Class]]="C",WORKDAY(Main[[#This Row],[Tech Start Date]],19),IF(Main[[#This Row],[Class]]="B", WORKDAY(Main[[#This Row],[Tech Start Date]],12),IF(Main[[#This Row],[Class]]="A",WORKDAY(Main[[#This Row],[Tech Start Date]],4),""))))</f>
        <v>40627</v>
      </c>
      <c r="O1412" s="114">
        <f>IF(Main[[#This Row],[Tech Start Date]]&lt;1/1/1990,"",IF(Main[[#This Row],[Class]]="C",WORKDAY(Main[[#This Row],[Tech Start Date]],23),IF(Main[[#This Row],[Class]]="B", WORKDAY(Main[[#This Row],[Tech Start Date]],15),IF(Main[[#This Row],[Class]]="A",WORKDAY(Main[[#This Row],[Tech Start Date]],5),""))))</f>
        <v>40630</v>
      </c>
      <c r="P1412" s="114">
        <f>IF(Main[[#This Row],[Tech Start Date]]&lt;1/1/1990,"",IF(Main[[#This Row],[Class]]="C",WORKDAY(Main[[#This Row],[Tech Start Date]],28),IF(Main[[#This Row],[Class]]="B", WORKDAY(Main[[#This Row],[Tech Start Date]],19),IF(Main[[#This Row],[Class]]="A",WORKDAY(Main[[#This Row],[Tech Start Date]],9),""))))</f>
        <v>40634</v>
      </c>
      <c r="Q1412" s="129">
        <v>40659</v>
      </c>
      <c r="R1412" s="129">
        <v>40659</v>
      </c>
      <c r="S1412" s="139" t="s">
        <v>11</v>
      </c>
      <c r="T1412" s="115" t="s">
        <v>4</v>
      </c>
      <c r="U1412" s="139" t="s">
        <v>14</v>
      </c>
      <c r="V1412" s="139" t="s">
        <v>1917</v>
      </c>
      <c r="W1412" s="139" t="s">
        <v>1920</v>
      </c>
      <c r="X1412" s="139" t="s">
        <v>2845</v>
      </c>
      <c r="Y1412" s="112" t="s">
        <v>3065</v>
      </c>
      <c r="Z1412" s="112" t="s">
        <v>171</v>
      </c>
      <c r="AA1412" s="139" t="s">
        <v>2845</v>
      </c>
    </row>
    <row r="1413" spans="1:27" ht="17.25" customHeight="1">
      <c r="A1413" s="69" t="str">
        <f>IF(priority(Main[[#This Row],[Comments]])&lt;&gt;0, priority(Main[[#This Row],[Comments]]),"")</f>
        <v/>
      </c>
      <c r="B1413" s="63" t="s">
        <v>1876</v>
      </c>
      <c r="C1413" s="148" t="s">
        <v>4</v>
      </c>
      <c r="D1413" s="113" t="s">
        <v>3783</v>
      </c>
      <c r="E1413" s="129">
        <v>40624.55673611111</v>
      </c>
      <c r="F1413" s="129"/>
      <c r="G1413" s="69" t="str">
        <f>IF(stdProdLT(Main[[#This Row],[Comments]])=0.1,"N/A",IF(stdProdLT(Main[[#This Row],[Comments]])=0,"",stdProdLT(Main[[#This Row],[Comments]])))</f>
        <v/>
      </c>
      <c r="H1413" s="138" t="str">
        <f>IF(Main[[#This Row],[In Stock Date]]="N/A", "N/A",IF(AND(Main[[#This Row],[In Stock Date]]&lt;&gt;"",Main[[#This Row],[Revised Due Date]]&lt;&gt;"",Main[[#This Row],[In Stock Date]]&lt;&gt;""),Main[[#This Row],[In Stock Date]]-Main[[#This Row],[Revised Due Date]],""))</f>
        <v/>
      </c>
      <c r="I1413" s="139" t="s">
        <v>69</v>
      </c>
      <c r="J1413" s="139" t="s">
        <v>70</v>
      </c>
      <c r="K1413" s="139" t="s">
        <v>1923</v>
      </c>
      <c r="L1413" s="129">
        <v>40638</v>
      </c>
      <c r="M1413" s="114">
        <f>IF(Main[[#This Row],[Tech Start Date]]&lt;1/1/1990,"",IF(Main[[#This Row],[Class]]="C",WORKDAY(Main[[#This Row],[Tech Start Date]],9),IF(Main[[#This Row],[Class]]="B", WORKDAY(Main[[#This Row],[Tech Start Date]],6),IF(Main[[#This Row],[Class]]="A",WORKDAY(Main[[#This Row],[Tech Start Date]],2),""))))</f>
        <v>40640</v>
      </c>
      <c r="N1413" s="114">
        <f>IF(Main[[#This Row],[Tech Start Date]]&lt;1/1/1990,"",IF(Main[[#This Row],[Class]]="C",WORKDAY(Main[[#This Row],[Tech Start Date]],19),IF(Main[[#This Row],[Class]]="B", WORKDAY(Main[[#This Row],[Tech Start Date]],12),IF(Main[[#This Row],[Class]]="A",WORKDAY(Main[[#This Row],[Tech Start Date]],4),""))))</f>
        <v>40644</v>
      </c>
      <c r="O1413" s="114">
        <f>IF(Main[[#This Row],[Tech Start Date]]&lt;1/1/1990,"",IF(Main[[#This Row],[Class]]="C",WORKDAY(Main[[#This Row],[Tech Start Date]],23),IF(Main[[#This Row],[Class]]="B", WORKDAY(Main[[#This Row],[Tech Start Date]],15),IF(Main[[#This Row],[Class]]="A",WORKDAY(Main[[#This Row],[Tech Start Date]],5),""))))</f>
        <v>40645</v>
      </c>
      <c r="P1413" s="114">
        <f>IF(Main[[#This Row],[Tech Start Date]]&lt;1/1/1990,"",IF(Main[[#This Row],[Class]]="C",WORKDAY(Main[[#This Row],[Tech Start Date]],28),IF(Main[[#This Row],[Class]]="B", WORKDAY(Main[[#This Row],[Tech Start Date]],19),IF(Main[[#This Row],[Class]]="A",WORKDAY(Main[[#This Row],[Tech Start Date]],9),""))))</f>
        <v>40651</v>
      </c>
      <c r="Q1413" s="129"/>
      <c r="R1413" s="129">
        <v>40675</v>
      </c>
      <c r="S1413" s="139" t="s">
        <v>6</v>
      </c>
      <c r="T1413" s="115" t="s">
        <v>4</v>
      </c>
      <c r="U1413" s="139" t="s">
        <v>29</v>
      </c>
      <c r="V1413" s="139" t="s">
        <v>1917</v>
      </c>
      <c r="W1413" s="139" t="s">
        <v>1918</v>
      </c>
      <c r="X1413" s="139" t="s">
        <v>2920</v>
      </c>
      <c r="Y1413" s="112" t="s">
        <v>3148</v>
      </c>
      <c r="Z1413" s="112" t="s">
        <v>30</v>
      </c>
      <c r="AA1413" s="139" t="s">
        <v>2920</v>
      </c>
    </row>
    <row r="1414" spans="1:27" ht="17.25" customHeight="1">
      <c r="A1414" s="69" t="str">
        <f>IF(priority(Main[[#This Row],[Comments]])&lt;&gt;0, priority(Main[[#This Row],[Comments]]),"")</f>
        <v/>
      </c>
      <c r="B1414" s="63" t="s">
        <v>1872</v>
      </c>
      <c r="C1414" s="148" t="s">
        <v>4</v>
      </c>
      <c r="D1414" s="113" t="s">
        <v>2606</v>
      </c>
      <c r="E1414" s="129">
        <v>40627.819594907407</v>
      </c>
      <c r="F1414" s="129"/>
      <c r="G1414" s="69" t="str">
        <f>IF(stdProdLT(Main[[#This Row],[Comments]])=0.1,"N/A",IF(stdProdLT(Main[[#This Row],[Comments]])=0,"",stdProdLT(Main[[#This Row],[Comments]])))</f>
        <v/>
      </c>
      <c r="H1414" s="138" t="str">
        <f>IF(Main[[#This Row],[In Stock Date]]="N/A", "N/A",IF(AND(Main[[#This Row],[In Stock Date]]&lt;&gt;"",Main[[#This Row],[Revised Due Date]]&lt;&gt;"",Main[[#This Row],[In Stock Date]]&lt;&gt;""),Main[[#This Row],[In Stock Date]]-Main[[#This Row],[Revised Due Date]],""))</f>
        <v/>
      </c>
      <c r="I1414" s="139" t="s">
        <v>30</v>
      </c>
      <c r="J1414" s="139" t="s">
        <v>75</v>
      </c>
      <c r="K1414" s="139" t="s">
        <v>1923</v>
      </c>
      <c r="L1414" s="129">
        <v>40639</v>
      </c>
      <c r="M1414" s="114">
        <f>IF(Main[[#This Row],[Tech Start Date]]&lt;1/1/1990,"",IF(Main[[#This Row],[Class]]="C",WORKDAY(Main[[#This Row],[Tech Start Date]],9),IF(Main[[#This Row],[Class]]="B", WORKDAY(Main[[#This Row],[Tech Start Date]],6),IF(Main[[#This Row],[Class]]="A",WORKDAY(Main[[#This Row],[Tech Start Date]],2),""))))</f>
        <v>40641</v>
      </c>
      <c r="N1414" s="114">
        <f>IF(Main[[#This Row],[Tech Start Date]]&lt;1/1/1990,"",IF(Main[[#This Row],[Class]]="C",WORKDAY(Main[[#This Row],[Tech Start Date]],19),IF(Main[[#This Row],[Class]]="B", WORKDAY(Main[[#This Row],[Tech Start Date]],12),IF(Main[[#This Row],[Class]]="A",WORKDAY(Main[[#This Row],[Tech Start Date]],4),""))))</f>
        <v>40645</v>
      </c>
      <c r="O1414" s="114">
        <f>IF(Main[[#This Row],[Tech Start Date]]&lt;1/1/1990,"",IF(Main[[#This Row],[Class]]="C",WORKDAY(Main[[#This Row],[Tech Start Date]],23),IF(Main[[#This Row],[Class]]="B", WORKDAY(Main[[#This Row],[Tech Start Date]],15),IF(Main[[#This Row],[Class]]="A",WORKDAY(Main[[#This Row],[Tech Start Date]],5),""))))</f>
        <v>40646</v>
      </c>
      <c r="P1414" s="114">
        <f>IF(Main[[#This Row],[Tech Start Date]]&lt;1/1/1990,"",IF(Main[[#This Row],[Class]]="C",WORKDAY(Main[[#This Row],[Tech Start Date]],28),IF(Main[[#This Row],[Class]]="B", WORKDAY(Main[[#This Row],[Tech Start Date]],19),IF(Main[[#This Row],[Class]]="A",WORKDAY(Main[[#This Row],[Tech Start Date]],9),""))))</f>
        <v>40652</v>
      </c>
      <c r="Q1414" s="129">
        <v>40659</v>
      </c>
      <c r="R1414" s="129">
        <v>40646</v>
      </c>
      <c r="S1414" s="139" t="s">
        <v>6</v>
      </c>
      <c r="T1414" s="115" t="s">
        <v>4</v>
      </c>
      <c r="U1414" s="139" t="s">
        <v>29</v>
      </c>
      <c r="V1414" s="139" t="s">
        <v>1917</v>
      </c>
      <c r="W1414" s="139" t="s">
        <v>1918</v>
      </c>
      <c r="X1414" s="139" t="s">
        <v>30</v>
      </c>
      <c r="Y1414" s="112" t="s">
        <v>2957</v>
      </c>
      <c r="Z1414" s="112" t="s">
        <v>30</v>
      </c>
      <c r="AA1414" s="139" t="s">
        <v>30</v>
      </c>
    </row>
    <row r="1415" spans="1:27" ht="17.25" customHeight="1">
      <c r="A1415" s="69" t="str">
        <f>IF(priority(Main[[#This Row],[Comments]])&lt;&gt;0, priority(Main[[#This Row],[Comments]]),"")</f>
        <v/>
      </c>
      <c r="B1415" s="63" t="s">
        <v>1879</v>
      </c>
      <c r="C1415" s="148" t="s">
        <v>4</v>
      </c>
      <c r="D1415" s="113" t="s">
        <v>2134</v>
      </c>
      <c r="E1415" s="129"/>
      <c r="F1415" s="129"/>
      <c r="G1415" s="69" t="str">
        <f>IF(stdProdLT(Main[[#This Row],[Comments]])=0.1,"N/A",IF(stdProdLT(Main[[#This Row],[Comments]])=0,"",stdProdLT(Main[[#This Row],[Comments]])))</f>
        <v/>
      </c>
      <c r="H1415" s="138" t="str">
        <f>IF(Main[[#This Row],[In Stock Date]]="N/A", "N/A",IF(AND(Main[[#This Row],[In Stock Date]]&lt;&gt;"",Main[[#This Row],[Revised Due Date]]&lt;&gt;"",Main[[#This Row],[In Stock Date]]&lt;&gt;""),Main[[#This Row],[In Stock Date]]-Main[[#This Row],[Revised Due Date]],""))</f>
        <v/>
      </c>
      <c r="I1415" s="139" t="s">
        <v>306</v>
      </c>
      <c r="J1415" s="139" t="s">
        <v>75</v>
      </c>
      <c r="K1415" s="139" t="s">
        <v>1923</v>
      </c>
      <c r="L1415" s="129">
        <v>40651</v>
      </c>
      <c r="M1415" s="114">
        <f>IF(Main[[#This Row],[Tech Start Date]]&lt;1/1/1990,"",IF(Main[[#This Row],[Class]]="C",WORKDAY(Main[[#This Row],[Tech Start Date]],9),IF(Main[[#This Row],[Class]]="B", WORKDAY(Main[[#This Row],[Tech Start Date]],6),IF(Main[[#This Row],[Class]]="A",WORKDAY(Main[[#This Row],[Tech Start Date]],2),""))))</f>
        <v>40653</v>
      </c>
      <c r="N1415" s="114">
        <f>IF(Main[[#This Row],[Tech Start Date]]&lt;1/1/1990,"",IF(Main[[#This Row],[Class]]="C",WORKDAY(Main[[#This Row],[Tech Start Date]],19),IF(Main[[#This Row],[Class]]="B", WORKDAY(Main[[#This Row],[Tech Start Date]],12),IF(Main[[#This Row],[Class]]="A",WORKDAY(Main[[#This Row],[Tech Start Date]],4),""))))</f>
        <v>40655</v>
      </c>
      <c r="O1415" s="114">
        <f>IF(Main[[#This Row],[Tech Start Date]]&lt;1/1/1990,"",IF(Main[[#This Row],[Class]]="C",WORKDAY(Main[[#This Row],[Tech Start Date]],23),IF(Main[[#This Row],[Class]]="B", WORKDAY(Main[[#This Row],[Tech Start Date]],15),IF(Main[[#This Row],[Class]]="A",WORKDAY(Main[[#This Row],[Tech Start Date]],5),""))))</f>
        <v>40658</v>
      </c>
      <c r="P1415" s="114">
        <f>IF(Main[[#This Row],[Tech Start Date]]&lt;1/1/1990,"",IF(Main[[#This Row],[Class]]="C",WORKDAY(Main[[#This Row],[Tech Start Date]],28),IF(Main[[#This Row],[Class]]="B", WORKDAY(Main[[#This Row],[Tech Start Date]],19),IF(Main[[#This Row],[Class]]="A",WORKDAY(Main[[#This Row],[Tech Start Date]],9),""))))</f>
        <v>40662</v>
      </c>
      <c r="Q1415" s="129">
        <v>40480</v>
      </c>
      <c r="R1415" s="129">
        <v>40689</v>
      </c>
      <c r="S1415" s="139" t="s">
        <v>6</v>
      </c>
      <c r="T1415" s="115" t="s">
        <v>4</v>
      </c>
      <c r="U1415" s="139" t="s">
        <v>14</v>
      </c>
      <c r="V1415" s="139" t="s">
        <v>1924</v>
      </c>
      <c r="W1415" s="139" t="s">
        <v>1918</v>
      </c>
      <c r="X1415" s="139" t="s">
        <v>2818</v>
      </c>
      <c r="Y1415" s="112" t="s">
        <v>2929</v>
      </c>
      <c r="Z1415" s="112" t="s">
        <v>30</v>
      </c>
      <c r="AA1415" s="139" t="s">
        <v>2818</v>
      </c>
    </row>
    <row r="1416" spans="1:27" ht="17.25" customHeight="1">
      <c r="A1416" s="69" t="str">
        <f>IF(priority(Main[[#This Row],[Comments]])&lt;&gt;0, priority(Main[[#This Row],[Comments]]),"")</f>
        <v/>
      </c>
      <c r="B1416" s="63" t="s">
        <v>1878</v>
      </c>
      <c r="C1416" s="148" t="s">
        <v>4</v>
      </c>
      <c r="D1416" s="113" t="s">
        <v>930</v>
      </c>
      <c r="E1416" s="129"/>
      <c r="F1416" s="129"/>
      <c r="G1416" s="69" t="str">
        <f>IF(stdProdLT(Main[[#This Row],[Comments]])=0.1,"N/A",IF(stdProdLT(Main[[#This Row],[Comments]])=0,"",stdProdLT(Main[[#This Row],[Comments]])))</f>
        <v/>
      </c>
      <c r="H1416" s="138" t="str">
        <f>IF(Main[[#This Row],[In Stock Date]]="N/A", "N/A",IF(AND(Main[[#This Row],[In Stock Date]]&lt;&gt;"",Main[[#This Row],[Revised Due Date]]&lt;&gt;"",Main[[#This Row],[In Stock Date]]&lt;&gt;""),Main[[#This Row],[In Stock Date]]-Main[[#This Row],[Revised Due Date]],""))</f>
        <v/>
      </c>
      <c r="I1416" s="139" t="s">
        <v>44</v>
      </c>
      <c r="J1416" s="139" t="s">
        <v>28</v>
      </c>
      <c r="K1416" s="139" t="s">
        <v>1923</v>
      </c>
      <c r="L1416" s="129">
        <v>40651</v>
      </c>
      <c r="M1416" s="114">
        <f>IF(Main[[#This Row],[Tech Start Date]]&lt;1/1/1990,"",IF(Main[[#This Row],[Class]]="C",WORKDAY(Main[[#This Row],[Tech Start Date]],9),IF(Main[[#This Row],[Class]]="B", WORKDAY(Main[[#This Row],[Tech Start Date]],6),IF(Main[[#This Row],[Class]]="A",WORKDAY(Main[[#This Row],[Tech Start Date]],2),""))))</f>
        <v>40653</v>
      </c>
      <c r="N1416" s="114">
        <f>IF(Main[[#This Row],[Tech Start Date]]&lt;1/1/1990,"",IF(Main[[#This Row],[Class]]="C",WORKDAY(Main[[#This Row],[Tech Start Date]],19),IF(Main[[#This Row],[Class]]="B", WORKDAY(Main[[#This Row],[Tech Start Date]],12),IF(Main[[#This Row],[Class]]="A",WORKDAY(Main[[#This Row],[Tech Start Date]],4),""))))</f>
        <v>40655</v>
      </c>
      <c r="O1416" s="114">
        <f>IF(Main[[#This Row],[Tech Start Date]]&lt;1/1/1990,"",IF(Main[[#This Row],[Class]]="C",WORKDAY(Main[[#This Row],[Tech Start Date]],23),IF(Main[[#This Row],[Class]]="B", WORKDAY(Main[[#This Row],[Tech Start Date]],15),IF(Main[[#This Row],[Class]]="A",WORKDAY(Main[[#This Row],[Tech Start Date]],5),""))))</f>
        <v>40658</v>
      </c>
      <c r="P1416" s="114">
        <f>IF(Main[[#This Row],[Tech Start Date]]&lt;1/1/1990,"",IF(Main[[#This Row],[Class]]="C",WORKDAY(Main[[#This Row],[Tech Start Date]],28),IF(Main[[#This Row],[Class]]="B", WORKDAY(Main[[#This Row],[Tech Start Date]],19),IF(Main[[#This Row],[Class]]="A",WORKDAY(Main[[#This Row],[Tech Start Date]],9),""))))</f>
        <v>40662</v>
      </c>
      <c r="Q1416" s="129">
        <v>40494</v>
      </c>
      <c r="R1416" s="129">
        <v>40689</v>
      </c>
      <c r="S1416" s="139" t="s">
        <v>6</v>
      </c>
      <c r="T1416" s="115" t="s">
        <v>4</v>
      </c>
      <c r="U1416" s="139" t="s">
        <v>14</v>
      </c>
      <c r="V1416" s="139" t="s">
        <v>1917</v>
      </c>
      <c r="W1416" s="139" t="s">
        <v>1918</v>
      </c>
      <c r="X1416" s="139" t="s">
        <v>2819</v>
      </c>
      <c r="Y1416" s="112" t="s">
        <v>2932</v>
      </c>
      <c r="Z1416" s="112" t="s">
        <v>44</v>
      </c>
      <c r="AA1416" s="139" t="s">
        <v>2819</v>
      </c>
    </row>
    <row r="1417" spans="1:27" ht="17.25" customHeight="1">
      <c r="A1417" s="69" t="str">
        <f>IF(priority(Main[[#This Row],[Comments]])&lt;&gt;0, priority(Main[[#This Row],[Comments]]),"")</f>
        <v/>
      </c>
      <c r="B1417" s="63" t="s">
        <v>1877</v>
      </c>
      <c r="C1417" s="148" t="s">
        <v>4</v>
      </c>
      <c r="D1417" s="113" t="s">
        <v>929</v>
      </c>
      <c r="E1417" s="129"/>
      <c r="F1417" s="129"/>
      <c r="G1417" s="69" t="str">
        <f>IF(stdProdLT(Main[[#This Row],[Comments]])=0.1,"N/A",IF(stdProdLT(Main[[#This Row],[Comments]])=0,"",stdProdLT(Main[[#This Row],[Comments]])))</f>
        <v/>
      </c>
      <c r="H1417" s="138" t="str">
        <f>IF(Main[[#This Row],[In Stock Date]]="N/A", "N/A",IF(AND(Main[[#This Row],[In Stock Date]]&lt;&gt;"",Main[[#This Row],[Revised Due Date]]&lt;&gt;"",Main[[#This Row],[In Stock Date]]&lt;&gt;""),Main[[#This Row],[In Stock Date]]-Main[[#This Row],[Revised Due Date]],""))</f>
        <v/>
      </c>
      <c r="I1417" s="139" t="s">
        <v>130</v>
      </c>
      <c r="J1417" s="139" t="s">
        <v>70</v>
      </c>
      <c r="K1417" s="139" t="s">
        <v>1923</v>
      </c>
      <c r="L1417" s="129">
        <v>40658</v>
      </c>
      <c r="M1417" s="114">
        <f>IF(Main[[#This Row],[Tech Start Date]]&lt;1/1/1990,"",IF(Main[[#This Row],[Class]]="C",WORKDAY(Main[[#This Row],[Tech Start Date]],9),IF(Main[[#This Row],[Class]]="B", WORKDAY(Main[[#This Row],[Tech Start Date]],6),IF(Main[[#This Row],[Class]]="A",WORKDAY(Main[[#This Row],[Tech Start Date]],2),""))))</f>
        <v>40660</v>
      </c>
      <c r="N1417" s="114">
        <f>IF(Main[[#This Row],[Tech Start Date]]&lt;1/1/1990,"",IF(Main[[#This Row],[Class]]="C",WORKDAY(Main[[#This Row],[Tech Start Date]],19),IF(Main[[#This Row],[Class]]="B", WORKDAY(Main[[#This Row],[Tech Start Date]],12),IF(Main[[#This Row],[Class]]="A",WORKDAY(Main[[#This Row],[Tech Start Date]],4),""))))</f>
        <v>40662</v>
      </c>
      <c r="O1417" s="114">
        <f>IF(Main[[#This Row],[Tech Start Date]]&lt;1/1/1990,"",IF(Main[[#This Row],[Class]]="C",WORKDAY(Main[[#This Row],[Tech Start Date]],23),IF(Main[[#This Row],[Class]]="B", WORKDAY(Main[[#This Row],[Tech Start Date]],15),IF(Main[[#This Row],[Class]]="A",WORKDAY(Main[[#This Row],[Tech Start Date]],5),""))))</f>
        <v>40665</v>
      </c>
      <c r="P1417" s="114">
        <f>IF(Main[[#This Row],[Tech Start Date]]&lt;1/1/1990,"",IF(Main[[#This Row],[Class]]="C",WORKDAY(Main[[#This Row],[Tech Start Date]],28),IF(Main[[#This Row],[Class]]="B", WORKDAY(Main[[#This Row],[Tech Start Date]],19),IF(Main[[#This Row],[Class]]="A",WORKDAY(Main[[#This Row],[Tech Start Date]],9),""))))</f>
        <v>40669</v>
      </c>
      <c r="Q1417" s="129">
        <v>40665</v>
      </c>
      <c r="R1417" s="129">
        <v>40686</v>
      </c>
      <c r="S1417" s="139" t="s">
        <v>6</v>
      </c>
      <c r="T1417" s="115" t="s">
        <v>4</v>
      </c>
      <c r="U1417" s="139" t="s">
        <v>14</v>
      </c>
      <c r="V1417" s="139" t="s">
        <v>1917</v>
      </c>
      <c r="W1417" s="139" t="s">
        <v>1916</v>
      </c>
      <c r="X1417" s="139" t="s">
        <v>2851</v>
      </c>
      <c r="Y1417" s="112" t="s">
        <v>2986</v>
      </c>
      <c r="Z1417" s="112" t="s">
        <v>30</v>
      </c>
      <c r="AA1417" s="139" t="s">
        <v>2851</v>
      </c>
    </row>
    <row r="1418" spans="1:27" ht="17.25" customHeight="1">
      <c r="A1418" s="69" t="str">
        <f>IF(priority(Main[[#This Row],[Comments]])&lt;&gt;0, priority(Main[[#This Row],[Comments]]),"")</f>
        <v/>
      </c>
      <c r="B1418" s="63" t="s">
        <v>1900</v>
      </c>
      <c r="C1418" s="148" t="s">
        <v>4</v>
      </c>
      <c r="D1418" s="113" t="s">
        <v>2607</v>
      </c>
      <c r="E1418" s="129">
        <v>40659.398043981484</v>
      </c>
      <c r="F1418" s="129"/>
      <c r="G1418" s="69" t="str">
        <f>IF(stdProdLT(Main[[#This Row],[Comments]])=0.1,"N/A",IF(stdProdLT(Main[[#This Row],[Comments]])=0,"",stdProdLT(Main[[#This Row],[Comments]])))</f>
        <v/>
      </c>
      <c r="H1418" s="138" t="str">
        <f>IF(Main[[#This Row],[In Stock Date]]="N/A", "N/A",IF(AND(Main[[#This Row],[In Stock Date]]&lt;&gt;"",Main[[#This Row],[Revised Due Date]]&lt;&gt;"",Main[[#This Row],[In Stock Date]]&lt;&gt;""),Main[[#This Row],[In Stock Date]]-Main[[#This Row],[Revised Due Date]],""))</f>
        <v/>
      </c>
      <c r="I1418" s="139" t="s">
        <v>969</v>
      </c>
      <c r="J1418" s="139" t="s">
        <v>28</v>
      </c>
      <c r="K1418" s="139" t="s">
        <v>1926</v>
      </c>
      <c r="L1418" s="129">
        <v>40665</v>
      </c>
      <c r="M1418" s="114" t="str">
        <f>IF(Main[[#This Row],[Tech Start Date]]&lt;1/1/1990,"",IF(Main[[#This Row],[Class]]="C",WORKDAY(Main[[#This Row],[Tech Start Date]],9),IF(Main[[#This Row],[Class]]="B", WORKDAY(Main[[#This Row],[Tech Start Date]],6),IF(Main[[#This Row],[Class]]="A",WORKDAY(Main[[#This Row],[Tech Start Date]],2),""))))</f>
        <v/>
      </c>
      <c r="N1418" s="114" t="str">
        <f>IF(Main[[#This Row],[Tech Start Date]]&lt;1/1/1990,"",IF(Main[[#This Row],[Class]]="C",WORKDAY(Main[[#This Row],[Tech Start Date]],19),IF(Main[[#This Row],[Class]]="B", WORKDAY(Main[[#This Row],[Tech Start Date]],12),IF(Main[[#This Row],[Class]]="A",WORKDAY(Main[[#This Row],[Tech Start Date]],4),""))))</f>
        <v/>
      </c>
      <c r="O1418" s="114" t="str">
        <f>IF(Main[[#This Row],[Tech Start Date]]&lt;1/1/1990,"",IF(Main[[#This Row],[Class]]="C",WORKDAY(Main[[#This Row],[Tech Start Date]],23),IF(Main[[#This Row],[Class]]="B", WORKDAY(Main[[#This Row],[Tech Start Date]],15),IF(Main[[#This Row],[Class]]="A",WORKDAY(Main[[#This Row],[Tech Start Date]],5),""))))</f>
        <v/>
      </c>
      <c r="P1418" s="114" t="str">
        <f>IF(Main[[#This Row],[Tech Start Date]]&lt;1/1/1990,"",IF(Main[[#This Row],[Class]]="C",WORKDAY(Main[[#This Row],[Tech Start Date]],28),IF(Main[[#This Row],[Class]]="B", WORKDAY(Main[[#This Row],[Tech Start Date]],19),IF(Main[[#This Row],[Class]]="A",WORKDAY(Main[[#This Row],[Tech Start Date]],9),""))))</f>
        <v/>
      </c>
      <c r="Q1418" s="129">
        <v>40877</v>
      </c>
      <c r="R1418" s="129">
        <v>40900</v>
      </c>
      <c r="S1418" s="139" t="s">
        <v>17</v>
      </c>
      <c r="T1418" s="115" t="s">
        <v>2608</v>
      </c>
      <c r="U1418" s="139" t="s">
        <v>29</v>
      </c>
      <c r="V1418" s="139" t="s">
        <v>1914</v>
      </c>
      <c r="W1418" s="139" t="s">
        <v>1918</v>
      </c>
      <c r="X1418" s="139" t="s">
        <v>907</v>
      </c>
      <c r="Y1418" s="112" t="s">
        <v>3017</v>
      </c>
      <c r="Z1418" s="112" t="s">
        <v>877</v>
      </c>
      <c r="AA1418" s="139" t="s">
        <v>907</v>
      </c>
    </row>
    <row r="1419" spans="1:27" ht="17.25" customHeight="1">
      <c r="A1419" s="69" t="str">
        <f>IF(priority(Main[[#This Row],[Comments]])&lt;&gt;0, priority(Main[[#This Row],[Comments]]),"")</f>
        <v/>
      </c>
      <c r="B1419" s="63" t="s">
        <v>1885</v>
      </c>
      <c r="C1419" s="148" t="s">
        <v>939</v>
      </c>
      <c r="D1419" s="62" t="s">
        <v>2793</v>
      </c>
      <c r="E1419" s="129">
        <v>40617.624050925922</v>
      </c>
      <c r="F1419" s="129">
        <v>40967</v>
      </c>
      <c r="G1419" s="69">
        <f>IF(stdProdLT(Main[[#This Row],[Comments]])=0.1,"N/A",IF(stdProdLT(Main[[#This Row],[Comments]])=0,"",stdProdLT(Main[[#This Row],[Comments]])))</f>
        <v>112</v>
      </c>
      <c r="H1419" s="138" t="str">
        <f>IF(Main[[#This Row],[In Stock Date]]="N/A", "N/A",IF(AND(Main[[#This Row],[In Stock Date]]&lt;&gt;"",Main[[#This Row],[Revised Due Date]]&lt;&gt;"",Main[[#This Row],[In Stock Date]]&lt;&gt;""),Main[[#This Row],[In Stock Date]]-Main[[#This Row],[Revised Due Date]],""))</f>
        <v/>
      </c>
      <c r="I1419" s="139" t="s">
        <v>561</v>
      </c>
      <c r="J1419" s="139" t="s">
        <v>28</v>
      </c>
      <c r="K1419" s="139" t="s">
        <v>1927</v>
      </c>
      <c r="L1419" s="129">
        <v>40666</v>
      </c>
      <c r="M1419" s="114">
        <f>IF(Main[[#This Row],[Tech Start Date]]&lt;1/1/1990,"",IF(Main[[#This Row],[Class]]="C",WORKDAY(Main[[#This Row],[Tech Start Date]],9),IF(Main[[#This Row],[Class]]="B", WORKDAY(Main[[#This Row],[Tech Start Date]],6),IF(Main[[#This Row],[Class]]="A",WORKDAY(Main[[#This Row],[Tech Start Date]],2),""))))</f>
        <v>40679</v>
      </c>
      <c r="N1419" s="114">
        <f>IF(Main[[#This Row],[Tech Start Date]]&lt;1/1/1990,"",IF(Main[[#This Row],[Class]]="C",WORKDAY(Main[[#This Row],[Tech Start Date]],19),IF(Main[[#This Row],[Class]]="B", WORKDAY(Main[[#This Row],[Tech Start Date]],12),IF(Main[[#This Row],[Class]]="A",WORKDAY(Main[[#This Row],[Tech Start Date]],4),""))))</f>
        <v>40693</v>
      </c>
      <c r="O1419" s="114">
        <f>IF(Main[[#This Row],[Tech Start Date]]&lt;1/1/1990,"",IF(Main[[#This Row],[Class]]="C",WORKDAY(Main[[#This Row],[Tech Start Date]],23),IF(Main[[#This Row],[Class]]="B", WORKDAY(Main[[#This Row],[Tech Start Date]],15),IF(Main[[#This Row],[Class]]="A",WORKDAY(Main[[#This Row],[Tech Start Date]],5),""))))</f>
        <v>40697</v>
      </c>
      <c r="P1419" s="114">
        <f>IF(Main[[#This Row],[Tech Start Date]]&lt;1/1/1990,"",IF(Main[[#This Row],[Class]]="C",WORKDAY(Main[[#This Row],[Tech Start Date]],28),IF(Main[[#This Row],[Class]]="B", WORKDAY(Main[[#This Row],[Tech Start Date]],19),IF(Main[[#This Row],[Class]]="A",WORKDAY(Main[[#This Row],[Tech Start Date]],9),""))))</f>
        <v>40704</v>
      </c>
      <c r="Q1419" s="129">
        <v>40767</v>
      </c>
      <c r="R1419" s="129"/>
      <c r="S1419" s="139" t="s">
        <v>11</v>
      </c>
      <c r="T1419" s="115" t="s">
        <v>3558</v>
      </c>
      <c r="U1419" s="139" t="s">
        <v>534</v>
      </c>
      <c r="V1419" s="139" t="s">
        <v>1914</v>
      </c>
      <c r="W1419" s="139" t="s">
        <v>1922</v>
      </c>
      <c r="X1419" s="139" t="s">
        <v>2921</v>
      </c>
      <c r="Y1419" s="112" t="s">
        <v>3149</v>
      </c>
      <c r="Z1419" s="112" t="s">
        <v>129</v>
      </c>
      <c r="AA1419" s="139" t="s">
        <v>2921</v>
      </c>
    </row>
    <row r="1420" spans="1:27" ht="17.25" customHeight="1">
      <c r="A1420" s="69" t="str">
        <f>IF(priority(Main[[#This Row],[Comments]])&lt;&gt;0, priority(Main[[#This Row],[Comments]]),"")</f>
        <v/>
      </c>
      <c r="B1420" s="63" t="s">
        <v>1883</v>
      </c>
      <c r="C1420" s="148" t="s">
        <v>113</v>
      </c>
      <c r="D1420" s="113" t="s">
        <v>2610</v>
      </c>
      <c r="E1420" s="129">
        <v>40596.601666666669</v>
      </c>
      <c r="F1420" s="129">
        <v>40605</v>
      </c>
      <c r="G1420" s="69" t="str">
        <f>IF(stdProdLT(Main[[#This Row],[Comments]])=0.1,"N/A",IF(stdProdLT(Main[[#This Row],[Comments]])=0,"",stdProdLT(Main[[#This Row],[Comments]])))</f>
        <v/>
      </c>
      <c r="H1420" s="138" t="str">
        <f>IF(Main[[#This Row],[In Stock Date]]="N/A", "N/A",IF(AND(Main[[#This Row],[In Stock Date]]&lt;&gt;"",Main[[#This Row],[Revised Due Date]]&lt;&gt;"",Main[[#This Row],[In Stock Date]]&lt;&gt;""),Main[[#This Row],[In Stock Date]]-Main[[#This Row],[Revised Due Date]],""))</f>
        <v/>
      </c>
      <c r="I1420" s="139" t="s">
        <v>4</v>
      </c>
      <c r="J1420" s="139" t="s">
        <v>52</v>
      </c>
      <c r="K1420" s="139" t="s">
        <v>1927</v>
      </c>
      <c r="L1420" s="129">
        <v>40666</v>
      </c>
      <c r="M1420" s="114">
        <f>IF(Main[[#This Row],[Tech Start Date]]&lt;1/1/1990,"",IF(Main[[#This Row],[Class]]="C",WORKDAY(Main[[#This Row],[Tech Start Date]],9),IF(Main[[#This Row],[Class]]="B", WORKDAY(Main[[#This Row],[Tech Start Date]],6),IF(Main[[#This Row],[Class]]="A",WORKDAY(Main[[#This Row],[Tech Start Date]],2),""))))</f>
        <v>40679</v>
      </c>
      <c r="N1420" s="114">
        <f>IF(Main[[#This Row],[Tech Start Date]]&lt;1/1/1990,"",IF(Main[[#This Row],[Class]]="C",WORKDAY(Main[[#This Row],[Tech Start Date]],19),IF(Main[[#This Row],[Class]]="B", WORKDAY(Main[[#This Row],[Tech Start Date]],12),IF(Main[[#This Row],[Class]]="A",WORKDAY(Main[[#This Row],[Tech Start Date]],4),""))))</f>
        <v>40693</v>
      </c>
      <c r="O1420" s="114">
        <f>IF(Main[[#This Row],[Tech Start Date]]&lt;1/1/1990,"",IF(Main[[#This Row],[Class]]="C",WORKDAY(Main[[#This Row],[Tech Start Date]],23),IF(Main[[#This Row],[Class]]="B", WORKDAY(Main[[#This Row],[Tech Start Date]],15),IF(Main[[#This Row],[Class]]="A",WORKDAY(Main[[#This Row],[Tech Start Date]],5),""))))</f>
        <v>40697</v>
      </c>
      <c r="P1420" s="114">
        <f>IF(Main[[#This Row],[Tech Start Date]]&lt;1/1/1990,"",IF(Main[[#This Row],[Class]]="C",WORKDAY(Main[[#This Row],[Tech Start Date]],28),IF(Main[[#This Row],[Class]]="B", WORKDAY(Main[[#This Row],[Tech Start Date]],19),IF(Main[[#This Row],[Class]]="A",WORKDAY(Main[[#This Row],[Tech Start Date]],9),""))))</f>
        <v>40704</v>
      </c>
      <c r="Q1420" s="129">
        <v>40701</v>
      </c>
      <c r="R1420" s="129"/>
      <c r="S1420" s="139" t="s">
        <v>17</v>
      </c>
      <c r="T1420" s="115" t="s">
        <v>2002</v>
      </c>
      <c r="U1420" s="139" t="s">
        <v>29</v>
      </c>
      <c r="V1420" s="139" t="s">
        <v>1914</v>
      </c>
      <c r="W1420" s="139" t="s">
        <v>1925</v>
      </c>
      <c r="X1420" s="139" t="s">
        <v>2861</v>
      </c>
      <c r="Y1420" s="112" t="s">
        <v>3005</v>
      </c>
      <c r="Z1420" s="112" t="s">
        <v>129</v>
      </c>
      <c r="AA1420" s="139" t="s">
        <v>2861</v>
      </c>
    </row>
    <row r="1421" spans="1:27" ht="17.25" customHeight="1">
      <c r="A1421" s="69" t="str">
        <f>IF(priority(Main[[#This Row],[Comments]])&lt;&gt;0, priority(Main[[#This Row],[Comments]]),"")</f>
        <v/>
      </c>
      <c r="B1421" s="63" t="s">
        <v>1884</v>
      </c>
      <c r="C1421" s="148" t="s">
        <v>935</v>
      </c>
      <c r="D1421" s="113" t="s">
        <v>936</v>
      </c>
      <c r="E1421" s="129"/>
      <c r="F1421" s="129">
        <v>40701</v>
      </c>
      <c r="G1421" s="69" t="str">
        <f>IF(stdProdLT(Main[[#This Row],[Comments]])=0.1,"N/A",IF(stdProdLT(Main[[#This Row],[Comments]])=0,"",stdProdLT(Main[[#This Row],[Comments]])))</f>
        <v/>
      </c>
      <c r="H1421" s="138">
        <f>IF(Main[[#This Row],[In Stock Date]]="N/A", "N/A",IF(AND(Main[[#This Row],[In Stock Date]]&lt;&gt;"",Main[[#This Row],[Revised Due Date]]&lt;&gt;"",Main[[#This Row],[In Stock Date]]&lt;&gt;""),Main[[#This Row],[In Stock Date]]-Main[[#This Row],[Revised Due Date]],""))</f>
        <v>0</v>
      </c>
      <c r="I1421" s="139" t="s">
        <v>937</v>
      </c>
      <c r="J1421" s="139" t="s">
        <v>28</v>
      </c>
      <c r="K1421" s="139" t="s">
        <v>1927</v>
      </c>
      <c r="L1421" s="129">
        <v>40666</v>
      </c>
      <c r="M1421" s="114">
        <f>IF(Main[[#This Row],[Tech Start Date]]&lt;1/1/1990,"",IF(Main[[#This Row],[Class]]="C",WORKDAY(Main[[#This Row],[Tech Start Date]],9),IF(Main[[#This Row],[Class]]="B", WORKDAY(Main[[#This Row],[Tech Start Date]],6),IF(Main[[#This Row],[Class]]="A",WORKDAY(Main[[#This Row],[Tech Start Date]],2),""))))</f>
        <v>40679</v>
      </c>
      <c r="N1421" s="114">
        <f>IF(Main[[#This Row],[Tech Start Date]]&lt;1/1/1990,"",IF(Main[[#This Row],[Class]]="C",WORKDAY(Main[[#This Row],[Tech Start Date]],19),IF(Main[[#This Row],[Class]]="B", WORKDAY(Main[[#This Row],[Tech Start Date]],12),IF(Main[[#This Row],[Class]]="A",WORKDAY(Main[[#This Row],[Tech Start Date]],4),""))))</f>
        <v>40693</v>
      </c>
      <c r="O1421" s="114">
        <f>IF(Main[[#This Row],[Tech Start Date]]&lt;1/1/1990,"",IF(Main[[#This Row],[Class]]="C",WORKDAY(Main[[#This Row],[Tech Start Date]],23),IF(Main[[#This Row],[Class]]="B", WORKDAY(Main[[#This Row],[Tech Start Date]],15),IF(Main[[#This Row],[Class]]="A",WORKDAY(Main[[#This Row],[Tech Start Date]],5),""))))</f>
        <v>40697</v>
      </c>
      <c r="P1421" s="114">
        <f>IF(Main[[#This Row],[Tech Start Date]]&lt;1/1/1990,"",IF(Main[[#This Row],[Class]]="C",WORKDAY(Main[[#This Row],[Tech Start Date]],28),IF(Main[[#This Row],[Class]]="B", WORKDAY(Main[[#This Row],[Tech Start Date]],19),IF(Main[[#This Row],[Class]]="A",WORKDAY(Main[[#This Row],[Tech Start Date]],9),""))))</f>
        <v>40704</v>
      </c>
      <c r="Q1421" s="129">
        <v>40701</v>
      </c>
      <c r="R1421" s="129">
        <v>40701</v>
      </c>
      <c r="S1421" s="139" t="s">
        <v>11</v>
      </c>
      <c r="T1421" s="115" t="s">
        <v>938</v>
      </c>
      <c r="U1421" s="139" t="s">
        <v>14</v>
      </c>
      <c r="V1421" s="139" t="s">
        <v>1914</v>
      </c>
      <c r="W1421" s="139" t="s">
        <v>1919</v>
      </c>
      <c r="X1421" s="139" t="s">
        <v>2854</v>
      </c>
      <c r="Y1421" s="112" t="s">
        <v>3150</v>
      </c>
      <c r="Z1421" s="112" t="s">
        <v>129</v>
      </c>
      <c r="AA1421" s="139" t="s">
        <v>2854</v>
      </c>
    </row>
    <row r="1422" spans="1:27" ht="17.25" customHeight="1">
      <c r="A1422" s="69" t="str">
        <f>IF(priority(Main[[#This Row],[Comments]])&lt;&gt;0, priority(Main[[#This Row],[Comments]]),"")</f>
        <v/>
      </c>
      <c r="B1422" s="63" t="s">
        <v>1689</v>
      </c>
      <c r="C1422" s="148" t="s">
        <v>518</v>
      </c>
      <c r="D1422" s="113" t="s">
        <v>744</v>
      </c>
      <c r="E1422" s="129">
        <v>40661.601064814815</v>
      </c>
      <c r="F1422" s="129">
        <v>40862</v>
      </c>
      <c r="G1422" s="69" t="str">
        <f>IF(stdProdLT(Main[[#This Row],[Comments]])=0.1,"N/A",IF(stdProdLT(Main[[#This Row],[Comments]])=0,"",stdProdLT(Main[[#This Row],[Comments]])))</f>
        <v/>
      </c>
      <c r="H1422" s="138">
        <f>IF(Main[[#This Row],[In Stock Date]]="N/A", "N/A",IF(AND(Main[[#This Row],[In Stock Date]]&lt;&gt;"",Main[[#This Row],[Revised Due Date]]&lt;&gt;"",Main[[#This Row],[In Stock Date]]&lt;&gt;""),Main[[#This Row],[In Stock Date]]-Main[[#This Row],[Revised Due Date]],""))</f>
        <v>1</v>
      </c>
      <c r="I1422" s="139" t="s">
        <v>745</v>
      </c>
      <c r="J1422" s="139" t="s">
        <v>28</v>
      </c>
      <c r="K1422" s="139" t="s">
        <v>1926</v>
      </c>
      <c r="L1422" s="129">
        <v>40668</v>
      </c>
      <c r="M1422" s="114" t="str">
        <f>IF(Main[[#This Row],[Tech Start Date]]&lt;1/1/1990,"",IF(Main[[#This Row],[Class]]="C",WORKDAY(Main[[#This Row],[Tech Start Date]],9),IF(Main[[#This Row],[Class]]="B", WORKDAY(Main[[#This Row],[Tech Start Date]],6),IF(Main[[#This Row],[Class]]="A",WORKDAY(Main[[#This Row],[Tech Start Date]],2),""))))</f>
        <v/>
      </c>
      <c r="N1422" s="114" t="str">
        <f>IF(Main[[#This Row],[Tech Start Date]]&lt;1/1/1990,"",IF(Main[[#This Row],[Class]]="C",WORKDAY(Main[[#This Row],[Tech Start Date]],19),IF(Main[[#This Row],[Class]]="B", WORKDAY(Main[[#This Row],[Tech Start Date]],12),IF(Main[[#This Row],[Class]]="A",WORKDAY(Main[[#This Row],[Tech Start Date]],4),""))))</f>
        <v/>
      </c>
      <c r="O1422" s="114" t="str">
        <f>IF(Main[[#This Row],[Tech Start Date]]&lt;1/1/1990,"",IF(Main[[#This Row],[Class]]="C",WORKDAY(Main[[#This Row],[Tech Start Date]],23),IF(Main[[#This Row],[Class]]="B", WORKDAY(Main[[#This Row],[Tech Start Date]],15),IF(Main[[#This Row],[Class]]="A",WORKDAY(Main[[#This Row],[Tech Start Date]],5),""))))</f>
        <v/>
      </c>
      <c r="P1422" s="114" t="str">
        <f>IF(Main[[#This Row],[Tech Start Date]]&lt;1/1/1990,"",IF(Main[[#This Row],[Class]]="C",WORKDAY(Main[[#This Row],[Tech Start Date]],28),IF(Main[[#This Row],[Class]]="B", WORKDAY(Main[[#This Row],[Tech Start Date]],19),IF(Main[[#This Row],[Class]]="A",WORKDAY(Main[[#This Row],[Tech Start Date]],9),""))))</f>
        <v/>
      </c>
      <c r="Q1422" s="129">
        <v>40739</v>
      </c>
      <c r="R1422" s="129">
        <v>40861</v>
      </c>
      <c r="S1422" s="139" t="s">
        <v>17</v>
      </c>
      <c r="T1422" s="115" t="s">
        <v>4</v>
      </c>
      <c r="U1422" s="139" t="s">
        <v>29</v>
      </c>
      <c r="V1422" s="139" t="s">
        <v>1917</v>
      </c>
      <c r="W1422" s="139" t="s">
        <v>1919</v>
      </c>
      <c r="X1422" s="139" t="s">
        <v>553</v>
      </c>
      <c r="Y1422" s="112" t="s">
        <v>3151</v>
      </c>
      <c r="Z1422" s="112" t="s">
        <v>968</v>
      </c>
      <c r="AA1422" s="139" t="s">
        <v>3472</v>
      </c>
    </row>
    <row r="1423" spans="1:27" ht="17.25" customHeight="1">
      <c r="A1423" s="69" t="str">
        <f>IF(priority(Main[[#This Row],[Comments]])&lt;&gt;0, priority(Main[[#This Row],[Comments]]),"")</f>
        <v/>
      </c>
      <c r="B1423" s="63" t="s">
        <v>1882</v>
      </c>
      <c r="C1423" s="148" t="s">
        <v>4</v>
      </c>
      <c r="D1423" s="113" t="s">
        <v>934</v>
      </c>
      <c r="E1423" s="129"/>
      <c r="F1423" s="129"/>
      <c r="G1423" s="69" t="str">
        <f>IF(stdProdLT(Main[[#This Row],[Comments]])=0.1,"N/A",IF(stdProdLT(Main[[#This Row],[Comments]])=0,"",stdProdLT(Main[[#This Row],[Comments]])))</f>
        <v/>
      </c>
      <c r="H1423" s="138" t="str">
        <f>IF(Main[[#This Row],[In Stock Date]]="N/A", "N/A",IF(AND(Main[[#This Row],[In Stock Date]]&lt;&gt;"",Main[[#This Row],[Revised Due Date]]&lt;&gt;"",Main[[#This Row],[In Stock Date]]&lt;&gt;""),Main[[#This Row],[In Stock Date]]-Main[[#This Row],[Revised Due Date]],""))</f>
        <v/>
      </c>
      <c r="I1423" s="139" t="s">
        <v>30</v>
      </c>
      <c r="J1423" s="139" t="s">
        <v>28</v>
      </c>
      <c r="K1423" s="139" t="s">
        <v>1923</v>
      </c>
      <c r="L1423" s="129">
        <v>40686</v>
      </c>
      <c r="M1423" s="114">
        <f>IF(Main[[#This Row],[Tech Start Date]]&lt;1/1/1990,"",IF(Main[[#This Row],[Class]]="C",WORKDAY(Main[[#This Row],[Tech Start Date]],9),IF(Main[[#This Row],[Class]]="B", WORKDAY(Main[[#This Row],[Tech Start Date]],6),IF(Main[[#This Row],[Class]]="A",WORKDAY(Main[[#This Row],[Tech Start Date]],2),""))))</f>
        <v>40688</v>
      </c>
      <c r="N1423" s="114">
        <f>IF(Main[[#This Row],[Tech Start Date]]&lt;1/1/1990,"",IF(Main[[#This Row],[Class]]="C",WORKDAY(Main[[#This Row],[Tech Start Date]],19),IF(Main[[#This Row],[Class]]="B", WORKDAY(Main[[#This Row],[Tech Start Date]],12),IF(Main[[#This Row],[Class]]="A",WORKDAY(Main[[#This Row],[Tech Start Date]],4),""))))</f>
        <v>40690</v>
      </c>
      <c r="O1423" s="114">
        <f>IF(Main[[#This Row],[Tech Start Date]]&lt;1/1/1990,"",IF(Main[[#This Row],[Class]]="C",WORKDAY(Main[[#This Row],[Tech Start Date]],23),IF(Main[[#This Row],[Class]]="B", WORKDAY(Main[[#This Row],[Tech Start Date]],15),IF(Main[[#This Row],[Class]]="A",WORKDAY(Main[[#This Row],[Tech Start Date]],5),""))))</f>
        <v>40693</v>
      </c>
      <c r="P1423" s="114">
        <f>IF(Main[[#This Row],[Tech Start Date]]&lt;1/1/1990,"",IF(Main[[#This Row],[Class]]="C",WORKDAY(Main[[#This Row],[Tech Start Date]],28),IF(Main[[#This Row],[Class]]="B", WORKDAY(Main[[#This Row],[Tech Start Date]],19),IF(Main[[#This Row],[Class]]="A",WORKDAY(Main[[#This Row],[Tech Start Date]],9),""))))</f>
        <v>40697</v>
      </c>
      <c r="Q1423" s="129">
        <v>40669</v>
      </c>
      <c r="R1423" s="129">
        <v>40700</v>
      </c>
      <c r="S1423" s="139" t="s">
        <v>6</v>
      </c>
      <c r="T1423" s="115" t="s">
        <v>4</v>
      </c>
      <c r="U1423" s="139" t="s">
        <v>14</v>
      </c>
      <c r="V1423" s="139" t="s">
        <v>1917</v>
      </c>
      <c r="W1423" s="139" t="s">
        <v>1916</v>
      </c>
      <c r="X1423" s="139" t="s">
        <v>2819</v>
      </c>
      <c r="Y1423" s="112" t="s">
        <v>2932</v>
      </c>
      <c r="Z1423" s="112" t="s">
        <v>530</v>
      </c>
      <c r="AA1423" s="139" t="s">
        <v>2819</v>
      </c>
    </row>
    <row r="1424" spans="1:27" ht="17.25" customHeight="1">
      <c r="A1424" s="69" t="str">
        <f>IF(priority(Main[[#This Row],[Comments]])&lt;&gt;0, priority(Main[[#This Row],[Comments]]),"")</f>
        <v/>
      </c>
      <c r="B1424" s="63" t="s">
        <v>1211</v>
      </c>
      <c r="C1424" s="148" t="s">
        <v>4</v>
      </c>
      <c r="D1424" s="113" t="s">
        <v>271</v>
      </c>
      <c r="E1424" s="129">
        <v>40683.573206018518</v>
      </c>
      <c r="F1424" s="129"/>
      <c r="G1424" s="69" t="str">
        <f>IF(stdProdLT(Main[[#This Row],[Comments]])=0.1,"N/A",IF(stdProdLT(Main[[#This Row],[Comments]])=0,"",stdProdLT(Main[[#This Row],[Comments]])))</f>
        <v/>
      </c>
      <c r="H1424" s="138" t="str">
        <f>IF(Main[[#This Row],[In Stock Date]]="N/A", "N/A",IF(AND(Main[[#This Row],[In Stock Date]]&lt;&gt;"",Main[[#This Row],[Revised Due Date]]&lt;&gt;"",Main[[#This Row],[In Stock Date]]&lt;&gt;""),Main[[#This Row],[In Stock Date]]-Main[[#This Row],[Revised Due Date]],""))</f>
        <v/>
      </c>
      <c r="I1424" s="139" t="s">
        <v>272</v>
      </c>
      <c r="J1424" s="139" t="s">
        <v>28</v>
      </c>
      <c r="K1424" s="139" t="s">
        <v>1926</v>
      </c>
      <c r="L1424" s="129">
        <v>40687</v>
      </c>
      <c r="M1424" s="114" t="str">
        <f>IF(Main[[#This Row],[Tech Start Date]]&lt;1/1/1990,"",IF(Main[[#This Row],[Class]]="C",WORKDAY(Main[[#This Row],[Tech Start Date]],9),IF(Main[[#This Row],[Class]]="B", WORKDAY(Main[[#This Row],[Tech Start Date]],6),IF(Main[[#This Row],[Class]]="A",WORKDAY(Main[[#This Row],[Tech Start Date]],2),""))))</f>
        <v/>
      </c>
      <c r="N1424" s="114" t="str">
        <f>IF(Main[[#This Row],[Tech Start Date]]&lt;1/1/1990,"",IF(Main[[#This Row],[Class]]="C",WORKDAY(Main[[#This Row],[Tech Start Date]],19),IF(Main[[#This Row],[Class]]="B", WORKDAY(Main[[#This Row],[Tech Start Date]],12),IF(Main[[#This Row],[Class]]="A",WORKDAY(Main[[#This Row],[Tech Start Date]],4),""))))</f>
        <v/>
      </c>
      <c r="O1424" s="114" t="str">
        <f>IF(Main[[#This Row],[Tech Start Date]]&lt;1/1/1990,"",IF(Main[[#This Row],[Class]]="C",WORKDAY(Main[[#This Row],[Tech Start Date]],23),IF(Main[[#This Row],[Class]]="B", WORKDAY(Main[[#This Row],[Tech Start Date]],15),IF(Main[[#This Row],[Class]]="A",WORKDAY(Main[[#This Row],[Tech Start Date]],5),""))))</f>
        <v/>
      </c>
      <c r="P1424" s="114" t="str">
        <f>IF(Main[[#This Row],[Tech Start Date]]&lt;1/1/1990,"",IF(Main[[#This Row],[Class]]="C",WORKDAY(Main[[#This Row],[Tech Start Date]],28),IF(Main[[#This Row],[Class]]="B", WORKDAY(Main[[#This Row],[Tech Start Date]],19),IF(Main[[#This Row],[Class]]="A",WORKDAY(Main[[#This Row],[Tech Start Date]],9),""))))</f>
        <v/>
      </c>
      <c r="Q1424" s="129">
        <v>41274</v>
      </c>
      <c r="R1424" s="129">
        <v>41241</v>
      </c>
      <c r="S1424" s="139" t="s">
        <v>17</v>
      </c>
      <c r="T1424" s="115" t="s">
        <v>4</v>
      </c>
      <c r="U1424" s="139" t="s">
        <v>29</v>
      </c>
      <c r="V1424" s="139" t="s">
        <v>1917</v>
      </c>
      <c r="W1424" s="139" t="s">
        <v>1919</v>
      </c>
      <c r="X1424" s="139" t="s">
        <v>553</v>
      </c>
      <c r="Y1424" s="112" t="s">
        <v>2952</v>
      </c>
      <c r="Z1424" s="112" t="s">
        <v>968</v>
      </c>
      <c r="AA1424" s="139" t="s">
        <v>553</v>
      </c>
    </row>
    <row r="1425" spans="1:27" ht="17.25" customHeight="1">
      <c r="A1425" s="69" t="str">
        <f>IF(priority(Main[[#This Row],[Comments]])&lt;&gt;0, priority(Main[[#This Row],[Comments]]),"")</f>
        <v/>
      </c>
      <c r="B1425" s="63" t="s">
        <v>1906</v>
      </c>
      <c r="C1425" s="148" t="s">
        <v>122</v>
      </c>
      <c r="D1425" s="113" t="s">
        <v>1954</v>
      </c>
      <c r="E1425" s="129">
        <v>40703.615451388891</v>
      </c>
      <c r="F1425" s="129">
        <v>40907</v>
      </c>
      <c r="G1425" s="69" t="str">
        <f>IF(stdProdLT(Main[[#This Row],[Comments]])=0.1,"N/A",IF(stdProdLT(Main[[#This Row],[Comments]])=0,"",stdProdLT(Main[[#This Row],[Comments]])))</f>
        <v/>
      </c>
      <c r="H1425" s="138">
        <f>IF(Main[[#This Row],[In Stock Date]]="N/A", "N/A",IF(AND(Main[[#This Row],[In Stock Date]]&lt;&gt;"",Main[[#This Row],[Revised Due Date]]&lt;&gt;"",Main[[#This Row],[In Stock Date]]&lt;&gt;""),Main[[#This Row],[In Stock Date]]-Main[[#This Row],[Revised Due Date]],""))</f>
        <v>0</v>
      </c>
      <c r="I1425" s="139" t="s">
        <v>956</v>
      </c>
      <c r="J1425" s="139" t="s">
        <v>28</v>
      </c>
      <c r="K1425" s="139" t="s">
        <v>1926</v>
      </c>
      <c r="L1425" s="129">
        <v>40703</v>
      </c>
      <c r="M1425" s="114" t="str">
        <f>IF(Main[[#This Row],[Tech Start Date]]&lt;1/1/1990,"",IF(Main[[#This Row],[Class]]="C",WORKDAY(Main[[#This Row],[Tech Start Date]],9),IF(Main[[#This Row],[Class]]="B", WORKDAY(Main[[#This Row],[Tech Start Date]],6),IF(Main[[#This Row],[Class]]="A",WORKDAY(Main[[#This Row],[Tech Start Date]],2),""))))</f>
        <v/>
      </c>
      <c r="N1425" s="114" t="str">
        <f>IF(Main[[#This Row],[Tech Start Date]]&lt;1/1/1990,"",IF(Main[[#This Row],[Class]]="C",WORKDAY(Main[[#This Row],[Tech Start Date]],19),IF(Main[[#This Row],[Class]]="B", WORKDAY(Main[[#This Row],[Tech Start Date]],12),IF(Main[[#This Row],[Class]]="A",WORKDAY(Main[[#This Row],[Tech Start Date]],4),""))))</f>
        <v/>
      </c>
      <c r="O1425" s="114" t="str">
        <f>IF(Main[[#This Row],[Tech Start Date]]&lt;1/1/1990,"",IF(Main[[#This Row],[Class]]="C",WORKDAY(Main[[#This Row],[Tech Start Date]],23),IF(Main[[#This Row],[Class]]="B", WORKDAY(Main[[#This Row],[Tech Start Date]],15),IF(Main[[#This Row],[Class]]="A",WORKDAY(Main[[#This Row],[Tech Start Date]],5),""))))</f>
        <v/>
      </c>
      <c r="P1425" s="114" t="str">
        <f>IF(Main[[#This Row],[Tech Start Date]]&lt;1/1/1990,"",IF(Main[[#This Row],[Class]]="C",WORKDAY(Main[[#This Row],[Tech Start Date]],28),IF(Main[[#This Row],[Class]]="B", WORKDAY(Main[[#This Row],[Tech Start Date]],19),IF(Main[[#This Row],[Class]]="A",WORKDAY(Main[[#This Row],[Tech Start Date]],9),""))))</f>
        <v/>
      </c>
      <c r="Q1425" s="129">
        <v>40864</v>
      </c>
      <c r="R1425" s="129">
        <v>40907</v>
      </c>
      <c r="S1425" s="139" t="s">
        <v>17</v>
      </c>
      <c r="T1425" s="115" t="s">
        <v>1955</v>
      </c>
      <c r="U1425" s="139" t="s">
        <v>29</v>
      </c>
      <c r="V1425" s="139" t="s">
        <v>1915</v>
      </c>
      <c r="W1425" s="139" t="s">
        <v>1925</v>
      </c>
      <c r="X1425" s="139" t="s">
        <v>956</v>
      </c>
      <c r="Y1425" s="112" t="s">
        <v>4</v>
      </c>
      <c r="Z1425" s="112" t="s">
        <v>4</v>
      </c>
      <c r="AA1425" s="139" t="s">
        <v>975</v>
      </c>
    </row>
    <row r="1426" spans="1:27" ht="17.25" customHeight="1">
      <c r="A1426" s="69" t="str">
        <f>IF(priority(Main[[#This Row],[Comments]])&lt;&gt;0, priority(Main[[#This Row],[Comments]]),"")</f>
        <v/>
      </c>
      <c r="B1426" s="63" t="s">
        <v>1903</v>
      </c>
      <c r="C1426" s="148" t="s">
        <v>113</v>
      </c>
      <c r="D1426" s="62" t="s">
        <v>2794</v>
      </c>
      <c r="E1426" s="129">
        <v>40709.602083333331</v>
      </c>
      <c r="F1426" s="129">
        <v>41091</v>
      </c>
      <c r="G1426" s="69">
        <f>IF(stdProdLT(Main[[#This Row],[Comments]])=0.1,"N/A",IF(stdProdLT(Main[[#This Row],[Comments]])=0,"",stdProdLT(Main[[#This Row],[Comments]])))</f>
        <v>126</v>
      </c>
      <c r="H1426" s="138" t="str">
        <f>IF(Main[[#This Row],[In Stock Date]]="N/A", "N/A",IF(AND(Main[[#This Row],[In Stock Date]]&lt;&gt;"",Main[[#This Row],[Revised Due Date]]&lt;&gt;"",Main[[#This Row],[In Stock Date]]&lt;&gt;""),Main[[#This Row],[In Stock Date]]-Main[[#This Row],[Revised Due Date]],""))</f>
        <v/>
      </c>
      <c r="I1426" s="139" t="s">
        <v>561</v>
      </c>
      <c r="J1426" s="139" t="s">
        <v>28</v>
      </c>
      <c r="K1426" s="139" t="s">
        <v>1927</v>
      </c>
      <c r="L1426" s="129">
        <v>40709</v>
      </c>
      <c r="M1426" s="114">
        <f>IF(Main[[#This Row],[Tech Start Date]]&lt;1/1/1990,"",IF(Main[[#This Row],[Class]]="C",WORKDAY(Main[[#This Row],[Tech Start Date]],9),IF(Main[[#This Row],[Class]]="B", WORKDAY(Main[[#This Row],[Tech Start Date]],6),IF(Main[[#This Row],[Class]]="A",WORKDAY(Main[[#This Row],[Tech Start Date]],2),""))))</f>
        <v>40722</v>
      </c>
      <c r="N1426" s="114">
        <f>IF(Main[[#This Row],[Tech Start Date]]&lt;1/1/1990,"",IF(Main[[#This Row],[Class]]="C",WORKDAY(Main[[#This Row],[Tech Start Date]],19),IF(Main[[#This Row],[Class]]="B", WORKDAY(Main[[#This Row],[Tech Start Date]],12),IF(Main[[#This Row],[Class]]="A",WORKDAY(Main[[#This Row],[Tech Start Date]],4),""))))</f>
        <v>40736</v>
      </c>
      <c r="O1426" s="114">
        <f>IF(Main[[#This Row],[Tech Start Date]]&lt;1/1/1990,"",IF(Main[[#This Row],[Class]]="C",WORKDAY(Main[[#This Row],[Tech Start Date]],23),IF(Main[[#This Row],[Class]]="B", WORKDAY(Main[[#This Row],[Tech Start Date]],15),IF(Main[[#This Row],[Class]]="A",WORKDAY(Main[[#This Row],[Tech Start Date]],5),""))))</f>
        <v>40742</v>
      </c>
      <c r="P1426" s="114">
        <f>IF(Main[[#This Row],[Tech Start Date]]&lt;1/1/1990,"",IF(Main[[#This Row],[Class]]="C",WORKDAY(Main[[#This Row],[Tech Start Date]],28),IF(Main[[#This Row],[Class]]="B", WORKDAY(Main[[#This Row],[Tech Start Date]],19),IF(Main[[#This Row],[Class]]="A",WORKDAY(Main[[#This Row],[Tech Start Date]],9),""))))</f>
        <v>40749</v>
      </c>
      <c r="Q1426" s="129"/>
      <c r="R1426" s="129"/>
      <c r="S1426" s="139" t="s">
        <v>11</v>
      </c>
      <c r="T1426" s="115" t="s">
        <v>3559</v>
      </c>
      <c r="U1426" s="139" t="s">
        <v>534</v>
      </c>
      <c r="V1426" s="139" t="s">
        <v>1914</v>
      </c>
      <c r="W1426" s="139" t="s">
        <v>1925</v>
      </c>
      <c r="X1426" s="139" t="s">
        <v>2833</v>
      </c>
      <c r="Y1426" s="112" t="s">
        <v>2939</v>
      </c>
      <c r="Z1426" s="112" t="s">
        <v>129</v>
      </c>
      <c r="AA1426" s="139" t="s">
        <v>2833</v>
      </c>
    </row>
    <row r="1427" spans="1:27" ht="17.25" customHeight="1">
      <c r="A1427" s="69" t="str">
        <f>IF(priority(Main[[#This Row],[Comments]])&lt;&gt;0, priority(Main[[#This Row],[Comments]]),"")</f>
        <v/>
      </c>
      <c r="B1427" s="63" t="s">
        <v>2007</v>
      </c>
      <c r="C1427" s="148" t="s">
        <v>2008</v>
      </c>
      <c r="D1427" s="113" t="s">
        <v>2022</v>
      </c>
      <c r="E1427" s="129">
        <v>40737.577511574076</v>
      </c>
      <c r="F1427" s="129"/>
      <c r="G1427" s="69" t="str">
        <f>IF(stdProdLT(Main[[#This Row],[Comments]])=0.1,"N/A",IF(stdProdLT(Main[[#This Row],[Comments]])=0,"",stdProdLT(Main[[#This Row],[Comments]])))</f>
        <v/>
      </c>
      <c r="H1427" s="138" t="str">
        <f>IF(Main[[#This Row],[In Stock Date]]="N/A", "N/A",IF(AND(Main[[#This Row],[In Stock Date]]&lt;&gt;"",Main[[#This Row],[Revised Due Date]]&lt;&gt;"",Main[[#This Row],[In Stock Date]]&lt;&gt;""),Main[[#This Row],[In Stock Date]]-Main[[#This Row],[Revised Due Date]],""))</f>
        <v/>
      </c>
      <c r="I1427" s="139" t="s">
        <v>4</v>
      </c>
      <c r="J1427" s="139" t="s">
        <v>28</v>
      </c>
      <c r="K1427" s="139" t="s">
        <v>1926</v>
      </c>
      <c r="L1427" s="129">
        <v>40742</v>
      </c>
      <c r="M1427" s="114" t="str">
        <f>IF(Main[[#This Row],[Tech Start Date]]&lt;1/1/1990,"",IF(Main[[#This Row],[Class]]="C",WORKDAY(Main[[#This Row],[Tech Start Date]],9),IF(Main[[#This Row],[Class]]="B", WORKDAY(Main[[#This Row],[Tech Start Date]],6),IF(Main[[#This Row],[Class]]="A",WORKDAY(Main[[#This Row],[Tech Start Date]],2),""))))</f>
        <v/>
      </c>
      <c r="N1427" s="114" t="str">
        <f>IF(Main[[#This Row],[Tech Start Date]]&lt;1/1/1990,"",IF(Main[[#This Row],[Class]]="C",WORKDAY(Main[[#This Row],[Tech Start Date]],19),IF(Main[[#This Row],[Class]]="B", WORKDAY(Main[[#This Row],[Tech Start Date]],12),IF(Main[[#This Row],[Class]]="A",WORKDAY(Main[[#This Row],[Tech Start Date]],4),""))))</f>
        <v/>
      </c>
      <c r="O1427" s="114" t="str">
        <f>IF(Main[[#This Row],[Tech Start Date]]&lt;1/1/1990,"",IF(Main[[#This Row],[Class]]="C",WORKDAY(Main[[#This Row],[Tech Start Date]],23),IF(Main[[#This Row],[Class]]="B", WORKDAY(Main[[#This Row],[Tech Start Date]],15),IF(Main[[#This Row],[Class]]="A",WORKDAY(Main[[#This Row],[Tech Start Date]],5),""))))</f>
        <v/>
      </c>
      <c r="P1427" s="114" t="str">
        <f>IF(Main[[#This Row],[Tech Start Date]]&lt;1/1/1990,"",IF(Main[[#This Row],[Class]]="C",WORKDAY(Main[[#This Row],[Tech Start Date]],28),IF(Main[[#This Row],[Class]]="B", WORKDAY(Main[[#This Row],[Tech Start Date]],19),IF(Main[[#This Row],[Class]]="A",WORKDAY(Main[[#This Row],[Tech Start Date]],9),""))))</f>
        <v/>
      </c>
      <c r="Q1427" s="129"/>
      <c r="R1427" s="129"/>
      <c r="S1427" s="139" t="s">
        <v>17</v>
      </c>
      <c r="T1427" s="115" t="s">
        <v>4</v>
      </c>
      <c r="U1427" s="139" t="s">
        <v>29</v>
      </c>
      <c r="V1427" s="139" t="s">
        <v>1914</v>
      </c>
      <c r="W1427" s="139" t="s">
        <v>1922</v>
      </c>
      <c r="X1427" s="139" t="s">
        <v>129</v>
      </c>
      <c r="Y1427" s="112" t="s">
        <v>2959</v>
      </c>
      <c r="Z1427" s="112" t="s">
        <v>129</v>
      </c>
      <c r="AA1427" s="139" t="s">
        <v>2828</v>
      </c>
    </row>
    <row r="1428" spans="1:27" ht="17.25" customHeight="1">
      <c r="A1428" s="69" t="str">
        <f>IF(priority(Main[[#This Row],[Comments]])&lt;&gt;0, priority(Main[[#This Row],[Comments]]),"")</f>
        <v/>
      </c>
      <c r="B1428" s="63" t="s">
        <v>1686</v>
      </c>
      <c r="C1428" s="148" t="s">
        <v>741</v>
      </c>
      <c r="D1428" s="113" t="s">
        <v>1972</v>
      </c>
      <c r="E1428" s="129">
        <v>40681.50267361111</v>
      </c>
      <c r="F1428" s="129"/>
      <c r="G1428" s="69" t="str">
        <f>IF(stdProdLT(Main[[#This Row],[Comments]])=0.1,"N/A",IF(stdProdLT(Main[[#This Row],[Comments]])=0,"",stdProdLT(Main[[#This Row],[Comments]])))</f>
        <v/>
      </c>
      <c r="H1428" s="138" t="str">
        <f>IF(Main[[#This Row],[In Stock Date]]="N/A", "N/A",IF(AND(Main[[#This Row],[In Stock Date]]&lt;&gt;"",Main[[#This Row],[Revised Due Date]]&lt;&gt;"",Main[[#This Row],[In Stock Date]]&lt;&gt;""),Main[[#This Row],[In Stock Date]]-Main[[#This Row],[Revised Due Date]],""))</f>
        <v/>
      </c>
      <c r="I1428" s="139" t="s">
        <v>745</v>
      </c>
      <c r="J1428" s="139" t="s">
        <v>28</v>
      </c>
      <c r="K1428" s="139" t="s">
        <v>1926</v>
      </c>
      <c r="L1428" s="129">
        <v>40742</v>
      </c>
      <c r="M1428" s="114" t="str">
        <f>IF(Main[[#This Row],[Tech Start Date]]&lt;1/1/1990,"",IF(Main[[#This Row],[Class]]="C",WORKDAY(Main[[#This Row],[Tech Start Date]],9),IF(Main[[#This Row],[Class]]="B", WORKDAY(Main[[#This Row],[Tech Start Date]],6),IF(Main[[#This Row],[Class]]="A",WORKDAY(Main[[#This Row],[Tech Start Date]],2),""))))</f>
        <v/>
      </c>
      <c r="N1428" s="114" t="str">
        <f>IF(Main[[#This Row],[Tech Start Date]]&lt;1/1/1990,"",IF(Main[[#This Row],[Class]]="C",WORKDAY(Main[[#This Row],[Tech Start Date]],19),IF(Main[[#This Row],[Class]]="B", WORKDAY(Main[[#This Row],[Tech Start Date]],12),IF(Main[[#This Row],[Class]]="A",WORKDAY(Main[[#This Row],[Tech Start Date]],4),""))))</f>
        <v/>
      </c>
      <c r="O1428" s="114" t="str">
        <f>IF(Main[[#This Row],[Tech Start Date]]&lt;1/1/1990,"",IF(Main[[#This Row],[Class]]="C",WORKDAY(Main[[#This Row],[Tech Start Date]],23),IF(Main[[#This Row],[Class]]="B", WORKDAY(Main[[#This Row],[Tech Start Date]],15),IF(Main[[#This Row],[Class]]="A",WORKDAY(Main[[#This Row],[Tech Start Date]],5),""))))</f>
        <v/>
      </c>
      <c r="P1428" s="114" t="str">
        <f>IF(Main[[#This Row],[Tech Start Date]]&lt;1/1/1990,"",IF(Main[[#This Row],[Class]]="C",WORKDAY(Main[[#This Row],[Tech Start Date]],28),IF(Main[[#This Row],[Class]]="B", WORKDAY(Main[[#This Row],[Tech Start Date]],19),IF(Main[[#This Row],[Class]]="A",WORKDAY(Main[[#This Row],[Tech Start Date]],9),""))))</f>
        <v/>
      </c>
      <c r="Q1428" s="129">
        <v>40939</v>
      </c>
      <c r="R1428" s="129">
        <v>40879</v>
      </c>
      <c r="S1428" s="139" t="s">
        <v>17</v>
      </c>
      <c r="T1428" s="115" t="s">
        <v>4</v>
      </c>
      <c r="U1428" s="139" t="s">
        <v>29</v>
      </c>
      <c r="V1428" s="139" t="s">
        <v>1917</v>
      </c>
      <c r="W1428" s="139" t="s">
        <v>1919</v>
      </c>
      <c r="X1428" s="139" t="s">
        <v>553</v>
      </c>
      <c r="Y1428" s="112" t="s">
        <v>2952</v>
      </c>
      <c r="Z1428" s="112" t="s">
        <v>652</v>
      </c>
      <c r="AA1428" s="139" t="s">
        <v>553</v>
      </c>
    </row>
    <row r="1429" spans="1:27" ht="17.25" customHeight="1">
      <c r="A1429" s="69" t="str">
        <f>IF(priority(Main[[#This Row],[Comments]])&lt;&gt;0, priority(Main[[#This Row],[Comments]]),"")</f>
        <v/>
      </c>
      <c r="B1429" s="63" t="s">
        <v>2039</v>
      </c>
      <c r="C1429" s="148" t="s">
        <v>116</v>
      </c>
      <c r="D1429" s="113" t="s">
        <v>2248</v>
      </c>
      <c r="E1429" s="129">
        <v>40751.429224537038</v>
      </c>
      <c r="F1429" s="129"/>
      <c r="G1429" s="69" t="str">
        <f>IF(stdProdLT(Main[[#This Row],[Comments]])=0.1,"N/A",IF(stdProdLT(Main[[#This Row],[Comments]])=0,"",stdProdLT(Main[[#This Row],[Comments]])))</f>
        <v/>
      </c>
      <c r="H1429" s="138" t="str">
        <f>IF(Main[[#This Row],[In Stock Date]]="N/A", "N/A",IF(AND(Main[[#This Row],[In Stock Date]]&lt;&gt;"",Main[[#This Row],[Revised Due Date]]&lt;&gt;"",Main[[#This Row],[In Stock Date]]&lt;&gt;""),Main[[#This Row],[In Stock Date]]-Main[[#This Row],[Revised Due Date]],""))</f>
        <v/>
      </c>
      <c r="I1429" s="139" t="s">
        <v>2043</v>
      </c>
      <c r="J1429" s="139" t="s">
        <v>28</v>
      </c>
      <c r="K1429" s="139" t="s">
        <v>1926</v>
      </c>
      <c r="L1429" s="129">
        <v>40742</v>
      </c>
      <c r="M1429" s="114" t="str">
        <f>IF(Main[[#This Row],[Tech Start Date]]&lt;1/1/1990,"",IF(Main[[#This Row],[Class]]="C",WORKDAY(Main[[#This Row],[Tech Start Date]],9),IF(Main[[#This Row],[Class]]="B", WORKDAY(Main[[#This Row],[Tech Start Date]],6),IF(Main[[#This Row],[Class]]="A",WORKDAY(Main[[#This Row],[Tech Start Date]],2),""))))</f>
        <v/>
      </c>
      <c r="N1429" s="114" t="str">
        <f>IF(Main[[#This Row],[Tech Start Date]]&lt;1/1/1990,"",IF(Main[[#This Row],[Class]]="C",WORKDAY(Main[[#This Row],[Tech Start Date]],19),IF(Main[[#This Row],[Class]]="B", WORKDAY(Main[[#This Row],[Tech Start Date]],12),IF(Main[[#This Row],[Class]]="A",WORKDAY(Main[[#This Row],[Tech Start Date]],4),""))))</f>
        <v/>
      </c>
      <c r="O1429" s="114" t="str">
        <f>IF(Main[[#This Row],[Tech Start Date]]&lt;1/1/1990,"",IF(Main[[#This Row],[Class]]="C",WORKDAY(Main[[#This Row],[Tech Start Date]],23),IF(Main[[#This Row],[Class]]="B", WORKDAY(Main[[#This Row],[Tech Start Date]],15),IF(Main[[#This Row],[Class]]="A",WORKDAY(Main[[#This Row],[Tech Start Date]],5),""))))</f>
        <v/>
      </c>
      <c r="P1429" s="114" t="str">
        <f>IF(Main[[#This Row],[Tech Start Date]]&lt;1/1/1990,"",IF(Main[[#This Row],[Class]]="C",WORKDAY(Main[[#This Row],[Tech Start Date]],28),IF(Main[[#This Row],[Class]]="B", WORKDAY(Main[[#This Row],[Tech Start Date]],19),IF(Main[[#This Row],[Class]]="A",WORKDAY(Main[[#This Row],[Tech Start Date]],9),""))))</f>
        <v/>
      </c>
      <c r="Q1429" s="129"/>
      <c r="R1429" s="129">
        <v>40868</v>
      </c>
      <c r="S1429" s="139" t="s">
        <v>17</v>
      </c>
      <c r="T1429" s="115" t="s">
        <v>4</v>
      </c>
      <c r="U1429" s="139" t="s">
        <v>29</v>
      </c>
      <c r="V1429" s="139" t="s">
        <v>1917</v>
      </c>
      <c r="W1429" s="139" t="s">
        <v>1919</v>
      </c>
      <c r="X1429" s="139" t="s">
        <v>652</v>
      </c>
      <c r="Y1429" s="112" t="s">
        <v>3126</v>
      </c>
      <c r="Z1429" s="112" t="s">
        <v>652</v>
      </c>
      <c r="AA1429" s="139" t="s">
        <v>652</v>
      </c>
    </row>
    <row r="1430" spans="1:27" ht="17.25" customHeight="1">
      <c r="A1430" s="69" t="str">
        <f>IF(priority(Main[[#This Row],[Comments]])&lt;&gt;0, priority(Main[[#This Row],[Comments]]),"")</f>
        <v/>
      </c>
      <c r="B1430" s="63" t="s">
        <v>1028</v>
      </c>
      <c r="C1430" s="148" t="s">
        <v>46</v>
      </c>
      <c r="D1430" s="113" t="s">
        <v>2137</v>
      </c>
      <c r="E1430" s="129">
        <v>40549.665949074071</v>
      </c>
      <c r="F1430" s="129">
        <v>40603</v>
      </c>
      <c r="G1430" s="69" t="str">
        <f>IF(stdProdLT(Main[[#This Row],[Comments]])=0.1,"N/A",IF(stdProdLT(Main[[#This Row],[Comments]])=0,"",stdProdLT(Main[[#This Row],[Comments]])))</f>
        <v/>
      </c>
      <c r="H1430" s="138" t="str">
        <f>IF(Main[[#This Row],[In Stock Date]]="N/A", "N/A",IF(AND(Main[[#This Row],[In Stock Date]]&lt;&gt;"",Main[[#This Row],[Revised Due Date]]&lt;&gt;"",Main[[#This Row],[In Stock Date]]&lt;&gt;""),Main[[#This Row],[In Stock Date]]-Main[[#This Row],[Revised Due Date]],""))</f>
        <v/>
      </c>
      <c r="I1430" s="139" t="s">
        <v>171</v>
      </c>
      <c r="J1430" s="139" t="s">
        <v>70</v>
      </c>
      <c r="K1430" s="139" t="s">
        <v>1926</v>
      </c>
      <c r="L1430" s="129">
        <v>40751</v>
      </c>
      <c r="M1430" s="114" t="str">
        <f>IF(Main[[#This Row],[Tech Start Date]]&lt;1/1/1990,"",IF(Main[[#This Row],[Class]]="C",WORKDAY(Main[[#This Row],[Tech Start Date]],9),IF(Main[[#This Row],[Class]]="B", WORKDAY(Main[[#This Row],[Tech Start Date]],6),IF(Main[[#This Row],[Class]]="A",WORKDAY(Main[[#This Row],[Tech Start Date]],2),""))))</f>
        <v/>
      </c>
      <c r="N1430" s="114" t="str">
        <f>IF(Main[[#This Row],[Tech Start Date]]&lt;1/1/1990,"",IF(Main[[#This Row],[Class]]="C",WORKDAY(Main[[#This Row],[Tech Start Date]],19),IF(Main[[#This Row],[Class]]="B", WORKDAY(Main[[#This Row],[Tech Start Date]],12),IF(Main[[#This Row],[Class]]="A",WORKDAY(Main[[#This Row],[Tech Start Date]],4),""))))</f>
        <v/>
      </c>
      <c r="O1430" s="114" t="str">
        <f>IF(Main[[#This Row],[Tech Start Date]]&lt;1/1/1990,"",IF(Main[[#This Row],[Class]]="C",WORKDAY(Main[[#This Row],[Tech Start Date]],23),IF(Main[[#This Row],[Class]]="B", WORKDAY(Main[[#This Row],[Tech Start Date]],15),IF(Main[[#This Row],[Class]]="A",WORKDAY(Main[[#This Row],[Tech Start Date]],5),""))))</f>
        <v/>
      </c>
      <c r="P1430" s="114" t="str">
        <f>IF(Main[[#This Row],[Tech Start Date]]&lt;1/1/1990,"",IF(Main[[#This Row],[Class]]="C",WORKDAY(Main[[#This Row],[Tech Start Date]],28),IF(Main[[#This Row],[Class]]="B", WORKDAY(Main[[#This Row],[Tech Start Date]],19),IF(Main[[#This Row],[Class]]="A",WORKDAY(Main[[#This Row],[Tech Start Date]],9),""))))</f>
        <v/>
      </c>
      <c r="Q1430" s="129">
        <v>40603</v>
      </c>
      <c r="R1430" s="129"/>
      <c r="S1430" s="139" t="s">
        <v>17</v>
      </c>
      <c r="T1430" s="115" t="s">
        <v>4</v>
      </c>
      <c r="U1430" s="139" t="s">
        <v>29</v>
      </c>
      <c r="V1430" s="139" t="s">
        <v>1917</v>
      </c>
      <c r="W1430" s="139" t="s">
        <v>1919</v>
      </c>
      <c r="X1430" s="139" t="s">
        <v>553</v>
      </c>
      <c r="Y1430" s="112" t="s">
        <v>2952</v>
      </c>
      <c r="Z1430" s="112" t="s">
        <v>968</v>
      </c>
      <c r="AA1430" s="139" t="s">
        <v>553</v>
      </c>
    </row>
    <row r="1431" spans="1:27" ht="17.25" customHeight="1">
      <c r="A1431" s="69" t="str">
        <f>IF(priority(Main[[#This Row],[Comments]])&lt;&gt;0, priority(Main[[#This Row],[Comments]]),"")</f>
        <v/>
      </c>
      <c r="B1431" s="63" t="s">
        <v>2046</v>
      </c>
      <c r="C1431" s="148" t="s">
        <v>4</v>
      </c>
      <c r="D1431" s="113" t="s">
        <v>2054</v>
      </c>
      <c r="E1431" s="129"/>
      <c r="F1431" s="129"/>
      <c r="G1431" s="69" t="str">
        <f>IF(stdProdLT(Main[[#This Row],[Comments]])=0.1,"N/A",IF(stdProdLT(Main[[#This Row],[Comments]])=0,"",stdProdLT(Main[[#This Row],[Comments]])))</f>
        <v/>
      </c>
      <c r="H1431" s="138" t="str">
        <f>IF(Main[[#This Row],[In Stock Date]]="N/A", "N/A",IF(AND(Main[[#This Row],[In Stock Date]]&lt;&gt;"",Main[[#This Row],[Revised Due Date]]&lt;&gt;"",Main[[#This Row],[In Stock Date]]&lt;&gt;""),Main[[#This Row],[In Stock Date]]-Main[[#This Row],[Revised Due Date]],""))</f>
        <v/>
      </c>
      <c r="I1431" s="139" t="s">
        <v>889</v>
      </c>
      <c r="J1431" s="139" t="s">
        <v>28</v>
      </c>
      <c r="K1431" s="139" t="s">
        <v>1923</v>
      </c>
      <c r="L1431" s="129">
        <v>40752</v>
      </c>
      <c r="M1431" s="114">
        <f>IF(Main[[#This Row],[Tech Start Date]]&lt;1/1/1990,"",IF(Main[[#This Row],[Class]]="C",WORKDAY(Main[[#This Row],[Tech Start Date]],9),IF(Main[[#This Row],[Class]]="B", WORKDAY(Main[[#This Row],[Tech Start Date]],6),IF(Main[[#This Row],[Class]]="A",WORKDAY(Main[[#This Row],[Tech Start Date]],2),""))))</f>
        <v>40756</v>
      </c>
      <c r="N1431" s="114">
        <f>IF(Main[[#This Row],[Tech Start Date]]&lt;1/1/1990,"",IF(Main[[#This Row],[Class]]="C",WORKDAY(Main[[#This Row],[Tech Start Date]],19),IF(Main[[#This Row],[Class]]="B", WORKDAY(Main[[#This Row],[Tech Start Date]],12),IF(Main[[#This Row],[Class]]="A",WORKDAY(Main[[#This Row],[Tech Start Date]],4),""))))</f>
        <v>40758</v>
      </c>
      <c r="O1431" s="114">
        <f>IF(Main[[#This Row],[Tech Start Date]]&lt;1/1/1990,"",IF(Main[[#This Row],[Class]]="C",WORKDAY(Main[[#This Row],[Tech Start Date]],23),IF(Main[[#This Row],[Class]]="B", WORKDAY(Main[[#This Row],[Tech Start Date]],15),IF(Main[[#This Row],[Class]]="A",WORKDAY(Main[[#This Row],[Tech Start Date]],5),""))))</f>
        <v>40759</v>
      </c>
      <c r="P1431" s="114">
        <f>IF(Main[[#This Row],[Tech Start Date]]&lt;1/1/1990,"",IF(Main[[#This Row],[Class]]="C",WORKDAY(Main[[#This Row],[Tech Start Date]],28),IF(Main[[#This Row],[Class]]="B", WORKDAY(Main[[#This Row],[Tech Start Date]],19),IF(Main[[#This Row],[Class]]="A",WORKDAY(Main[[#This Row],[Tech Start Date]],9),""))))</f>
        <v>40765</v>
      </c>
      <c r="Q1431" s="129">
        <v>40758</v>
      </c>
      <c r="R1431" s="129">
        <v>40786</v>
      </c>
      <c r="S1431" s="139" t="s">
        <v>6</v>
      </c>
      <c r="T1431" s="115" t="s">
        <v>4</v>
      </c>
      <c r="U1431" s="139" t="s">
        <v>14</v>
      </c>
      <c r="V1431" s="139" t="s">
        <v>1914</v>
      </c>
      <c r="W1431" s="139" t="s">
        <v>1918</v>
      </c>
      <c r="X1431" s="139" t="s">
        <v>877</v>
      </c>
      <c r="Y1431" s="112" t="s">
        <v>3009</v>
      </c>
      <c r="Z1431" s="112" t="s">
        <v>877</v>
      </c>
      <c r="AA1431" s="139" t="s">
        <v>877</v>
      </c>
    </row>
    <row r="1432" spans="1:27" ht="17.25" customHeight="1">
      <c r="A1432" s="69" t="str">
        <f>IF(priority(Main[[#This Row],[Comments]])&lt;&gt;0, priority(Main[[#This Row],[Comments]]),"")</f>
        <v/>
      </c>
      <c r="B1432" s="63" t="s">
        <v>1897</v>
      </c>
      <c r="C1432" s="148" t="s">
        <v>72</v>
      </c>
      <c r="D1432" s="113" t="s">
        <v>2138</v>
      </c>
      <c r="E1432" s="129">
        <v>40470.014479166668</v>
      </c>
      <c r="F1432" s="129">
        <v>40487</v>
      </c>
      <c r="G1432" s="69">
        <f>IF(stdProdLT(Main[[#This Row],[Comments]])=0.1,"N/A",IF(stdProdLT(Main[[#This Row],[Comments]])=0,"",stdProdLT(Main[[#This Row],[Comments]])))</f>
        <v>42</v>
      </c>
      <c r="H1432" s="138">
        <f>IF(Main[[#This Row],[In Stock Date]]="N/A", "N/A",IF(AND(Main[[#This Row],[In Stock Date]]&lt;&gt;"",Main[[#This Row],[Revised Due Date]]&lt;&gt;"",Main[[#This Row],[In Stock Date]]&lt;&gt;""),Main[[#This Row],[In Stock Date]]-Main[[#This Row],[Revised Due Date]],""))</f>
        <v>-294</v>
      </c>
      <c r="I1432" s="139" t="s">
        <v>2053</v>
      </c>
      <c r="J1432" s="139" t="s">
        <v>52</v>
      </c>
      <c r="K1432" s="139" t="s">
        <v>1921</v>
      </c>
      <c r="L1432" s="129">
        <v>40756</v>
      </c>
      <c r="M1432" s="114">
        <f>IF(Main[[#This Row],[Tech Start Date]]&lt;1/1/1990,"",IF(Main[[#This Row],[Class]]="C",WORKDAY(Main[[#This Row],[Tech Start Date]],9),IF(Main[[#This Row],[Class]]="B", WORKDAY(Main[[#This Row],[Tech Start Date]],6),IF(Main[[#This Row],[Class]]="A",WORKDAY(Main[[#This Row],[Tech Start Date]],2),""))))</f>
        <v>40764</v>
      </c>
      <c r="N1432" s="114">
        <f>IF(Main[[#This Row],[Tech Start Date]]&lt;1/1/1990,"",IF(Main[[#This Row],[Class]]="C",WORKDAY(Main[[#This Row],[Tech Start Date]],19),IF(Main[[#This Row],[Class]]="B", WORKDAY(Main[[#This Row],[Tech Start Date]],12),IF(Main[[#This Row],[Class]]="A",WORKDAY(Main[[#This Row],[Tech Start Date]],4),""))))</f>
        <v>40772</v>
      </c>
      <c r="O1432" s="114">
        <f>IF(Main[[#This Row],[Tech Start Date]]&lt;1/1/1990,"",IF(Main[[#This Row],[Class]]="C",WORKDAY(Main[[#This Row],[Tech Start Date]],23),IF(Main[[#This Row],[Class]]="B", WORKDAY(Main[[#This Row],[Tech Start Date]],15),IF(Main[[#This Row],[Class]]="A",WORKDAY(Main[[#This Row],[Tech Start Date]],5),""))))</f>
        <v>40777</v>
      </c>
      <c r="P1432" s="114">
        <f>IF(Main[[#This Row],[Tech Start Date]]&lt;1/1/1990,"",IF(Main[[#This Row],[Class]]="C",WORKDAY(Main[[#This Row],[Tech Start Date]],28),IF(Main[[#This Row],[Class]]="B", WORKDAY(Main[[#This Row],[Tech Start Date]],19),IF(Main[[#This Row],[Class]]="A",WORKDAY(Main[[#This Row],[Tech Start Date]],9),""))))</f>
        <v>40781</v>
      </c>
      <c r="Q1432" s="129"/>
      <c r="R1432" s="129">
        <v>40781</v>
      </c>
      <c r="S1432" s="139" t="s">
        <v>6</v>
      </c>
      <c r="T1432" s="115" t="s">
        <v>2139</v>
      </c>
      <c r="U1432" s="139" t="s">
        <v>29</v>
      </c>
      <c r="V1432" s="139" t="s">
        <v>1915</v>
      </c>
      <c r="W1432" s="139" t="s">
        <v>1916</v>
      </c>
      <c r="X1432" s="139" t="s">
        <v>2901</v>
      </c>
      <c r="Y1432" s="112" t="s">
        <v>3079</v>
      </c>
      <c r="Z1432" s="112" t="s">
        <v>2053</v>
      </c>
      <c r="AA1432" s="139" t="s">
        <v>2901</v>
      </c>
    </row>
    <row r="1433" spans="1:27" ht="17.25" customHeight="1">
      <c r="A1433" s="69" t="str">
        <f>IF(priority(Main[[#This Row],[Comments]])&lt;&gt;0, priority(Main[[#This Row],[Comments]]),"")</f>
        <v/>
      </c>
      <c r="B1433" s="63" t="s">
        <v>1300</v>
      </c>
      <c r="C1433" s="148" t="s">
        <v>374</v>
      </c>
      <c r="D1433" s="113" t="s">
        <v>2262</v>
      </c>
      <c r="E1433" s="129">
        <v>40711.60083333333</v>
      </c>
      <c r="F1433" s="129">
        <v>40877</v>
      </c>
      <c r="G1433" s="69" t="str">
        <f>IF(stdProdLT(Main[[#This Row],[Comments]])=0.1,"N/A",IF(stdProdLT(Main[[#This Row],[Comments]])=0,"",stdProdLT(Main[[#This Row],[Comments]])))</f>
        <v/>
      </c>
      <c r="H1433" s="138">
        <f>IF(Main[[#This Row],[In Stock Date]]="N/A", "N/A",IF(AND(Main[[#This Row],[In Stock Date]]&lt;&gt;"",Main[[#This Row],[Revised Due Date]]&lt;&gt;"",Main[[#This Row],[In Stock Date]]&lt;&gt;""),Main[[#This Row],[In Stock Date]]-Main[[#This Row],[Revised Due Date]],""))</f>
        <v>0</v>
      </c>
      <c r="I1433" s="139" t="s">
        <v>239</v>
      </c>
      <c r="J1433" s="139" t="s">
        <v>52</v>
      </c>
      <c r="K1433" s="139" t="s">
        <v>1926</v>
      </c>
      <c r="L1433" s="129">
        <v>40767</v>
      </c>
      <c r="M1433" s="114" t="str">
        <f>IF(Main[[#This Row],[Tech Start Date]]&lt;1/1/1990,"",IF(Main[[#This Row],[Class]]="C",WORKDAY(Main[[#This Row],[Tech Start Date]],9),IF(Main[[#This Row],[Class]]="B", WORKDAY(Main[[#This Row],[Tech Start Date]],6),IF(Main[[#This Row],[Class]]="A",WORKDAY(Main[[#This Row],[Tech Start Date]],2),""))))</f>
        <v/>
      </c>
      <c r="N1433" s="114" t="str">
        <f>IF(Main[[#This Row],[Tech Start Date]]&lt;1/1/1990,"",IF(Main[[#This Row],[Class]]="C",WORKDAY(Main[[#This Row],[Tech Start Date]],19),IF(Main[[#This Row],[Class]]="B", WORKDAY(Main[[#This Row],[Tech Start Date]],12),IF(Main[[#This Row],[Class]]="A",WORKDAY(Main[[#This Row],[Tech Start Date]],4),""))))</f>
        <v/>
      </c>
      <c r="O1433" s="114" t="str">
        <f>IF(Main[[#This Row],[Tech Start Date]]&lt;1/1/1990,"",IF(Main[[#This Row],[Class]]="C",WORKDAY(Main[[#This Row],[Tech Start Date]],23),IF(Main[[#This Row],[Class]]="B", WORKDAY(Main[[#This Row],[Tech Start Date]],15),IF(Main[[#This Row],[Class]]="A",WORKDAY(Main[[#This Row],[Tech Start Date]],5),""))))</f>
        <v/>
      </c>
      <c r="P1433" s="114" t="str">
        <f>IF(Main[[#This Row],[Tech Start Date]]&lt;1/1/1990,"",IF(Main[[#This Row],[Class]]="C",WORKDAY(Main[[#This Row],[Tech Start Date]],28),IF(Main[[#This Row],[Class]]="B", WORKDAY(Main[[#This Row],[Tech Start Date]],19),IF(Main[[#This Row],[Class]]="A",WORKDAY(Main[[#This Row],[Tech Start Date]],9),""))))</f>
        <v/>
      </c>
      <c r="Q1433" s="129">
        <v>40877</v>
      </c>
      <c r="R1433" s="129">
        <v>40877</v>
      </c>
      <c r="S1433" s="139" t="s">
        <v>17</v>
      </c>
      <c r="T1433" s="115" t="s">
        <v>4</v>
      </c>
      <c r="U1433" s="139" t="s">
        <v>29</v>
      </c>
      <c r="V1433" s="139" t="s">
        <v>1917</v>
      </c>
      <c r="W1433" s="139" t="s">
        <v>1922</v>
      </c>
      <c r="X1433" s="139" t="s">
        <v>553</v>
      </c>
      <c r="Y1433" s="112" t="s">
        <v>2952</v>
      </c>
      <c r="Z1433" s="112" t="s">
        <v>530</v>
      </c>
      <c r="AA1433" s="139" t="s">
        <v>553</v>
      </c>
    </row>
    <row r="1434" spans="1:27" ht="17.25" customHeight="1">
      <c r="A1434" s="69" t="str">
        <f>IF(priority(Main[[#This Row],[Comments]])&lt;&gt;0, priority(Main[[#This Row],[Comments]]),"")</f>
        <v/>
      </c>
      <c r="B1434" s="63" t="s">
        <v>2142</v>
      </c>
      <c r="C1434" s="148" t="s">
        <v>4</v>
      </c>
      <c r="D1434" s="113" t="s">
        <v>2795</v>
      </c>
      <c r="E1434" s="129">
        <v>40772.344918981478</v>
      </c>
      <c r="F1434" s="129"/>
      <c r="G1434" s="69" t="str">
        <f>IF(stdProdLT(Main[[#This Row],[Comments]])=0.1,"N/A",IF(stdProdLT(Main[[#This Row],[Comments]])=0,"",stdProdLT(Main[[#This Row],[Comments]])))</f>
        <v/>
      </c>
      <c r="H1434" s="138" t="str">
        <f>IF(Main[[#This Row],[In Stock Date]]="N/A", "N/A",IF(AND(Main[[#This Row],[In Stock Date]]&lt;&gt;"",Main[[#This Row],[Revised Due Date]]&lt;&gt;"",Main[[#This Row],[In Stock Date]]&lt;&gt;""),Main[[#This Row],[In Stock Date]]-Main[[#This Row],[Revised Due Date]],""))</f>
        <v/>
      </c>
      <c r="I1434" s="139" t="s">
        <v>877</v>
      </c>
      <c r="J1434" s="139" t="s">
        <v>28</v>
      </c>
      <c r="K1434" s="139" t="s">
        <v>1921</v>
      </c>
      <c r="L1434" s="129">
        <v>40772</v>
      </c>
      <c r="M1434" s="114">
        <f>IF(Main[[#This Row],[Tech Start Date]]&lt;1/1/1990,"",IF(Main[[#This Row],[Class]]="C",WORKDAY(Main[[#This Row],[Tech Start Date]],9),IF(Main[[#This Row],[Class]]="B", WORKDAY(Main[[#This Row],[Tech Start Date]],6),IF(Main[[#This Row],[Class]]="A",WORKDAY(Main[[#This Row],[Tech Start Date]],2),""))))</f>
        <v>40780</v>
      </c>
      <c r="N1434" s="114">
        <f>IF(Main[[#This Row],[Tech Start Date]]&lt;1/1/1990,"",IF(Main[[#This Row],[Class]]="C",WORKDAY(Main[[#This Row],[Tech Start Date]],19),IF(Main[[#This Row],[Class]]="B", WORKDAY(Main[[#This Row],[Tech Start Date]],12),IF(Main[[#This Row],[Class]]="A",WORKDAY(Main[[#This Row],[Tech Start Date]],4),""))))</f>
        <v>40788</v>
      </c>
      <c r="O1434" s="114">
        <f>IF(Main[[#This Row],[Tech Start Date]]&lt;1/1/1990,"",IF(Main[[#This Row],[Class]]="C",WORKDAY(Main[[#This Row],[Tech Start Date]],23),IF(Main[[#This Row],[Class]]="B", WORKDAY(Main[[#This Row],[Tech Start Date]],15),IF(Main[[#This Row],[Class]]="A",WORKDAY(Main[[#This Row],[Tech Start Date]],5),""))))</f>
        <v>40793</v>
      </c>
      <c r="P1434" s="114">
        <f>IF(Main[[#This Row],[Tech Start Date]]&lt;1/1/1990,"",IF(Main[[#This Row],[Class]]="C",WORKDAY(Main[[#This Row],[Tech Start Date]],28),IF(Main[[#This Row],[Class]]="B", WORKDAY(Main[[#This Row],[Tech Start Date]],19),IF(Main[[#This Row],[Class]]="A",WORKDAY(Main[[#This Row],[Tech Start Date]],9),""))))</f>
        <v>40799</v>
      </c>
      <c r="Q1434" s="129">
        <v>40779</v>
      </c>
      <c r="R1434" s="129">
        <v>40907</v>
      </c>
      <c r="S1434" s="139" t="s">
        <v>6</v>
      </c>
      <c r="T1434" s="115" t="s">
        <v>4</v>
      </c>
      <c r="U1434" s="139" t="s">
        <v>29</v>
      </c>
      <c r="V1434" s="139" t="s">
        <v>1914</v>
      </c>
      <c r="W1434" s="139" t="s">
        <v>1922</v>
      </c>
      <c r="X1434" s="139" t="s">
        <v>877</v>
      </c>
      <c r="Y1434" s="112" t="s">
        <v>4</v>
      </c>
      <c r="Z1434" s="112" t="s">
        <v>129</v>
      </c>
      <c r="AA1434" s="139" t="s">
        <v>3475</v>
      </c>
    </row>
    <row r="1435" spans="1:27" ht="17.25" customHeight="1">
      <c r="A1435" s="69" t="str">
        <f>IF(priority(Main[[#This Row],[Comments]])&lt;&gt;0, priority(Main[[#This Row],[Comments]]),"")</f>
        <v/>
      </c>
      <c r="B1435" s="63" t="s">
        <v>2143</v>
      </c>
      <c r="C1435" s="148" t="s">
        <v>4</v>
      </c>
      <c r="D1435" s="113" t="s">
        <v>2613</v>
      </c>
      <c r="E1435" s="129">
        <v>40772.447592592594</v>
      </c>
      <c r="F1435" s="129"/>
      <c r="G1435" s="69" t="str">
        <f>IF(stdProdLT(Main[[#This Row],[Comments]])=0.1,"N/A",IF(stdProdLT(Main[[#This Row],[Comments]])=0,"",stdProdLT(Main[[#This Row],[Comments]])))</f>
        <v/>
      </c>
      <c r="H1435" s="138" t="str">
        <f>IF(Main[[#This Row],[In Stock Date]]="N/A", "N/A",IF(AND(Main[[#This Row],[In Stock Date]]&lt;&gt;"",Main[[#This Row],[Revised Due Date]]&lt;&gt;"",Main[[#This Row],[In Stock Date]]&lt;&gt;""),Main[[#This Row],[In Stock Date]]-Main[[#This Row],[Revised Due Date]],""))</f>
        <v/>
      </c>
      <c r="I1435" s="139" t="s">
        <v>877</v>
      </c>
      <c r="J1435" s="139" t="s">
        <v>28</v>
      </c>
      <c r="K1435" s="139" t="s">
        <v>1927</v>
      </c>
      <c r="L1435" s="129">
        <v>40772</v>
      </c>
      <c r="M1435" s="114">
        <f>IF(Main[[#This Row],[Tech Start Date]]&lt;1/1/1990,"",IF(Main[[#This Row],[Class]]="C",WORKDAY(Main[[#This Row],[Tech Start Date]],9),IF(Main[[#This Row],[Class]]="B", WORKDAY(Main[[#This Row],[Tech Start Date]],6),IF(Main[[#This Row],[Class]]="A",WORKDAY(Main[[#This Row],[Tech Start Date]],2),""))))</f>
        <v>40785</v>
      </c>
      <c r="N1435" s="114">
        <f>IF(Main[[#This Row],[Tech Start Date]]&lt;1/1/1990,"",IF(Main[[#This Row],[Class]]="C",WORKDAY(Main[[#This Row],[Tech Start Date]],19),IF(Main[[#This Row],[Class]]="B", WORKDAY(Main[[#This Row],[Tech Start Date]],12),IF(Main[[#This Row],[Class]]="A",WORKDAY(Main[[#This Row],[Tech Start Date]],4),""))))</f>
        <v>40799</v>
      </c>
      <c r="O1435" s="114">
        <f>IF(Main[[#This Row],[Tech Start Date]]&lt;1/1/1990,"",IF(Main[[#This Row],[Class]]="C",WORKDAY(Main[[#This Row],[Tech Start Date]],23),IF(Main[[#This Row],[Class]]="B", WORKDAY(Main[[#This Row],[Tech Start Date]],15),IF(Main[[#This Row],[Class]]="A",WORKDAY(Main[[#This Row],[Tech Start Date]],5),""))))</f>
        <v>40805</v>
      </c>
      <c r="P1435" s="114">
        <f>IF(Main[[#This Row],[Tech Start Date]]&lt;1/1/1990,"",IF(Main[[#This Row],[Class]]="C",WORKDAY(Main[[#This Row],[Tech Start Date]],28),IF(Main[[#This Row],[Class]]="B", WORKDAY(Main[[#This Row],[Tech Start Date]],19),IF(Main[[#This Row],[Class]]="A",WORKDAY(Main[[#This Row],[Tech Start Date]],9),""))))</f>
        <v>40812</v>
      </c>
      <c r="Q1435" s="129">
        <v>40786</v>
      </c>
      <c r="R1435" s="129">
        <v>40907</v>
      </c>
      <c r="S1435" s="139" t="s">
        <v>17</v>
      </c>
      <c r="T1435" s="115" t="s">
        <v>2321</v>
      </c>
      <c r="U1435" s="139" t="s">
        <v>29</v>
      </c>
      <c r="V1435" s="139" t="s">
        <v>1914</v>
      </c>
      <c r="W1435" s="139" t="s">
        <v>1916</v>
      </c>
      <c r="X1435" s="139" t="s">
        <v>877</v>
      </c>
      <c r="Y1435" s="112" t="s">
        <v>3009</v>
      </c>
      <c r="Z1435" s="112" t="s">
        <v>129</v>
      </c>
      <c r="AA1435" s="139" t="s">
        <v>877</v>
      </c>
    </row>
    <row r="1436" spans="1:27" ht="17.25" customHeight="1">
      <c r="A1436" s="69" t="str">
        <f>IF(priority(Main[[#This Row],[Comments]])&lt;&gt;0, priority(Main[[#This Row],[Comments]]),"")</f>
        <v/>
      </c>
      <c r="B1436" s="63" t="s">
        <v>2147</v>
      </c>
      <c r="C1436" s="148" t="s">
        <v>53</v>
      </c>
      <c r="D1436" s="113" t="s">
        <v>2148</v>
      </c>
      <c r="E1436" s="129">
        <v>40774.327164351853</v>
      </c>
      <c r="F1436" s="129">
        <v>40786</v>
      </c>
      <c r="G1436" s="69" t="str">
        <f>IF(stdProdLT(Main[[#This Row],[Comments]])=0.1,"N/A",IF(stdProdLT(Main[[#This Row],[Comments]])=0,"",stdProdLT(Main[[#This Row],[Comments]])))</f>
        <v/>
      </c>
      <c r="H1436" s="138">
        <f>IF(Main[[#This Row],[In Stock Date]]="N/A", "N/A",IF(AND(Main[[#This Row],[In Stock Date]]&lt;&gt;"",Main[[#This Row],[Revised Due Date]]&lt;&gt;"",Main[[#This Row],[In Stock Date]]&lt;&gt;""),Main[[#This Row],[In Stock Date]]-Main[[#This Row],[Revised Due Date]],""))</f>
        <v>-6</v>
      </c>
      <c r="I1436" s="139" t="s">
        <v>2053</v>
      </c>
      <c r="J1436" s="139" t="s">
        <v>52</v>
      </c>
      <c r="K1436" s="140" t="s">
        <v>1923</v>
      </c>
      <c r="L1436" s="129">
        <v>40777</v>
      </c>
      <c r="M1436" s="114">
        <f>IF(Main[[#This Row],[Tech Start Date]]&lt;1/1/1990,"",IF(Main[[#This Row],[Class]]="C",WORKDAY(Main[[#This Row],[Tech Start Date]],9),IF(Main[[#This Row],[Class]]="B", WORKDAY(Main[[#This Row],[Tech Start Date]],6),IF(Main[[#This Row],[Class]]="A",WORKDAY(Main[[#This Row],[Tech Start Date]],2),""))))</f>
        <v>40779</v>
      </c>
      <c r="N1436" s="114">
        <f>IF(Main[[#This Row],[Tech Start Date]]&lt;1/1/1990,"",IF(Main[[#This Row],[Class]]="C",WORKDAY(Main[[#This Row],[Tech Start Date]],19),IF(Main[[#This Row],[Class]]="B", WORKDAY(Main[[#This Row],[Tech Start Date]],12),IF(Main[[#This Row],[Class]]="A",WORKDAY(Main[[#This Row],[Tech Start Date]],4),""))))</f>
        <v>40781</v>
      </c>
      <c r="O1436" s="114">
        <f>IF(Main[[#This Row],[Tech Start Date]]&lt;1/1/1990,"",IF(Main[[#This Row],[Class]]="C",WORKDAY(Main[[#This Row],[Tech Start Date]],23),IF(Main[[#This Row],[Class]]="B", WORKDAY(Main[[#This Row],[Tech Start Date]],15),IF(Main[[#This Row],[Class]]="A",WORKDAY(Main[[#This Row],[Tech Start Date]],5),""))))</f>
        <v>40784</v>
      </c>
      <c r="P1436" s="114">
        <f>IF(Main[[#This Row],[Tech Start Date]]&lt;1/1/1990,"",IF(Main[[#This Row],[Class]]="C",WORKDAY(Main[[#This Row],[Tech Start Date]],28),IF(Main[[#This Row],[Class]]="B", WORKDAY(Main[[#This Row],[Tech Start Date]],19),IF(Main[[#This Row],[Class]]="A",WORKDAY(Main[[#This Row],[Tech Start Date]],9),""))))</f>
        <v>40788</v>
      </c>
      <c r="Q1436" s="129"/>
      <c r="R1436" s="129">
        <v>40792</v>
      </c>
      <c r="S1436" s="139" t="s">
        <v>6</v>
      </c>
      <c r="T1436" s="115" t="s">
        <v>4</v>
      </c>
      <c r="U1436" s="139" t="s">
        <v>29</v>
      </c>
      <c r="V1436" s="139" t="s">
        <v>1915</v>
      </c>
      <c r="W1436" s="139" t="s">
        <v>1916</v>
      </c>
      <c r="X1436" s="139" t="s">
        <v>2816</v>
      </c>
      <c r="Y1436" s="112" t="s">
        <v>2993</v>
      </c>
      <c r="Z1436" s="112" t="s">
        <v>2053</v>
      </c>
      <c r="AA1436" s="139" t="s">
        <v>2816</v>
      </c>
    </row>
    <row r="1437" spans="1:27" ht="17.25" customHeight="1">
      <c r="A1437" s="69" t="str">
        <f>IF(priority(Main[[#This Row],[Comments]])&lt;&gt;0, priority(Main[[#This Row],[Comments]]),"")</f>
        <v/>
      </c>
      <c r="B1437" s="63" t="s">
        <v>2149</v>
      </c>
      <c r="C1437" s="148" t="s">
        <v>2150</v>
      </c>
      <c r="D1437" s="113" t="s">
        <v>2151</v>
      </c>
      <c r="E1437" s="129">
        <v>40778.69290509259</v>
      </c>
      <c r="F1437" s="129"/>
      <c r="G1437" s="69" t="str">
        <f>IF(stdProdLT(Main[[#This Row],[Comments]])=0.1,"N/A",IF(stdProdLT(Main[[#This Row],[Comments]])=0,"",stdProdLT(Main[[#This Row],[Comments]])))</f>
        <v/>
      </c>
      <c r="H1437" s="138" t="str">
        <f>IF(Main[[#This Row],[In Stock Date]]="N/A", "N/A",IF(AND(Main[[#This Row],[In Stock Date]]&lt;&gt;"",Main[[#This Row],[Revised Due Date]]&lt;&gt;"",Main[[#This Row],[In Stock Date]]&lt;&gt;""),Main[[#This Row],[In Stock Date]]-Main[[#This Row],[Revised Due Date]],""))</f>
        <v/>
      </c>
      <c r="I1437" s="139" t="s">
        <v>941</v>
      </c>
      <c r="J1437" s="139" t="s">
        <v>28</v>
      </c>
      <c r="K1437" s="139" t="s">
        <v>1921</v>
      </c>
      <c r="L1437" s="129">
        <v>40778</v>
      </c>
      <c r="M1437" s="114">
        <f>IF(Main[[#This Row],[Tech Start Date]]&lt;1/1/1990,"",IF(Main[[#This Row],[Class]]="C",WORKDAY(Main[[#This Row],[Tech Start Date]],9),IF(Main[[#This Row],[Class]]="B", WORKDAY(Main[[#This Row],[Tech Start Date]],6),IF(Main[[#This Row],[Class]]="A",WORKDAY(Main[[#This Row],[Tech Start Date]],2),""))))</f>
        <v>40786</v>
      </c>
      <c r="N1437" s="114">
        <f>IF(Main[[#This Row],[Tech Start Date]]&lt;1/1/1990,"",IF(Main[[#This Row],[Class]]="C",WORKDAY(Main[[#This Row],[Tech Start Date]],19),IF(Main[[#This Row],[Class]]="B", WORKDAY(Main[[#This Row],[Tech Start Date]],12),IF(Main[[#This Row],[Class]]="A",WORKDAY(Main[[#This Row],[Tech Start Date]],4),""))))</f>
        <v>40794</v>
      </c>
      <c r="O1437" s="114">
        <f>IF(Main[[#This Row],[Tech Start Date]]&lt;1/1/1990,"",IF(Main[[#This Row],[Class]]="C",WORKDAY(Main[[#This Row],[Tech Start Date]],23),IF(Main[[#This Row],[Class]]="B", WORKDAY(Main[[#This Row],[Tech Start Date]],15),IF(Main[[#This Row],[Class]]="A",WORKDAY(Main[[#This Row],[Tech Start Date]],5),""))))</f>
        <v>40799</v>
      </c>
      <c r="P1437" s="114">
        <f>IF(Main[[#This Row],[Tech Start Date]]&lt;1/1/1990,"",IF(Main[[#This Row],[Class]]="C",WORKDAY(Main[[#This Row],[Tech Start Date]],28),IF(Main[[#This Row],[Class]]="B", WORKDAY(Main[[#This Row],[Tech Start Date]],19),IF(Main[[#This Row],[Class]]="A",WORKDAY(Main[[#This Row],[Tech Start Date]],9),""))))</f>
        <v>40805</v>
      </c>
      <c r="Q1437" s="129"/>
      <c r="R1437" s="129">
        <v>40807</v>
      </c>
      <c r="S1437" s="139" t="s">
        <v>6</v>
      </c>
      <c r="T1437" s="115" t="s">
        <v>4</v>
      </c>
      <c r="U1437" s="139" t="s">
        <v>29</v>
      </c>
      <c r="V1437" s="139" t="s">
        <v>1915</v>
      </c>
      <c r="W1437" s="139" t="s">
        <v>1918</v>
      </c>
      <c r="X1437" s="139" t="s">
        <v>2053</v>
      </c>
      <c r="Y1437" s="112" t="s">
        <v>3153</v>
      </c>
      <c r="Z1437" s="112" t="s">
        <v>2053</v>
      </c>
      <c r="AA1437" s="139" t="s">
        <v>2053</v>
      </c>
    </row>
    <row r="1438" spans="1:27" ht="17.25" customHeight="1">
      <c r="A1438" s="69" t="str">
        <f>IF(priority(Main[[#This Row],[Comments]])&lt;&gt;0, priority(Main[[#This Row],[Comments]]),"")</f>
        <v/>
      </c>
      <c r="B1438" s="63" t="s">
        <v>2153</v>
      </c>
      <c r="C1438" s="148" t="s">
        <v>2150</v>
      </c>
      <c r="D1438" s="113" t="s">
        <v>2154</v>
      </c>
      <c r="E1438" s="129">
        <v>40778.690706018519</v>
      </c>
      <c r="F1438" s="129"/>
      <c r="G1438" s="69" t="str">
        <f>IF(stdProdLT(Main[[#This Row],[Comments]])=0.1,"N/A",IF(stdProdLT(Main[[#This Row],[Comments]])=0,"",stdProdLT(Main[[#This Row],[Comments]])))</f>
        <v/>
      </c>
      <c r="H1438" s="138" t="str">
        <f>IF(Main[[#This Row],[In Stock Date]]="N/A", "N/A",IF(AND(Main[[#This Row],[In Stock Date]]&lt;&gt;"",Main[[#This Row],[Revised Due Date]]&lt;&gt;"",Main[[#This Row],[In Stock Date]]&lt;&gt;""),Main[[#This Row],[In Stock Date]]-Main[[#This Row],[Revised Due Date]],""))</f>
        <v/>
      </c>
      <c r="I1438" s="139" t="s">
        <v>941</v>
      </c>
      <c r="J1438" s="139" t="s">
        <v>28</v>
      </c>
      <c r="K1438" s="139" t="s">
        <v>1923</v>
      </c>
      <c r="L1438" s="129">
        <v>40778</v>
      </c>
      <c r="M1438" s="114">
        <f>IF(Main[[#This Row],[Tech Start Date]]&lt;1/1/1990,"",IF(Main[[#This Row],[Class]]="C",WORKDAY(Main[[#This Row],[Tech Start Date]],9),IF(Main[[#This Row],[Class]]="B", WORKDAY(Main[[#This Row],[Tech Start Date]],6),IF(Main[[#This Row],[Class]]="A",WORKDAY(Main[[#This Row],[Tech Start Date]],2),""))))</f>
        <v>40780</v>
      </c>
      <c r="N1438" s="114">
        <f>IF(Main[[#This Row],[Tech Start Date]]&lt;1/1/1990,"",IF(Main[[#This Row],[Class]]="C",WORKDAY(Main[[#This Row],[Tech Start Date]],19),IF(Main[[#This Row],[Class]]="B", WORKDAY(Main[[#This Row],[Tech Start Date]],12),IF(Main[[#This Row],[Class]]="A",WORKDAY(Main[[#This Row],[Tech Start Date]],4),""))))</f>
        <v>40784</v>
      </c>
      <c r="O1438" s="114">
        <f>IF(Main[[#This Row],[Tech Start Date]]&lt;1/1/1990,"",IF(Main[[#This Row],[Class]]="C",WORKDAY(Main[[#This Row],[Tech Start Date]],23),IF(Main[[#This Row],[Class]]="B", WORKDAY(Main[[#This Row],[Tech Start Date]],15),IF(Main[[#This Row],[Class]]="A",WORKDAY(Main[[#This Row],[Tech Start Date]],5),""))))</f>
        <v>40785</v>
      </c>
      <c r="P1438" s="114">
        <f>IF(Main[[#This Row],[Tech Start Date]]&lt;1/1/1990,"",IF(Main[[#This Row],[Class]]="C",WORKDAY(Main[[#This Row],[Tech Start Date]],28),IF(Main[[#This Row],[Class]]="B", WORKDAY(Main[[#This Row],[Tech Start Date]],19),IF(Main[[#This Row],[Class]]="A",WORKDAY(Main[[#This Row],[Tech Start Date]],9),""))))</f>
        <v>40791</v>
      </c>
      <c r="Q1438" s="129"/>
      <c r="R1438" s="129">
        <v>40807</v>
      </c>
      <c r="S1438" s="139" t="s">
        <v>6</v>
      </c>
      <c r="T1438" s="115" t="s">
        <v>4</v>
      </c>
      <c r="U1438" s="139" t="s">
        <v>29</v>
      </c>
      <c r="V1438" s="139" t="s">
        <v>1915</v>
      </c>
      <c r="W1438" s="139" t="s">
        <v>1916</v>
      </c>
      <c r="X1438" s="139" t="s">
        <v>2053</v>
      </c>
      <c r="Y1438" s="112" t="s">
        <v>3153</v>
      </c>
      <c r="Z1438" s="112" t="s">
        <v>2053</v>
      </c>
      <c r="AA1438" s="139" t="s">
        <v>2053</v>
      </c>
    </row>
    <row r="1439" spans="1:27" ht="17.25" customHeight="1">
      <c r="A1439" s="69" t="str">
        <f>IF(priority(Main[[#This Row],[Comments]])&lt;&gt;0, priority(Main[[#This Row],[Comments]]),"")</f>
        <v/>
      </c>
      <c r="B1439" s="63" t="s">
        <v>2209</v>
      </c>
      <c r="C1439" s="148" t="s">
        <v>2210</v>
      </c>
      <c r="D1439" s="113" t="s">
        <v>2797</v>
      </c>
      <c r="E1439" s="129"/>
      <c r="F1439" s="129">
        <v>40940</v>
      </c>
      <c r="G1439" s="69">
        <f>IF(stdProdLT(Main[[#This Row],[Comments]])=0.1,"N/A",IF(stdProdLT(Main[[#This Row],[Comments]])=0,"",stdProdLT(Main[[#This Row],[Comments]])))</f>
        <v>112</v>
      </c>
      <c r="H1439" s="138" t="str">
        <f>IF(Main[[#This Row],[In Stock Date]]="N/A", "N/A",IF(AND(Main[[#This Row],[In Stock Date]]&lt;&gt;"",Main[[#This Row],[Revised Due Date]]&lt;&gt;"",Main[[#This Row],[In Stock Date]]&lt;&gt;""),Main[[#This Row],[In Stock Date]]-Main[[#This Row],[Revised Due Date]],""))</f>
        <v/>
      </c>
      <c r="I1439" s="139" t="s">
        <v>937</v>
      </c>
      <c r="J1439" s="139" t="s">
        <v>28</v>
      </c>
      <c r="K1439" s="139" t="s">
        <v>1921</v>
      </c>
      <c r="L1439" s="129">
        <v>40792</v>
      </c>
      <c r="M1439" s="114">
        <f>IF(Main[[#This Row],[Tech Start Date]]&lt;1/1/1990,"",IF(Main[[#This Row],[Class]]="C",WORKDAY(Main[[#This Row],[Tech Start Date]],9),IF(Main[[#This Row],[Class]]="B", WORKDAY(Main[[#This Row],[Tech Start Date]],6),IF(Main[[#This Row],[Class]]="A",WORKDAY(Main[[#This Row],[Tech Start Date]],2),""))))</f>
        <v>40800</v>
      </c>
      <c r="N1439" s="114">
        <f>IF(Main[[#This Row],[Tech Start Date]]&lt;1/1/1990,"",IF(Main[[#This Row],[Class]]="C",WORKDAY(Main[[#This Row],[Tech Start Date]],19),IF(Main[[#This Row],[Class]]="B", WORKDAY(Main[[#This Row],[Tech Start Date]],12),IF(Main[[#This Row],[Class]]="A",WORKDAY(Main[[#This Row],[Tech Start Date]],4),""))))</f>
        <v>40808</v>
      </c>
      <c r="O1439" s="114">
        <f>IF(Main[[#This Row],[Tech Start Date]]&lt;1/1/1990,"",IF(Main[[#This Row],[Class]]="C",WORKDAY(Main[[#This Row],[Tech Start Date]],23),IF(Main[[#This Row],[Class]]="B", WORKDAY(Main[[#This Row],[Tech Start Date]],15),IF(Main[[#This Row],[Class]]="A",WORKDAY(Main[[#This Row],[Tech Start Date]],5),""))))</f>
        <v>40813</v>
      </c>
      <c r="P1439" s="114">
        <f>IF(Main[[#This Row],[Tech Start Date]]&lt;1/1/1990,"",IF(Main[[#This Row],[Class]]="C",WORKDAY(Main[[#This Row],[Tech Start Date]],28),IF(Main[[#This Row],[Class]]="B", WORKDAY(Main[[#This Row],[Tech Start Date]],19),IF(Main[[#This Row],[Class]]="A",WORKDAY(Main[[#This Row],[Tech Start Date]],9),""))))</f>
        <v>40819</v>
      </c>
      <c r="Q1439" s="129">
        <v>40792</v>
      </c>
      <c r="R1439" s="129"/>
      <c r="S1439" s="139" t="s">
        <v>11</v>
      </c>
      <c r="T1439" s="115" t="s">
        <v>3310</v>
      </c>
      <c r="U1439" s="139" t="s">
        <v>14</v>
      </c>
      <c r="V1439" s="139" t="s">
        <v>1914</v>
      </c>
      <c r="W1439" s="139" t="s">
        <v>1919</v>
      </c>
      <c r="X1439" s="139" t="s">
        <v>2832</v>
      </c>
      <c r="Y1439" s="112" t="s">
        <v>2983</v>
      </c>
      <c r="Z1439" s="112" t="s">
        <v>129</v>
      </c>
      <c r="AA1439" s="139" t="s">
        <v>2849</v>
      </c>
    </row>
    <row r="1440" spans="1:27" ht="17.25" customHeight="1">
      <c r="A1440" s="69" t="str">
        <f>IF(priority(Main[[#This Row],[Comments]])&lt;&gt;0, priority(Main[[#This Row],[Comments]]),"")</f>
        <v/>
      </c>
      <c r="B1440" s="63" t="s">
        <v>2201</v>
      </c>
      <c r="C1440" s="148" t="s">
        <v>116</v>
      </c>
      <c r="D1440" s="113" t="s">
        <v>2202</v>
      </c>
      <c r="E1440" s="129">
        <v>40787.614270833335</v>
      </c>
      <c r="F1440" s="129"/>
      <c r="G1440" s="69" t="str">
        <f>IF(stdProdLT(Main[[#This Row],[Comments]])=0.1,"N/A",IF(stdProdLT(Main[[#This Row],[Comments]])=0,"",stdProdLT(Main[[#This Row],[Comments]])))</f>
        <v/>
      </c>
      <c r="H1440" s="138" t="str">
        <f>IF(Main[[#This Row],[In Stock Date]]="N/A", "N/A",IF(AND(Main[[#This Row],[In Stock Date]]&lt;&gt;"",Main[[#This Row],[Revised Due Date]]&lt;&gt;"",Main[[#This Row],[In Stock Date]]&lt;&gt;""),Main[[#This Row],[In Stock Date]]-Main[[#This Row],[Revised Due Date]],""))</f>
        <v/>
      </c>
      <c r="I1440" s="139" t="s">
        <v>2249</v>
      </c>
      <c r="J1440" s="139" t="s">
        <v>28</v>
      </c>
      <c r="K1440" s="139" t="s">
        <v>1927</v>
      </c>
      <c r="L1440" s="129">
        <v>40798</v>
      </c>
      <c r="M1440" s="114">
        <f>IF(Main[[#This Row],[Tech Start Date]]&lt;1/1/1990,"",IF(Main[[#This Row],[Class]]="C",WORKDAY(Main[[#This Row],[Tech Start Date]],9),IF(Main[[#This Row],[Class]]="B", WORKDAY(Main[[#This Row],[Tech Start Date]],6),IF(Main[[#This Row],[Class]]="A",WORKDAY(Main[[#This Row],[Tech Start Date]],2),""))))</f>
        <v>40809</v>
      </c>
      <c r="N1440" s="114">
        <f>IF(Main[[#This Row],[Tech Start Date]]&lt;1/1/1990,"",IF(Main[[#This Row],[Class]]="C",WORKDAY(Main[[#This Row],[Tech Start Date]],19),IF(Main[[#This Row],[Class]]="B", WORKDAY(Main[[#This Row],[Tech Start Date]],12),IF(Main[[#This Row],[Class]]="A",WORKDAY(Main[[#This Row],[Tech Start Date]],4),""))))</f>
        <v>40823</v>
      </c>
      <c r="O1440" s="114">
        <f>IF(Main[[#This Row],[Tech Start Date]]&lt;1/1/1990,"",IF(Main[[#This Row],[Class]]="C",WORKDAY(Main[[#This Row],[Tech Start Date]],23),IF(Main[[#This Row],[Class]]="B", WORKDAY(Main[[#This Row],[Tech Start Date]],15),IF(Main[[#This Row],[Class]]="A",WORKDAY(Main[[#This Row],[Tech Start Date]],5),""))))</f>
        <v>40829</v>
      </c>
      <c r="P1440" s="114">
        <f>IF(Main[[#This Row],[Tech Start Date]]&lt;1/1/1990,"",IF(Main[[#This Row],[Class]]="C",WORKDAY(Main[[#This Row],[Tech Start Date]],28),IF(Main[[#This Row],[Class]]="B", WORKDAY(Main[[#This Row],[Tech Start Date]],19),IF(Main[[#This Row],[Class]]="A",WORKDAY(Main[[#This Row],[Tech Start Date]],9),""))))</f>
        <v>40836</v>
      </c>
      <c r="Q1440" s="129">
        <v>40914</v>
      </c>
      <c r="R1440" s="129">
        <v>40841</v>
      </c>
      <c r="S1440" s="139" t="s">
        <v>6</v>
      </c>
      <c r="T1440" s="115" t="s">
        <v>4</v>
      </c>
      <c r="U1440" s="139" t="s">
        <v>29</v>
      </c>
      <c r="V1440" s="139" t="s">
        <v>1915</v>
      </c>
      <c r="W1440" s="139" t="s">
        <v>1916</v>
      </c>
      <c r="X1440" s="139" t="s">
        <v>2053</v>
      </c>
      <c r="Y1440" s="112" t="s">
        <v>3153</v>
      </c>
      <c r="Z1440" s="112" t="s">
        <v>2053</v>
      </c>
      <c r="AA1440" s="139" t="s">
        <v>2053</v>
      </c>
    </row>
    <row r="1441" spans="1:27" ht="17.25" customHeight="1">
      <c r="A1441" s="69" t="str">
        <f>IF(priority(Main[[#This Row],[Comments]])&lt;&gt;0, priority(Main[[#This Row],[Comments]]),"")</f>
        <v/>
      </c>
      <c r="B1441" s="63" t="s">
        <v>2178</v>
      </c>
      <c r="C1441" s="148" t="s">
        <v>4</v>
      </c>
      <c r="D1441" s="113" t="s">
        <v>2179</v>
      </c>
      <c r="E1441" s="129">
        <v>40787.619050925925</v>
      </c>
      <c r="F1441" s="129"/>
      <c r="G1441" s="69" t="str">
        <f>IF(stdProdLT(Main[[#This Row],[Comments]])=0.1,"N/A",IF(stdProdLT(Main[[#This Row],[Comments]])=0,"",stdProdLT(Main[[#This Row],[Comments]])))</f>
        <v/>
      </c>
      <c r="H1441" s="138" t="str">
        <f>IF(Main[[#This Row],[In Stock Date]]="N/A", "N/A",IF(AND(Main[[#This Row],[In Stock Date]]&lt;&gt;"",Main[[#This Row],[Revised Due Date]]&lt;&gt;"",Main[[#This Row],[In Stock Date]]&lt;&gt;""),Main[[#This Row],[In Stock Date]]-Main[[#This Row],[Revised Due Date]],""))</f>
        <v/>
      </c>
      <c r="I1441" s="139" t="s">
        <v>940</v>
      </c>
      <c r="J1441" s="139" t="s">
        <v>28</v>
      </c>
      <c r="K1441" s="139" t="s">
        <v>1927</v>
      </c>
      <c r="L1441" s="129">
        <v>40798</v>
      </c>
      <c r="M1441" s="114">
        <f>IF(Main[[#This Row],[Tech Start Date]]&lt;1/1/1990,"",IF(Main[[#This Row],[Class]]="C",WORKDAY(Main[[#This Row],[Tech Start Date]],9),IF(Main[[#This Row],[Class]]="B", WORKDAY(Main[[#This Row],[Tech Start Date]],6),IF(Main[[#This Row],[Class]]="A",WORKDAY(Main[[#This Row],[Tech Start Date]],2),""))))</f>
        <v>40809</v>
      </c>
      <c r="N1441" s="114">
        <f>IF(Main[[#This Row],[Tech Start Date]]&lt;1/1/1990,"",IF(Main[[#This Row],[Class]]="C",WORKDAY(Main[[#This Row],[Tech Start Date]],19),IF(Main[[#This Row],[Class]]="B", WORKDAY(Main[[#This Row],[Tech Start Date]],12),IF(Main[[#This Row],[Class]]="A",WORKDAY(Main[[#This Row],[Tech Start Date]],4),""))))</f>
        <v>40823</v>
      </c>
      <c r="O1441" s="114">
        <f>IF(Main[[#This Row],[Tech Start Date]]&lt;1/1/1990,"",IF(Main[[#This Row],[Class]]="C",WORKDAY(Main[[#This Row],[Tech Start Date]],23),IF(Main[[#This Row],[Class]]="B", WORKDAY(Main[[#This Row],[Tech Start Date]],15),IF(Main[[#This Row],[Class]]="A",WORKDAY(Main[[#This Row],[Tech Start Date]],5),""))))</f>
        <v>40829</v>
      </c>
      <c r="P1441" s="114">
        <f>IF(Main[[#This Row],[Tech Start Date]]&lt;1/1/1990,"",IF(Main[[#This Row],[Class]]="C",WORKDAY(Main[[#This Row],[Tech Start Date]],28),IF(Main[[#This Row],[Class]]="B", WORKDAY(Main[[#This Row],[Tech Start Date]],19),IF(Main[[#This Row],[Class]]="A",WORKDAY(Main[[#This Row],[Tech Start Date]],9),""))))</f>
        <v>40836</v>
      </c>
      <c r="Q1441" s="129">
        <v>40914</v>
      </c>
      <c r="R1441" s="129">
        <v>40841</v>
      </c>
      <c r="S1441" s="139" t="s">
        <v>6</v>
      </c>
      <c r="T1441" s="115" t="s">
        <v>4</v>
      </c>
      <c r="U1441" s="139" t="s">
        <v>29</v>
      </c>
      <c r="V1441" s="139" t="s">
        <v>1915</v>
      </c>
      <c r="W1441" s="139" t="s">
        <v>1916</v>
      </c>
      <c r="X1441" s="139" t="s">
        <v>2053</v>
      </c>
      <c r="Y1441" s="112" t="s">
        <v>3153</v>
      </c>
      <c r="Z1441" s="112" t="s">
        <v>2053</v>
      </c>
      <c r="AA1441" s="139" t="s">
        <v>2053</v>
      </c>
    </row>
    <row r="1442" spans="1:27" ht="17.25" customHeight="1">
      <c r="A1442" s="69" t="str">
        <f>IF(priority(Main[[#This Row],[Comments]])&lt;&gt;0, priority(Main[[#This Row],[Comments]]),"")</f>
        <v/>
      </c>
      <c r="B1442" s="63" t="s">
        <v>2229</v>
      </c>
      <c r="C1442" s="148" t="s">
        <v>2230</v>
      </c>
      <c r="D1442" s="113" t="s">
        <v>2231</v>
      </c>
      <c r="E1442" s="129"/>
      <c r="F1442" s="129">
        <v>40814</v>
      </c>
      <c r="G1442" s="69">
        <f>IF(stdProdLT(Main[[#This Row],[Comments]])=0.1,"N/A",IF(stdProdLT(Main[[#This Row],[Comments]])=0,"",stdProdLT(Main[[#This Row],[Comments]])))</f>
        <v>112</v>
      </c>
      <c r="H1442" s="138">
        <f>IF(Main[[#This Row],[In Stock Date]]="N/A", "N/A",IF(AND(Main[[#This Row],[In Stock Date]]&lt;&gt;"",Main[[#This Row],[Revised Due Date]]&lt;&gt;"",Main[[#This Row],[In Stock Date]]&lt;&gt;""),Main[[#This Row],[In Stock Date]]-Main[[#This Row],[Revised Due Date]],""))</f>
        <v>-6</v>
      </c>
      <c r="I1442" s="139" t="s">
        <v>2044</v>
      </c>
      <c r="J1442" s="139" t="s">
        <v>28</v>
      </c>
      <c r="K1442" s="139" t="s">
        <v>1923</v>
      </c>
      <c r="L1442" s="129">
        <v>40805</v>
      </c>
      <c r="M1442" s="114">
        <f>IF(Main[[#This Row],[Tech Start Date]]&lt;1/1/1990,"",IF(Main[[#This Row],[Class]]="C",WORKDAY(Main[[#This Row],[Tech Start Date]],9),IF(Main[[#This Row],[Class]]="B", WORKDAY(Main[[#This Row],[Tech Start Date]],6),IF(Main[[#This Row],[Class]]="A",WORKDAY(Main[[#This Row],[Tech Start Date]],2),""))))</f>
        <v>40807</v>
      </c>
      <c r="N1442" s="114">
        <f>IF(Main[[#This Row],[Tech Start Date]]&lt;1/1/1990,"",IF(Main[[#This Row],[Class]]="C",WORKDAY(Main[[#This Row],[Tech Start Date]],19),IF(Main[[#This Row],[Class]]="B", WORKDAY(Main[[#This Row],[Tech Start Date]],12),IF(Main[[#This Row],[Class]]="A",WORKDAY(Main[[#This Row],[Tech Start Date]],4),""))))</f>
        <v>40809</v>
      </c>
      <c r="O1442" s="114">
        <f>IF(Main[[#This Row],[Tech Start Date]]&lt;1/1/1990,"",IF(Main[[#This Row],[Class]]="C",WORKDAY(Main[[#This Row],[Tech Start Date]],23),IF(Main[[#This Row],[Class]]="B", WORKDAY(Main[[#This Row],[Tech Start Date]],15),IF(Main[[#This Row],[Class]]="A",WORKDAY(Main[[#This Row],[Tech Start Date]],5),""))))</f>
        <v>40812</v>
      </c>
      <c r="P1442" s="114">
        <f>IF(Main[[#This Row],[Tech Start Date]]&lt;1/1/1990,"",IF(Main[[#This Row],[Class]]="C",WORKDAY(Main[[#This Row],[Tech Start Date]],28),IF(Main[[#This Row],[Class]]="B", WORKDAY(Main[[#This Row],[Tech Start Date]],19),IF(Main[[#This Row],[Class]]="A",WORKDAY(Main[[#This Row],[Tech Start Date]],9),""))))</f>
        <v>40816</v>
      </c>
      <c r="Q1442" s="129">
        <v>40819</v>
      </c>
      <c r="R1442" s="129">
        <v>40820</v>
      </c>
      <c r="S1442" s="139" t="s">
        <v>11</v>
      </c>
      <c r="T1442" s="115" t="s">
        <v>2263</v>
      </c>
      <c r="U1442" s="139" t="s">
        <v>14</v>
      </c>
      <c r="V1442" s="139" t="s">
        <v>1917</v>
      </c>
      <c r="W1442" s="139" t="s">
        <v>1922</v>
      </c>
      <c r="X1442" s="139" t="s">
        <v>2922</v>
      </c>
      <c r="Y1442" s="112" t="s">
        <v>4</v>
      </c>
      <c r="Z1442" s="112" t="s">
        <v>2044</v>
      </c>
      <c r="AA1442" s="139" t="s">
        <v>2922</v>
      </c>
    </row>
    <row r="1443" spans="1:27" ht="17.25" customHeight="1">
      <c r="A1443" s="69" t="str">
        <f>IF(priority(Main[[#This Row],[Comments]])&lt;&gt;0, priority(Main[[#This Row],[Comments]]),"")</f>
        <v/>
      </c>
      <c r="B1443" s="63" t="s">
        <v>2096</v>
      </c>
      <c r="C1443" s="148" t="s">
        <v>4</v>
      </c>
      <c r="D1443" s="113" t="s">
        <v>2798</v>
      </c>
      <c r="E1443" s="129">
        <v>40760.556030092594</v>
      </c>
      <c r="F1443" s="129"/>
      <c r="G1443" s="69" t="str">
        <f>IF(stdProdLT(Main[[#This Row],[Comments]])=0.1,"N/A",IF(stdProdLT(Main[[#This Row],[Comments]])=0,"",stdProdLT(Main[[#This Row],[Comments]])))</f>
        <v/>
      </c>
      <c r="H1443" s="138" t="str">
        <f>IF(Main[[#This Row],[In Stock Date]]="N/A", "N/A",IF(AND(Main[[#This Row],[In Stock Date]]&lt;&gt;"",Main[[#This Row],[Revised Due Date]]&lt;&gt;"",Main[[#This Row],[In Stock Date]]&lt;&gt;""),Main[[#This Row],[In Stock Date]]-Main[[#This Row],[Revised Due Date]],""))</f>
        <v/>
      </c>
      <c r="I1443" s="139" t="s">
        <v>889</v>
      </c>
      <c r="J1443" s="139" t="s">
        <v>4</v>
      </c>
      <c r="K1443" s="139" t="s">
        <v>1926</v>
      </c>
      <c r="L1443" s="129">
        <v>40805</v>
      </c>
      <c r="M1443" s="114" t="str">
        <f>IF(Main[[#This Row],[Tech Start Date]]&lt;1/1/1990,"",IF(Main[[#This Row],[Class]]="C",WORKDAY(Main[[#This Row],[Tech Start Date]],9),IF(Main[[#This Row],[Class]]="B", WORKDAY(Main[[#This Row],[Tech Start Date]],6),IF(Main[[#This Row],[Class]]="A",WORKDAY(Main[[#This Row],[Tech Start Date]],2),""))))</f>
        <v/>
      </c>
      <c r="N1443" s="114" t="str">
        <f>IF(Main[[#This Row],[Tech Start Date]]&lt;1/1/1990,"",IF(Main[[#This Row],[Class]]="C",WORKDAY(Main[[#This Row],[Tech Start Date]],19),IF(Main[[#This Row],[Class]]="B", WORKDAY(Main[[#This Row],[Tech Start Date]],12),IF(Main[[#This Row],[Class]]="A",WORKDAY(Main[[#This Row],[Tech Start Date]],4),""))))</f>
        <v/>
      </c>
      <c r="O1443" s="114" t="str">
        <f>IF(Main[[#This Row],[Tech Start Date]]&lt;1/1/1990,"",IF(Main[[#This Row],[Class]]="C",WORKDAY(Main[[#This Row],[Tech Start Date]],23),IF(Main[[#This Row],[Class]]="B", WORKDAY(Main[[#This Row],[Tech Start Date]],15),IF(Main[[#This Row],[Class]]="A",WORKDAY(Main[[#This Row],[Tech Start Date]],5),""))))</f>
        <v/>
      </c>
      <c r="P1443" s="114" t="str">
        <f>IF(Main[[#This Row],[Tech Start Date]]&lt;1/1/1990,"",IF(Main[[#This Row],[Class]]="C",WORKDAY(Main[[#This Row],[Tech Start Date]],28),IF(Main[[#This Row],[Class]]="B", WORKDAY(Main[[#This Row],[Tech Start Date]],19),IF(Main[[#This Row],[Class]]="A",WORKDAY(Main[[#This Row],[Tech Start Date]],9),""))))</f>
        <v/>
      </c>
      <c r="Q1443" s="129"/>
      <c r="R1443" s="129">
        <v>41075</v>
      </c>
      <c r="S1443" s="139" t="s">
        <v>6</v>
      </c>
      <c r="T1443" s="115" t="s">
        <v>4</v>
      </c>
      <c r="U1443" s="139" t="s">
        <v>29</v>
      </c>
      <c r="V1443" s="139" t="s">
        <v>1914</v>
      </c>
      <c r="W1443" s="139" t="s">
        <v>1918</v>
      </c>
      <c r="X1443" s="139" t="s">
        <v>306</v>
      </c>
      <c r="Y1443" s="112" t="s">
        <v>4</v>
      </c>
      <c r="Z1443" s="112" t="s">
        <v>877</v>
      </c>
      <c r="AA1443" s="139" t="s">
        <v>4</v>
      </c>
    </row>
    <row r="1444" spans="1:27" ht="17.25" customHeight="1">
      <c r="A1444" s="69" t="str">
        <f>IF(priority(Main[[#This Row],[Comments]])&lt;&gt;0, priority(Main[[#This Row],[Comments]]),"")</f>
        <v/>
      </c>
      <c r="B1444" s="63" t="s">
        <v>2076</v>
      </c>
      <c r="C1444" s="148" t="s">
        <v>33</v>
      </c>
      <c r="D1444" s="62" t="s">
        <v>3793</v>
      </c>
      <c r="E1444" s="129">
        <v>40776.124837962961</v>
      </c>
      <c r="F1444" s="129">
        <v>41007</v>
      </c>
      <c r="G1444" s="69">
        <f>IF(stdProdLT(Main[[#This Row],[Comments]])=0.1,"N/A",IF(stdProdLT(Main[[#This Row],[Comments]])=0,"",stdProdLT(Main[[#This Row],[Comments]])))</f>
        <v>112</v>
      </c>
      <c r="H1444" s="138" t="str">
        <f>IF(Main[[#This Row],[In Stock Date]]="N/A", "N/A",IF(AND(Main[[#This Row],[In Stock Date]]&lt;&gt;"",Main[[#This Row],[Revised Due Date]]&lt;&gt;"",Main[[#This Row],[In Stock Date]]&lt;&gt;""),Main[[#This Row],[In Stock Date]]-Main[[#This Row],[Revised Due Date]],""))</f>
        <v/>
      </c>
      <c r="I1444" s="139" t="s">
        <v>912</v>
      </c>
      <c r="J1444" s="139" t="s">
        <v>52</v>
      </c>
      <c r="K1444" s="139" t="s">
        <v>1927</v>
      </c>
      <c r="L1444" s="129">
        <v>40805</v>
      </c>
      <c r="M1444" s="114">
        <f>IF(Main[[#This Row],[Tech Start Date]]&lt;1/1/1990,"",IF(Main[[#This Row],[Class]]="C",WORKDAY(Main[[#This Row],[Tech Start Date]],9),IF(Main[[#This Row],[Class]]="B", WORKDAY(Main[[#This Row],[Tech Start Date]],6),IF(Main[[#This Row],[Class]]="A",WORKDAY(Main[[#This Row],[Tech Start Date]],2),""))))</f>
        <v>40816</v>
      </c>
      <c r="N1444" s="114">
        <f>IF(Main[[#This Row],[Tech Start Date]]&lt;1/1/1990,"",IF(Main[[#This Row],[Class]]="C",WORKDAY(Main[[#This Row],[Tech Start Date]],19),IF(Main[[#This Row],[Class]]="B", WORKDAY(Main[[#This Row],[Tech Start Date]],12),IF(Main[[#This Row],[Class]]="A",WORKDAY(Main[[#This Row],[Tech Start Date]],4),""))))</f>
        <v>40830</v>
      </c>
      <c r="O1444" s="114">
        <f>IF(Main[[#This Row],[Tech Start Date]]&lt;1/1/1990,"",IF(Main[[#This Row],[Class]]="C",WORKDAY(Main[[#This Row],[Tech Start Date]],23),IF(Main[[#This Row],[Class]]="B", WORKDAY(Main[[#This Row],[Tech Start Date]],15),IF(Main[[#This Row],[Class]]="A",WORKDAY(Main[[#This Row],[Tech Start Date]],5),""))))</f>
        <v>40836</v>
      </c>
      <c r="P1444" s="114">
        <f>IF(Main[[#This Row],[Tech Start Date]]&lt;1/1/1990,"",IF(Main[[#This Row],[Class]]="C",WORKDAY(Main[[#This Row],[Tech Start Date]],28),IF(Main[[#This Row],[Class]]="B", WORKDAY(Main[[#This Row],[Tech Start Date]],19),IF(Main[[#This Row],[Class]]="A",WORKDAY(Main[[#This Row],[Tech Start Date]],9),""))))</f>
        <v>40843</v>
      </c>
      <c r="Q1444" s="129">
        <v>40811</v>
      </c>
      <c r="R1444" s="129"/>
      <c r="S1444" s="139" t="s">
        <v>11</v>
      </c>
      <c r="T1444" s="115" t="s">
        <v>3794</v>
      </c>
      <c r="U1444" s="139" t="s">
        <v>534</v>
      </c>
      <c r="V1444" s="139" t="s">
        <v>1914</v>
      </c>
      <c r="W1444" s="139" t="s">
        <v>1919</v>
      </c>
      <c r="X1444" s="139" t="s">
        <v>2826</v>
      </c>
      <c r="Y1444" s="112" t="s">
        <v>2946</v>
      </c>
      <c r="Z1444" s="112" t="s">
        <v>129</v>
      </c>
      <c r="AA1444" s="139" t="s">
        <v>2826</v>
      </c>
    </row>
    <row r="1445" spans="1:27" ht="17.25" customHeight="1">
      <c r="A1445" s="69" t="str">
        <f>IF(priority(Main[[#This Row],[Comments]])&lt;&gt;0, priority(Main[[#This Row],[Comments]]),"")</f>
        <v/>
      </c>
      <c r="B1445" s="63" t="s">
        <v>2614</v>
      </c>
      <c r="C1445" s="148" t="s">
        <v>518</v>
      </c>
      <c r="D1445" s="113" t="s">
        <v>2615</v>
      </c>
      <c r="E1445" s="129"/>
      <c r="F1445" s="129">
        <v>40854</v>
      </c>
      <c r="G1445" s="69">
        <f>IF(stdProdLT(Main[[#This Row],[Comments]])=0.1,"N/A",IF(stdProdLT(Main[[#This Row],[Comments]])=0,"",stdProdLT(Main[[#This Row],[Comments]])))</f>
        <v>98</v>
      </c>
      <c r="H1445" s="138">
        <f>IF(Main[[#This Row],[In Stock Date]]="N/A", "N/A",IF(AND(Main[[#This Row],[In Stock Date]]&lt;&gt;"",Main[[#This Row],[Revised Due Date]]&lt;&gt;"",Main[[#This Row],[In Stock Date]]&lt;&gt;""),Main[[#This Row],[In Stock Date]]-Main[[#This Row],[Revised Due Date]],""))</f>
        <v>18</v>
      </c>
      <c r="I1445" s="139" t="s">
        <v>2044</v>
      </c>
      <c r="J1445" s="139" t="s">
        <v>28</v>
      </c>
      <c r="K1445" s="139" t="s">
        <v>1923</v>
      </c>
      <c r="L1445" s="129">
        <v>40821</v>
      </c>
      <c r="M1445" s="114">
        <f>IF(Main[[#This Row],[Tech Start Date]]&lt;1/1/1990,"",IF(Main[[#This Row],[Class]]="C",WORKDAY(Main[[#This Row],[Tech Start Date]],9),IF(Main[[#This Row],[Class]]="B", WORKDAY(Main[[#This Row],[Tech Start Date]],6),IF(Main[[#This Row],[Class]]="A",WORKDAY(Main[[#This Row],[Tech Start Date]],2),""))))</f>
        <v>40823</v>
      </c>
      <c r="N1445" s="114">
        <f>IF(Main[[#This Row],[Tech Start Date]]&lt;1/1/1990,"",IF(Main[[#This Row],[Class]]="C",WORKDAY(Main[[#This Row],[Tech Start Date]],19),IF(Main[[#This Row],[Class]]="B", WORKDAY(Main[[#This Row],[Tech Start Date]],12),IF(Main[[#This Row],[Class]]="A",WORKDAY(Main[[#This Row],[Tech Start Date]],4),""))))</f>
        <v>40827</v>
      </c>
      <c r="O1445" s="114">
        <f>IF(Main[[#This Row],[Tech Start Date]]&lt;1/1/1990,"",IF(Main[[#This Row],[Class]]="C",WORKDAY(Main[[#This Row],[Tech Start Date]],23),IF(Main[[#This Row],[Class]]="B", WORKDAY(Main[[#This Row],[Tech Start Date]],15),IF(Main[[#This Row],[Class]]="A",WORKDAY(Main[[#This Row],[Tech Start Date]],5),""))))</f>
        <v>40828</v>
      </c>
      <c r="P1445" s="114">
        <f>IF(Main[[#This Row],[Tech Start Date]]&lt;1/1/1990,"",IF(Main[[#This Row],[Class]]="C",WORKDAY(Main[[#This Row],[Tech Start Date]],28),IF(Main[[#This Row],[Class]]="B", WORKDAY(Main[[#This Row],[Tech Start Date]],19),IF(Main[[#This Row],[Class]]="A",WORKDAY(Main[[#This Row],[Tech Start Date]],9),""))))</f>
        <v>40834</v>
      </c>
      <c r="Q1445" s="129"/>
      <c r="R1445" s="129">
        <v>40836</v>
      </c>
      <c r="S1445" s="139" t="s">
        <v>11</v>
      </c>
      <c r="T1445" s="115" t="s">
        <v>2616</v>
      </c>
      <c r="U1445" s="139" t="s">
        <v>14</v>
      </c>
      <c r="V1445" s="139" t="s">
        <v>1917</v>
      </c>
      <c r="W1445" s="139" t="s">
        <v>1922</v>
      </c>
      <c r="X1445" s="139" t="s">
        <v>50</v>
      </c>
      <c r="Y1445" s="112" t="s">
        <v>3155</v>
      </c>
      <c r="Z1445" s="112" t="s">
        <v>530</v>
      </c>
      <c r="AA1445" s="139" t="s">
        <v>3476</v>
      </c>
    </row>
    <row r="1446" spans="1:27" ht="17.25" customHeight="1">
      <c r="A1446" s="69" t="str">
        <f>IF(priority(Main[[#This Row],[Comments]])&lt;&gt;0, priority(Main[[#This Row],[Comments]]),"")</f>
        <v/>
      </c>
      <c r="B1446" s="63" t="s">
        <v>2617</v>
      </c>
      <c r="C1446" s="148" t="s">
        <v>116</v>
      </c>
      <c r="D1446" s="113" t="s">
        <v>2618</v>
      </c>
      <c r="E1446" s="129">
        <v>40823.419490740744</v>
      </c>
      <c r="F1446" s="129"/>
      <c r="G1446" s="69" t="str">
        <f>IF(stdProdLT(Main[[#This Row],[Comments]])=0.1,"N/A",IF(stdProdLT(Main[[#This Row],[Comments]])=0,"",stdProdLT(Main[[#This Row],[Comments]])))</f>
        <v/>
      </c>
      <c r="H1446" s="138" t="str">
        <f>IF(Main[[#This Row],[In Stock Date]]="N/A", "N/A",IF(AND(Main[[#This Row],[In Stock Date]]&lt;&gt;"",Main[[#This Row],[Revised Due Date]]&lt;&gt;"",Main[[#This Row],[In Stock Date]]&lt;&gt;""),Main[[#This Row],[In Stock Date]]-Main[[#This Row],[Revised Due Date]],""))</f>
        <v/>
      </c>
      <c r="I1446" s="139" t="s">
        <v>239</v>
      </c>
      <c r="J1446" s="139" t="s">
        <v>21</v>
      </c>
      <c r="K1446" s="139" t="s">
        <v>1921</v>
      </c>
      <c r="L1446" s="129">
        <v>40823</v>
      </c>
      <c r="M1446" s="114">
        <f>IF(Main[[#This Row],[Tech Start Date]]&lt;1/1/1990,"",IF(Main[[#This Row],[Class]]="C",WORKDAY(Main[[#This Row],[Tech Start Date]],9),IF(Main[[#This Row],[Class]]="B", WORKDAY(Main[[#This Row],[Tech Start Date]],6),IF(Main[[#This Row],[Class]]="A",WORKDAY(Main[[#This Row],[Tech Start Date]],2),""))))</f>
        <v>40833</v>
      </c>
      <c r="N1446" s="114">
        <f>IF(Main[[#This Row],[Tech Start Date]]&lt;1/1/1990,"",IF(Main[[#This Row],[Class]]="C",WORKDAY(Main[[#This Row],[Tech Start Date]],19),IF(Main[[#This Row],[Class]]="B", WORKDAY(Main[[#This Row],[Tech Start Date]],12),IF(Main[[#This Row],[Class]]="A",WORKDAY(Main[[#This Row],[Tech Start Date]],4),""))))</f>
        <v>40841</v>
      </c>
      <c r="O1446" s="114">
        <f>IF(Main[[#This Row],[Tech Start Date]]&lt;1/1/1990,"",IF(Main[[#This Row],[Class]]="C",WORKDAY(Main[[#This Row],[Tech Start Date]],23),IF(Main[[#This Row],[Class]]="B", WORKDAY(Main[[#This Row],[Tech Start Date]],15),IF(Main[[#This Row],[Class]]="A",WORKDAY(Main[[#This Row],[Tech Start Date]],5),""))))</f>
        <v>40844</v>
      </c>
      <c r="P1446" s="114">
        <f>IF(Main[[#This Row],[Tech Start Date]]&lt;1/1/1990,"",IF(Main[[#This Row],[Class]]="C",WORKDAY(Main[[#This Row],[Tech Start Date]],28),IF(Main[[#This Row],[Class]]="B", WORKDAY(Main[[#This Row],[Tech Start Date]],19),IF(Main[[#This Row],[Class]]="A",WORKDAY(Main[[#This Row],[Tech Start Date]],9),""))))</f>
        <v>40850</v>
      </c>
      <c r="Q1446" s="129"/>
      <c r="R1446" s="129">
        <v>40837</v>
      </c>
      <c r="S1446" s="139" t="s">
        <v>6</v>
      </c>
      <c r="T1446" s="115" t="s">
        <v>4</v>
      </c>
      <c r="U1446" s="139" t="s">
        <v>29</v>
      </c>
      <c r="V1446" s="139" t="s">
        <v>1917</v>
      </c>
      <c r="W1446" s="139" t="s">
        <v>1918</v>
      </c>
      <c r="X1446" s="139" t="s">
        <v>2044</v>
      </c>
      <c r="Y1446" s="112" t="s">
        <v>3156</v>
      </c>
      <c r="Z1446" s="112" t="s">
        <v>530</v>
      </c>
      <c r="AA1446" s="139" t="s">
        <v>2044</v>
      </c>
    </row>
    <row r="1447" spans="1:27" ht="17.25" customHeight="1">
      <c r="A1447" s="69" t="str">
        <f>IF(priority(Main[[#This Row],[Comments]])&lt;&gt;0, priority(Main[[#This Row],[Comments]]),"")</f>
        <v/>
      </c>
      <c r="B1447" s="63" t="s">
        <v>2290</v>
      </c>
      <c r="C1447" s="148" t="s">
        <v>2291</v>
      </c>
      <c r="D1447" s="62" t="s">
        <v>3795</v>
      </c>
      <c r="E1447" s="129">
        <v>40814.583657407406</v>
      </c>
      <c r="F1447" s="129">
        <v>41150</v>
      </c>
      <c r="G1447" s="69">
        <f>IF(stdProdLT(Main[[#This Row],[Comments]])=0.1,"N/A",IF(stdProdLT(Main[[#This Row],[Comments]])=0,"",stdProdLT(Main[[#This Row],[Comments]])))</f>
        <v>112</v>
      </c>
      <c r="H1447" s="138" t="str">
        <f>IF(Main[[#This Row],[In Stock Date]]="N/A", "N/A",IF(AND(Main[[#This Row],[In Stock Date]]&lt;&gt;"",Main[[#This Row],[Revised Due Date]]&lt;&gt;"",Main[[#This Row],[In Stock Date]]&lt;&gt;""),Main[[#This Row],[In Stock Date]]-Main[[#This Row],[Revised Due Date]],""))</f>
        <v/>
      </c>
      <c r="I1447" s="139" t="s">
        <v>561</v>
      </c>
      <c r="J1447" s="139" t="s">
        <v>28</v>
      </c>
      <c r="K1447" s="139" t="s">
        <v>1927</v>
      </c>
      <c r="L1447" s="129">
        <v>40828</v>
      </c>
      <c r="M1447" s="114">
        <f>IF(Main[[#This Row],[Tech Start Date]]&lt;1/1/1990,"",IF(Main[[#This Row],[Class]]="C",WORKDAY(Main[[#This Row],[Tech Start Date]],9),IF(Main[[#This Row],[Class]]="B", WORKDAY(Main[[#This Row],[Tech Start Date]],6),IF(Main[[#This Row],[Class]]="A",WORKDAY(Main[[#This Row],[Tech Start Date]],2),""))))</f>
        <v>40841</v>
      </c>
      <c r="N1447" s="114">
        <f>IF(Main[[#This Row],[Tech Start Date]]&lt;1/1/1990,"",IF(Main[[#This Row],[Class]]="C",WORKDAY(Main[[#This Row],[Tech Start Date]],19),IF(Main[[#This Row],[Class]]="B", WORKDAY(Main[[#This Row],[Tech Start Date]],12),IF(Main[[#This Row],[Class]]="A",WORKDAY(Main[[#This Row],[Tech Start Date]],4),""))))</f>
        <v>40855</v>
      </c>
      <c r="O1447" s="114">
        <f>IF(Main[[#This Row],[Tech Start Date]]&lt;1/1/1990,"",IF(Main[[#This Row],[Class]]="C",WORKDAY(Main[[#This Row],[Tech Start Date]],23),IF(Main[[#This Row],[Class]]="B", WORKDAY(Main[[#This Row],[Tech Start Date]],15),IF(Main[[#This Row],[Class]]="A",WORKDAY(Main[[#This Row],[Tech Start Date]],5),""))))</f>
        <v>40861</v>
      </c>
      <c r="P1447" s="114">
        <f>IF(Main[[#This Row],[Tech Start Date]]&lt;1/1/1990,"",IF(Main[[#This Row],[Class]]="C",WORKDAY(Main[[#This Row],[Tech Start Date]],28),IF(Main[[#This Row],[Class]]="B", WORKDAY(Main[[#This Row],[Tech Start Date]],19),IF(Main[[#This Row],[Class]]="A",WORKDAY(Main[[#This Row],[Tech Start Date]],9),""))))</f>
        <v>40868</v>
      </c>
      <c r="Q1447" s="129">
        <v>40876</v>
      </c>
      <c r="R1447" s="129"/>
      <c r="S1447" s="139" t="s">
        <v>11</v>
      </c>
      <c r="T1447" s="115" t="s">
        <v>3796</v>
      </c>
      <c r="U1447" s="139" t="s">
        <v>534</v>
      </c>
      <c r="V1447" s="139" t="s">
        <v>1914</v>
      </c>
      <c r="W1447" s="139" t="s">
        <v>1920</v>
      </c>
      <c r="X1447" s="139" t="s">
        <v>2923</v>
      </c>
      <c r="Y1447" s="112" t="s">
        <v>4</v>
      </c>
      <c r="Z1447" s="112" t="s">
        <v>129</v>
      </c>
      <c r="AA1447" s="139" t="s">
        <v>3477</v>
      </c>
    </row>
    <row r="1448" spans="1:27" ht="17.25" customHeight="1">
      <c r="A1448" s="69" t="str">
        <f>IF(priority(Main[[#This Row],[Comments]])&lt;&gt;0, priority(Main[[#This Row],[Comments]]),"")</f>
        <v/>
      </c>
      <c r="B1448" s="63" t="s">
        <v>2621</v>
      </c>
      <c r="C1448" s="148" t="s">
        <v>116</v>
      </c>
      <c r="D1448" s="113" t="s">
        <v>2622</v>
      </c>
      <c r="E1448" s="129"/>
      <c r="F1448" s="129"/>
      <c r="G1448" s="69" t="str">
        <f>IF(stdProdLT(Main[[#This Row],[Comments]])=0.1,"N/A",IF(stdProdLT(Main[[#This Row],[Comments]])=0,"",stdProdLT(Main[[#This Row],[Comments]])))</f>
        <v>N/A</v>
      </c>
      <c r="H1448" s="138" t="str">
        <f>IF(Main[[#This Row],[In Stock Date]]="N/A", "N/A",IF(AND(Main[[#This Row],[In Stock Date]]&lt;&gt;"",Main[[#This Row],[Revised Due Date]]&lt;&gt;"",Main[[#This Row],[In Stock Date]]&lt;&gt;""),Main[[#This Row],[In Stock Date]]-Main[[#This Row],[Revised Due Date]],""))</f>
        <v/>
      </c>
      <c r="I1448" s="139" t="s">
        <v>171</v>
      </c>
      <c r="J1448" s="139" t="s">
        <v>1978</v>
      </c>
      <c r="K1448" s="139" t="s">
        <v>1923</v>
      </c>
      <c r="L1448" s="129">
        <v>40835</v>
      </c>
      <c r="M1448" s="114">
        <f>IF(Main[[#This Row],[Tech Start Date]]&lt;1/1/1990,"",IF(Main[[#This Row],[Class]]="C",WORKDAY(Main[[#This Row],[Tech Start Date]],9),IF(Main[[#This Row],[Class]]="B", WORKDAY(Main[[#This Row],[Tech Start Date]],6),IF(Main[[#This Row],[Class]]="A",WORKDAY(Main[[#This Row],[Tech Start Date]],2),""))))</f>
        <v>40837</v>
      </c>
      <c r="N1448" s="114">
        <f>IF(Main[[#This Row],[Tech Start Date]]&lt;1/1/1990,"",IF(Main[[#This Row],[Class]]="C",WORKDAY(Main[[#This Row],[Tech Start Date]],19),IF(Main[[#This Row],[Class]]="B", WORKDAY(Main[[#This Row],[Tech Start Date]],12),IF(Main[[#This Row],[Class]]="A",WORKDAY(Main[[#This Row],[Tech Start Date]],4),""))))</f>
        <v>40841</v>
      </c>
      <c r="O1448" s="114">
        <f>IF(Main[[#This Row],[Tech Start Date]]&lt;1/1/1990,"",IF(Main[[#This Row],[Class]]="C",WORKDAY(Main[[#This Row],[Tech Start Date]],23),IF(Main[[#This Row],[Class]]="B", WORKDAY(Main[[#This Row],[Tech Start Date]],15),IF(Main[[#This Row],[Class]]="A",WORKDAY(Main[[#This Row],[Tech Start Date]],5),""))))</f>
        <v>40842</v>
      </c>
      <c r="P1448" s="114">
        <f>IF(Main[[#This Row],[Tech Start Date]]&lt;1/1/1990,"",IF(Main[[#This Row],[Class]]="C",WORKDAY(Main[[#This Row],[Tech Start Date]],28),IF(Main[[#This Row],[Class]]="B", WORKDAY(Main[[#This Row],[Tech Start Date]],19),IF(Main[[#This Row],[Class]]="A",WORKDAY(Main[[#This Row],[Tech Start Date]],9),""))))</f>
        <v>40848</v>
      </c>
      <c r="Q1448" s="129">
        <v>40954</v>
      </c>
      <c r="R1448" s="129">
        <v>40850</v>
      </c>
      <c r="S1448" s="139" t="s">
        <v>11</v>
      </c>
      <c r="T1448" s="115" t="s">
        <v>2623</v>
      </c>
      <c r="U1448" s="139" t="s">
        <v>14</v>
      </c>
      <c r="V1448" s="139" t="s">
        <v>1917</v>
      </c>
      <c r="W1448" s="139" t="s">
        <v>1918</v>
      </c>
      <c r="X1448" s="139" t="s">
        <v>553</v>
      </c>
      <c r="Y1448" s="112" t="s">
        <v>2952</v>
      </c>
      <c r="Z1448" s="112" t="s">
        <v>530</v>
      </c>
      <c r="AA1448" s="139" t="s">
        <v>553</v>
      </c>
    </row>
    <row r="1449" spans="1:27" ht="17.25" customHeight="1">
      <c r="A1449" s="69" t="str">
        <f>IF(priority(Main[[#This Row],[Comments]])&lt;&gt;0, priority(Main[[#This Row],[Comments]]),"")</f>
        <v/>
      </c>
      <c r="B1449" s="63" t="s">
        <v>2625</v>
      </c>
      <c r="C1449" s="148" t="s">
        <v>4</v>
      </c>
      <c r="D1449" s="113" t="s">
        <v>3797</v>
      </c>
      <c r="E1449" s="129">
        <v>40848.357997685183</v>
      </c>
      <c r="F1449" s="129"/>
      <c r="G1449" s="69" t="str">
        <f>IF(stdProdLT(Main[[#This Row],[Comments]])=0.1,"N/A",IF(stdProdLT(Main[[#This Row],[Comments]])=0,"",stdProdLT(Main[[#This Row],[Comments]])))</f>
        <v/>
      </c>
      <c r="H1449" s="138" t="str">
        <f>IF(Main[[#This Row],[In Stock Date]]="N/A", "N/A",IF(AND(Main[[#This Row],[In Stock Date]]&lt;&gt;"",Main[[#This Row],[Revised Due Date]]&lt;&gt;"",Main[[#This Row],[In Stock Date]]&lt;&gt;""),Main[[#This Row],[In Stock Date]]-Main[[#This Row],[Revised Due Date]],""))</f>
        <v/>
      </c>
      <c r="I1449" s="139" t="s">
        <v>2626</v>
      </c>
      <c r="J1449" s="139" t="s">
        <v>28</v>
      </c>
      <c r="K1449" s="139" t="s">
        <v>1926</v>
      </c>
      <c r="L1449" s="129">
        <v>40840</v>
      </c>
      <c r="M1449" s="114" t="str">
        <f>IF(Main[[#This Row],[Tech Start Date]]&lt;1/1/1990,"",IF(Main[[#This Row],[Class]]="C",WORKDAY(Main[[#This Row],[Tech Start Date]],9),IF(Main[[#This Row],[Class]]="B", WORKDAY(Main[[#This Row],[Tech Start Date]],6),IF(Main[[#This Row],[Class]]="A",WORKDAY(Main[[#This Row],[Tech Start Date]],2),""))))</f>
        <v/>
      </c>
      <c r="N1449" s="114" t="str">
        <f>IF(Main[[#This Row],[Tech Start Date]]&lt;1/1/1990,"",IF(Main[[#This Row],[Class]]="C",WORKDAY(Main[[#This Row],[Tech Start Date]],19),IF(Main[[#This Row],[Class]]="B", WORKDAY(Main[[#This Row],[Tech Start Date]],12),IF(Main[[#This Row],[Class]]="A",WORKDAY(Main[[#This Row],[Tech Start Date]],4),""))))</f>
        <v/>
      </c>
      <c r="O1449" s="114" t="str">
        <f>IF(Main[[#This Row],[Tech Start Date]]&lt;1/1/1990,"",IF(Main[[#This Row],[Class]]="C",WORKDAY(Main[[#This Row],[Tech Start Date]],23),IF(Main[[#This Row],[Class]]="B", WORKDAY(Main[[#This Row],[Tech Start Date]],15),IF(Main[[#This Row],[Class]]="A",WORKDAY(Main[[#This Row],[Tech Start Date]],5),""))))</f>
        <v/>
      </c>
      <c r="P1449" s="114" t="str">
        <f>IF(Main[[#This Row],[Tech Start Date]]&lt;1/1/1990,"",IF(Main[[#This Row],[Class]]="C",WORKDAY(Main[[#This Row],[Tech Start Date]],28),IF(Main[[#This Row],[Class]]="B", WORKDAY(Main[[#This Row],[Tech Start Date]],19),IF(Main[[#This Row],[Class]]="A",WORKDAY(Main[[#This Row],[Tech Start Date]],9),""))))</f>
        <v/>
      </c>
      <c r="Q1449" s="129">
        <v>40998</v>
      </c>
      <c r="R1449" s="129">
        <v>40998</v>
      </c>
      <c r="S1449" s="139" t="s">
        <v>17</v>
      </c>
      <c r="T1449" s="115" t="s">
        <v>4</v>
      </c>
      <c r="U1449" s="139" t="s">
        <v>29</v>
      </c>
      <c r="V1449" s="139" t="s">
        <v>1914</v>
      </c>
      <c r="W1449" s="139" t="s">
        <v>1919</v>
      </c>
      <c r="X1449" s="139" t="s">
        <v>877</v>
      </c>
      <c r="Y1449" s="112" t="s">
        <v>3009</v>
      </c>
      <c r="Z1449" s="112" t="s">
        <v>877</v>
      </c>
      <c r="AA1449" s="139" t="s">
        <v>877</v>
      </c>
    </row>
    <row r="1450" spans="1:27" ht="17.25" customHeight="1">
      <c r="A1450" s="69" t="str">
        <f>IF(priority(Main[[#This Row],[Comments]])&lt;&gt;0, priority(Main[[#This Row],[Comments]]),"")</f>
        <v/>
      </c>
      <c r="B1450" s="63" t="s">
        <v>2627</v>
      </c>
      <c r="C1450" s="148" t="s">
        <v>2567</v>
      </c>
      <c r="D1450" s="113" t="s">
        <v>2803</v>
      </c>
      <c r="E1450" s="129"/>
      <c r="F1450" s="129">
        <v>40983</v>
      </c>
      <c r="G1450" s="69" t="str">
        <f>IF(stdProdLT(Main[[#This Row],[Comments]])=0.1,"N/A",IF(stdProdLT(Main[[#This Row],[Comments]])=0,"",stdProdLT(Main[[#This Row],[Comments]])))</f>
        <v>N/A</v>
      </c>
      <c r="H1450" s="138" t="str">
        <f>IF(Main[[#This Row],[In Stock Date]]="N/A", "N/A",IF(AND(Main[[#This Row],[In Stock Date]]&lt;&gt;"",Main[[#This Row],[Revised Due Date]]&lt;&gt;"",Main[[#This Row],[In Stock Date]]&lt;&gt;""),Main[[#This Row],[In Stock Date]]-Main[[#This Row],[Revised Due Date]],""))</f>
        <v/>
      </c>
      <c r="I1450" s="139" t="s">
        <v>912</v>
      </c>
      <c r="J1450" s="139" t="s">
        <v>28</v>
      </c>
      <c r="K1450" s="139" t="s">
        <v>1927</v>
      </c>
      <c r="L1450" s="129">
        <v>40848</v>
      </c>
      <c r="M1450" s="114">
        <f>IF(Main[[#This Row],[Tech Start Date]]&lt;1/1/1990,"",IF(Main[[#This Row],[Class]]="C",WORKDAY(Main[[#This Row],[Tech Start Date]],9),IF(Main[[#This Row],[Class]]="B", WORKDAY(Main[[#This Row],[Tech Start Date]],6),IF(Main[[#This Row],[Class]]="A",WORKDAY(Main[[#This Row],[Tech Start Date]],2),""))))</f>
        <v>40861</v>
      </c>
      <c r="N1450" s="114">
        <f>IF(Main[[#This Row],[Tech Start Date]]&lt;1/1/1990,"",IF(Main[[#This Row],[Class]]="C",WORKDAY(Main[[#This Row],[Tech Start Date]],19),IF(Main[[#This Row],[Class]]="B", WORKDAY(Main[[#This Row],[Tech Start Date]],12),IF(Main[[#This Row],[Class]]="A",WORKDAY(Main[[#This Row],[Tech Start Date]],4),""))))</f>
        <v>40875</v>
      </c>
      <c r="O1450" s="114">
        <f>IF(Main[[#This Row],[Tech Start Date]]&lt;1/1/1990,"",IF(Main[[#This Row],[Class]]="C",WORKDAY(Main[[#This Row],[Tech Start Date]],23),IF(Main[[#This Row],[Class]]="B", WORKDAY(Main[[#This Row],[Tech Start Date]],15),IF(Main[[#This Row],[Class]]="A",WORKDAY(Main[[#This Row],[Tech Start Date]],5),""))))</f>
        <v>40879</v>
      </c>
      <c r="P1450" s="114">
        <f>IF(Main[[#This Row],[Tech Start Date]]&lt;1/1/1990,"",IF(Main[[#This Row],[Class]]="C",WORKDAY(Main[[#This Row],[Tech Start Date]],28),IF(Main[[#This Row],[Class]]="B", WORKDAY(Main[[#This Row],[Tech Start Date]],19),IF(Main[[#This Row],[Class]]="A",WORKDAY(Main[[#This Row],[Tech Start Date]],9),""))))</f>
        <v>40886</v>
      </c>
      <c r="Q1450" s="129">
        <v>40885</v>
      </c>
      <c r="R1450" s="129"/>
      <c r="S1450" s="139" t="s">
        <v>11</v>
      </c>
      <c r="T1450" s="115" t="s">
        <v>3224</v>
      </c>
      <c r="U1450" s="139" t="s">
        <v>14</v>
      </c>
      <c r="V1450" s="139" t="s">
        <v>1914</v>
      </c>
      <c r="W1450" s="139" t="s">
        <v>1922</v>
      </c>
      <c r="X1450" s="139" t="s">
        <v>2904</v>
      </c>
      <c r="Y1450" s="112" t="s">
        <v>3157</v>
      </c>
      <c r="Z1450" s="112" t="s">
        <v>129</v>
      </c>
      <c r="AA1450" s="139" t="s">
        <v>2904</v>
      </c>
    </row>
    <row r="1451" spans="1:27" ht="17.25" customHeight="1">
      <c r="A1451" s="69" t="str">
        <f>IF(priority(Main[[#This Row],[Comments]])&lt;&gt;0, priority(Main[[#This Row],[Comments]]),"")</f>
        <v/>
      </c>
      <c r="B1451" s="63" t="s">
        <v>2631</v>
      </c>
      <c r="C1451" s="148" t="s">
        <v>2632</v>
      </c>
      <c r="D1451" s="113" t="s">
        <v>2633</v>
      </c>
      <c r="E1451" s="129"/>
      <c r="F1451" s="129"/>
      <c r="G1451" s="69" t="str">
        <f>IF(stdProdLT(Main[[#This Row],[Comments]])=0.1,"N/A",IF(stdProdLT(Main[[#This Row],[Comments]])=0,"",stdProdLT(Main[[#This Row],[Comments]])))</f>
        <v/>
      </c>
      <c r="H1451" s="138" t="str">
        <f>IF(Main[[#This Row],[In Stock Date]]="N/A", "N/A",IF(AND(Main[[#This Row],[In Stock Date]]&lt;&gt;"",Main[[#This Row],[Revised Due Date]]&lt;&gt;"",Main[[#This Row],[In Stock Date]]&lt;&gt;""),Main[[#This Row],[In Stock Date]]-Main[[#This Row],[Revised Due Date]],""))</f>
        <v/>
      </c>
      <c r="I1451" s="139" t="s">
        <v>2044</v>
      </c>
      <c r="J1451" s="139" t="s">
        <v>28</v>
      </c>
      <c r="K1451" s="139" t="s">
        <v>1923</v>
      </c>
      <c r="L1451" s="129">
        <v>40848</v>
      </c>
      <c r="M1451" s="114">
        <f>IF(Main[[#This Row],[Tech Start Date]]&lt;1/1/1990,"",IF(Main[[#This Row],[Class]]="C",WORKDAY(Main[[#This Row],[Tech Start Date]],9),IF(Main[[#This Row],[Class]]="B", WORKDAY(Main[[#This Row],[Tech Start Date]],6),IF(Main[[#This Row],[Class]]="A",WORKDAY(Main[[#This Row],[Tech Start Date]],2),""))))</f>
        <v>40850</v>
      </c>
      <c r="N1451" s="114">
        <f>IF(Main[[#This Row],[Tech Start Date]]&lt;1/1/1990,"",IF(Main[[#This Row],[Class]]="C",WORKDAY(Main[[#This Row],[Tech Start Date]],19),IF(Main[[#This Row],[Class]]="B", WORKDAY(Main[[#This Row],[Tech Start Date]],12),IF(Main[[#This Row],[Class]]="A",WORKDAY(Main[[#This Row],[Tech Start Date]],4),""))))</f>
        <v>40854</v>
      </c>
      <c r="O1451" s="114">
        <f>IF(Main[[#This Row],[Tech Start Date]]&lt;1/1/1990,"",IF(Main[[#This Row],[Class]]="C",WORKDAY(Main[[#This Row],[Tech Start Date]],23),IF(Main[[#This Row],[Class]]="B", WORKDAY(Main[[#This Row],[Tech Start Date]],15),IF(Main[[#This Row],[Class]]="A",WORKDAY(Main[[#This Row],[Tech Start Date]],5),""))))</f>
        <v>40855</v>
      </c>
      <c r="P1451" s="114">
        <f>IF(Main[[#This Row],[Tech Start Date]]&lt;1/1/1990,"",IF(Main[[#This Row],[Class]]="C",WORKDAY(Main[[#This Row],[Tech Start Date]],28),IF(Main[[#This Row],[Class]]="B", WORKDAY(Main[[#This Row],[Tech Start Date]],19),IF(Main[[#This Row],[Class]]="A",WORKDAY(Main[[#This Row],[Tech Start Date]],9),""))))</f>
        <v>40861</v>
      </c>
      <c r="Q1451" s="129">
        <v>40849</v>
      </c>
      <c r="R1451" s="129">
        <v>40863</v>
      </c>
      <c r="S1451" s="139" t="s">
        <v>11</v>
      </c>
      <c r="T1451" s="115" t="s">
        <v>4</v>
      </c>
      <c r="U1451" s="139" t="s">
        <v>14</v>
      </c>
      <c r="V1451" s="139" t="s">
        <v>1924</v>
      </c>
      <c r="W1451" s="139" t="s">
        <v>1922</v>
      </c>
      <c r="X1451" s="139" t="s">
        <v>2844</v>
      </c>
      <c r="Y1451" s="112" t="s">
        <v>2977</v>
      </c>
      <c r="Z1451" s="112" t="s">
        <v>530</v>
      </c>
      <c r="AA1451" s="139" t="s">
        <v>2844</v>
      </c>
    </row>
    <row r="1452" spans="1:27" ht="17.25" customHeight="1">
      <c r="A1452" s="69" t="str">
        <f>IF(priority(Main[[#This Row],[Comments]])&lt;&gt;0, priority(Main[[#This Row],[Comments]]),"")</f>
        <v/>
      </c>
      <c r="B1452" s="63" t="s">
        <v>2640</v>
      </c>
      <c r="C1452" s="148" t="s">
        <v>4</v>
      </c>
      <c r="D1452" s="113" t="s">
        <v>2641</v>
      </c>
      <c r="E1452" s="129">
        <v>40848.726550925923</v>
      </c>
      <c r="F1452" s="129"/>
      <c r="G1452" s="69" t="str">
        <f>IF(stdProdLT(Main[[#This Row],[Comments]])=0.1,"N/A",IF(stdProdLT(Main[[#This Row],[Comments]])=0,"",stdProdLT(Main[[#This Row],[Comments]])))</f>
        <v/>
      </c>
      <c r="H1452" s="138" t="str">
        <f>IF(Main[[#This Row],[In Stock Date]]="N/A", "N/A",IF(AND(Main[[#This Row],[In Stock Date]]&lt;&gt;"",Main[[#This Row],[Revised Due Date]]&lt;&gt;"",Main[[#This Row],[In Stock Date]]&lt;&gt;""),Main[[#This Row],[In Stock Date]]-Main[[#This Row],[Revised Due Date]],""))</f>
        <v/>
      </c>
      <c r="I1452" s="139" t="s">
        <v>69</v>
      </c>
      <c r="J1452" s="139" t="s">
        <v>28</v>
      </c>
      <c r="K1452" s="139" t="s">
        <v>1923</v>
      </c>
      <c r="L1452" s="129">
        <v>40849</v>
      </c>
      <c r="M1452" s="114">
        <f>IF(Main[[#This Row],[Tech Start Date]]&lt;1/1/1990,"",IF(Main[[#This Row],[Class]]="C",WORKDAY(Main[[#This Row],[Tech Start Date]],9),IF(Main[[#This Row],[Class]]="B", WORKDAY(Main[[#This Row],[Tech Start Date]],6),IF(Main[[#This Row],[Class]]="A",WORKDAY(Main[[#This Row],[Tech Start Date]],2),""))))</f>
        <v>40851</v>
      </c>
      <c r="N1452" s="114">
        <f>IF(Main[[#This Row],[Tech Start Date]]&lt;1/1/1990,"",IF(Main[[#This Row],[Class]]="C",WORKDAY(Main[[#This Row],[Tech Start Date]],19),IF(Main[[#This Row],[Class]]="B", WORKDAY(Main[[#This Row],[Tech Start Date]],12),IF(Main[[#This Row],[Class]]="A",WORKDAY(Main[[#This Row],[Tech Start Date]],4),""))))</f>
        <v>40855</v>
      </c>
      <c r="O1452" s="114">
        <f>IF(Main[[#This Row],[Tech Start Date]]&lt;1/1/1990,"",IF(Main[[#This Row],[Class]]="C",WORKDAY(Main[[#This Row],[Tech Start Date]],23),IF(Main[[#This Row],[Class]]="B", WORKDAY(Main[[#This Row],[Tech Start Date]],15),IF(Main[[#This Row],[Class]]="A",WORKDAY(Main[[#This Row],[Tech Start Date]],5),""))))</f>
        <v>40856</v>
      </c>
      <c r="P1452" s="114">
        <f>IF(Main[[#This Row],[Tech Start Date]]&lt;1/1/1990,"",IF(Main[[#This Row],[Class]]="C",WORKDAY(Main[[#This Row],[Tech Start Date]],28),IF(Main[[#This Row],[Class]]="B", WORKDAY(Main[[#This Row],[Tech Start Date]],19),IF(Main[[#This Row],[Class]]="A",WORKDAY(Main[[#This Row],[Tech Start Date]],9),""))))</f>
        <v>40862</v>
      </c>
      <c r="Q1452" s="129"/>
      <c r="R1452" s="129">
        <v>40864</v>
      </c>
      <c r="S1452" s="139" t="s">
        <v>6</v>
      </c>
      <c r="T1452" s="115" t="s">
        <v>4</v>
      </c>
      <c r="U1452" s="139" t="s">
        <v>29</v>
      </c>
      <c r="V1452" s="139" t="s">
        <v>1924</v>
      </c>
      <c r="W1452" s="139" t="s">
        <v>1928</v>
      </c>
      <c r="X1452" s="139" t="s">
        <v>2841</v>
      </c>
      <c r="Y1452" s="112" t="s">
        <v>2971</v>
      </c>
      <c r="Z1452" s="112" t="s">
        <v>2865</v>
      </c>
      <c r="AA1452" s="139" t="s">
        <v>2841</v>
      </c>
    </row>
    <row r="1453" spans="1:27" ht="17.25" customHeight="1">
      <c r="A1453" s="69" t="str">
        <f>IF(priority(Main[[#This Row],[Comments]])&lt;&gt;0, priority(Main[[#This Row],[Comments]]),"")</f>
        <v/>
      </c>
      <c r="B1453" s="63" t="s">
        <v>2634</v>
      </c>
      <c r="C1453" s="148" t="s">
        <v>2567</v>
      </c>
      <c r="D1453" s="113" t="s">
        <v>2804</v>
      </c>
      <c r="E1453" s="129"/>
      <c r="F1453" s="129"/>
      <c r="G1453" s="69">
        <f>IF(stdProdLT(Main[[#This Row],[Comments]])=0.1,"N/A",IF(stdProdLT(Main[[#This Row],[Comments]])=0,"",stdProdLT(Main[[#This Row],[Comments]])))</f>
        <v>168</v>
      </c>
      <c r="H1453" s="138" t="str">
        <f>IF(Main[[#This Row],[In Stock Date]]="N/A", "N/A",IF(AND(Main[[#This Row],[In Stock Date]]&lt;&gt;"",Main[[#This Row],[Revised Due Date]]&lt;&gt;"",Main[[#This Row],[In Stock Date]]&lt;&gt;""),Main[[#This Row],[In Stock Date]]-Main[[#This Row],[Revised Due Date]],""))</f>
        <v/>
      </c>
      <c r="I1453" s="139" t="s">
        <v>894</v>
      </c>
      <c r="J1453" s="139" t="s">
        <v>52</v>
      </c>
      <c r="K1453" s="139" t="s">
        <v>1927</v>
      </c>
      <c r="L1453" s="129">
        <v>40849</v>
      </c>
      <c r="M1453" s="114">
        <f>IF(Main[[#This Row],[Tech Start Date]]&lt;1/1/1990,"",IF(Main[[#This Row],[Class]]="C",WORKDAY(Main[[#This Row],[Tech Start Date]],9),IF(Main[[#This Row],[Class]]="B", WORKDAY(Main[[#This Row],[Tech Start Date]],6),IF(Main[[#This Row],[Class]]="A",WORKDAY(Main[[#This Row],[Tech Start Date]],2),""))))</f>
        <v>40862</v>
      </c>
      <c r="N1453" s="114">
        <f>IF(Main[[#This Row],[Tech Start Date]]&lt;1/1/1990,"",IF(Main[[#This Row],[Class]]="C",WORKDAY(Main[[#This Row],[Tech Start Date]],19),IF(Main[[#This Row],[Class]]="B", WORKDAY(Main[[#This Row],[Tech Start Date]],12),IF(Main[[#This Row],[Class]]="A",WORKDAY(Main[[#This Row],[Tech Start Date]],4),""))))</f>
        <v>40876</v>
      </c>
      <c r="O1453" s="114">
        <f>IF(Main[[#This Row],[Tech Start Date]]&lt;1/1/1990,"",IF(Main[[#This Row],[Class]]="C",WORKDAY(Main[[#This Row],[Tech Start Date]],23),IF(Main[[#This Row],[Class]]="B", WORKDAY(Main[[#This Row],[Tech Start Date]],15),IF(Main[[#This Row],[Class]]="A",WORKDAY(Main[[#This Row],[Tech Start Date]],5),""))))</f>
        <v>40882</v>
      </c>
      <c r="P1453" s="114">
        <f>IF(Main[[#This Row],[Tech Start Date]]&lt;1/1/1990,"",IF(Main[[#This Row],[Class]]="C",WORKDAY(Main[[#This Row],[Tech Start Date]],28),IF(Main[[#This Row],[Class]]="B", WORKDAY(Main[[#This Row],[Tech Start Date]],19),IF(Main[[#This Row],[Class]]="A",WORKDAY(Main[[#This Row],[Tech Start Date]],9),""))))</f>
        <v>40889</v>
      </c>
      <c r="Q1453" s="129">
        <v>40880</v>
      </c>
      <c r="R1453" s="129"/>
      <c r="S1453" s="139" t="s">
        <v>11</v>
      </c>
      <c r="T1453" s="115" t="s">
        <v>3802</v>
      </c>
      <c r="U1453" s="139" t="s">
        <v>14</v>
      </c>
      <c r="V1453" s="139" t="s">
        <v>1917</v>
      </c>
      <c r="W1453" s="139" t="s">
        <v>1922</v>
      </c>
      <c r="X1453" s="139" t="s">
        <v>2904</v>
      </c>
      <c r="Y1453" s="112" t="s">
        <v>3157</v>
      </c>
      <c r="Z1453" s="112" t="s">
        <v>530</v>
      </c>
      <c r="AA1453" s="139" t="s">
        <v>2904</v>
      </c>
    </row>
    <row r="1454" spans="1:27" ht="17.25" customHeight="1">
      <c r="A1454" s="69" t="str">
        <f>IF(priority(Main[[#This Row],[Comments]])&lt;&gt;0, priority(Main[[#This Row],[Comments]]),"")</f>
        <v/>
      </c>
      <c r="B1454" s="63" t="s">
        <v>2638</v>
      </c>
      <c r="C1454" s="148" t="s">
        <v>2567</v>
      </c>
      <c r="D1454" s="113" t="s">
        <v>3176</v>
      </c>
      <c r="E1454" s="129"/>
      <c r="F1454" s="129"/>
      <c r="G1454" s="69">
        <f>IF(stdProdLT(Main[[#This Row],[Comments]])=0.1,"N/A",IF(stdProdLT(Main[[#This Row],[Comments]])=0,"",stdProdLT(Main[[#This Row],[Comments]])))</f>
        <v>168</v>
      </c>
      <c r="H1454" s="138" t="str">
        <f>IF(Main[[#This Row],[In Stock Date]]="N/A", "N/A",IF(AND(Main[[#This Row],[In Stock Date]]&lt;&gt;"",Main[[#This Row],[Revised Due Date]]&lt;&gt;"",Main[[#This Row],[In Stock Date]]&lt;&gt;""),Main[[#This Row],[In Stock Date]]-Main[[#This Row],[Revised Due Date]],""))</f>
        <v/>
      </c>
      <c r="I1454" s="139" t="s">
        <v>171</v>
      </c>
      <c r="J1454" s="139" t="s">
        <v>70</v>
      </c>
      <c r="K1454" s="139" t="s">
        <v>1927</v>
      </c>
      <c r="L1454" s="129">
        <v>40849</v>
      </c>
      <c r="M1454" s="114">
        <f>IF(Main[[#This Row],[Tech Start Date]]&lt;1/1/1990,"",IF(Main[[#This Row],[Class]]="C",WORKDAY(Main[[#This Row],[Tech Start Date]],9),IF(Main[[#This Row],[Class]]="B", WORKDAY(Main[[#This Row],[Tech Start Date]],6),IF(Main[[#This Row],[Class]]="A",WORKDAY(Main[[#This Row],[Tech Start Date]],2),""))))</f>
        <v>40862</v>
      </c>
      <c r="N1454" s="114">
        <f>IF(Main[[#This Row],[Tech Start Date]]&lt;1/1/1990,"",IF(Main[[#This Row],[Class]]="C",WORKDAY(Main[[#This Row],[Tech Start Date]],19),IF(Main[[#This Row],[Class]]="B", WORKDAY(Main[[#This Row],[Tech Start Date]],12),IF(Main[[#This Row],[Class]]="A",WORKDAY(Main[[#This Row],[Tech Start Date]],4),""))))</f>
        <v>40876</v>
      </c>
      <c r="O1454" s="114">
        <f>IF(Main[[#This Row],[Tech Start Date]]&lt;1/1/1990,"",IF(Main[[#This Row],[Class]]="C",WORKDAY(Main[[#This Row],[Tech Start Date]],23),IF(Main[[#This Row],[Class]]="B", WORKDAY(Main[[#This Row],[Tech Start Date]],15),IF(Main[[#This Row],[Class]]="A",WORKDAY(Main[[#This Row],[Tech Start Date]],5),""))))</f>
        <v>40882</v>
      </c>
      <c r="P1454" s="114">
        <f>IF(Main[[#This Row],[Tech Start Date]]&lt;1/1/1990,"",IF(Main[[#This Row],[Class]]="C",WORKDAY(Main[[#This Row],[Tech Start Date]],28),IF(Main[[#This Row],[Class]]="B", WORKDAY(Main[[#This Row],[Tech Start Date]],19),IF(Main[[#This Row],[Class]]="A",WORKDAY(Main[[#This Row],[Tech Start Date]],9),""))))</f>
        <v>40889</v>
      </c>
      <c r="Q1454" s="129">
        <v>40881</v>
      </c>
      <c r="R1454" s="129"/>
      <c r="S1454" s="139" t="s">
        <v>11</v>
      </c>
      <c r="T1454" s="115" t="s">
        <v>3803</v>
      </c>
      <c r="U1454" s="139" t="s">
        <v>14</v>
      </c>
      <c r="V1454" s="139" t="s">
        <v>1917</v>
      </c>
      <c r="W1454" s="139" t="s">
        <v>1922</v>
      </c>
      <c r="X1454" s="139" t="s">
        <v>2904</v>
      </c>
      <c r="Y1454" s="112" t="s">
        <v>3157</v>
      </c>
      <c r="Z1454" s="112" t="s">
        <v>530</v>
      </c>
      <c r="AA1454" s="139" t="s">
        <v>2904</v>
      </c>
    </row>
    <row r="1455" spans="1:27" ht="17.25" customHeight="1">
      <c r="A1455" s="69" t="str">
        <f>IF(priority(Main[[#This Row],[Comments]])&lt;&gt;0, priority(Main[[#This Row],[Comments]]),"")</f>
        <v/>
      </c>
      <c r="B1455" s="63" t="s">
        <v>2563</v>
      </c>
      <c r="C1455" s="148" t="s">
        <v>2564</v>
      </c>
      <c r="D1455" s="113" t="s">
        <v>3177</v>
      </c>
      <c r="E1455" s="129">
        <v>40821.398842592593</v>
      </c>
      <c r="F1455" s="129">
        <v>41182</v>
      </c>
      <c r="G1455" s="69">
        <f>IF(stdProdLT(Main[[#This Row],[Comments]])=0.1,"N/A",IF(stdProdLT(Main[[#This Row],[Comments]])=0,"",stdProdLT(Main[[#This Row],[Comments]])))</f>
        <v>210</v>
      </c>
      <c r="H1455" s="138" t="str">
        <f>IF(Main[[#This Row],[In Stock Date]]="N/A", "N/A",IF(AND(Main[[#This Row],[In Stock Date]]&lt;&gt;"",Main[[#This Row],[Revised Due Date]]&lt;&gt;"",Main[[#This Row],[In Stock Date]]&lt;&gt;""),Main[[#This Row],[In Stock Date]]-Main[[#This Row],[Revised Due Date]],""))</f>
        <v/>
      </c>
      <c r="I1455" s="139" t="s">
        <v>4</v>
      </c>
      <c r="J1455" s="139" t="s">
        <v>4</v>
      </c>
      <c r="K1455" s="140" t="s">
        <v>1927</v>
      </c>
      <c r="L1455" s="129">
        <v>40850</v>
      </c>
      <c r="M1455" s="114">
        <f>IF(Main[[#This Row],[Tech Start Date]]&lt;1/1/1990,"",IF(Main[[#This Row],[Class]]="C",WORKDAY(Main[[#This Row],[Tech Start Date]],9),IF(Main[[#This Row],[Class]]="B", WORKDAY(Main[[#This Row],[Tech Start Date]],6),IF(Main[[#This Row],[Class]]="A",WORKDAY(Main[[#This Row],[Tech Start Date]],2),""))))</f>
        <v>40863</v>
      </c>
      <c r="N1455" s="114">
        <f>IF(Main[[#This Row],[Tech Start Date]]&lt;1/1/1990,"",IF(Main[[#This Row],[Class]]="C",WORKDAY(Main[[#This Row],[Tech Start Date]],19),IF(Main[[#This Row],[Class]]="B", WORKDAY(Main[[#This Row],[Tech Start Date]],12),IF(Main[[#This Row],[Class]]="A",WORKDAY(Main[[#This Row],[Tech Start Date]],4),""))))</f>
        <v>40877</v>
      </c>
      <c r="O1455" s="114">
        <f>IF(Main[[#This Row],[Tech Start Date]]&lt;1/1/1990,"",IF(Main[[#This Row],[Class]]="C",WORKDAY(Main[[#This Row],[Tech Start Date]],23),IF(Main[[#This Row],[Class]]="B", WORKDAY(Main[[#This Row],[Tech Start Date]],15),IF(Main[[#This Row],[Class]]="A",WORKDAY(Main[[#This Row],[Tech Start Date]],5),""))))</f>
        <v>40883</v>
      </c>
      <c r="P1455" s="114">
        <f>IF(Main[[#This Row],[Tech Start Date]]&lt;1/1/1990,"",IF(Main[[#This Row],[Class]]="C",WORKDAY(Main[[#This Row],[Tech Start Date]],28),IF(Main[[#This Row],[Class]]="B", WORKDAY(Main[[#This Row],[Tech Start Date]],19),IF(Main[[#This Row],[Class]]="A",WORKDAY(Main[[#This Row],[Tech Start Date]],9),""))))</f>
        <v>40890</v>
      </c>
      <c r="Q1455" s="129">
        <v>40872</v>
      </c>
      <c r="R1455" s="129"/>
      <c r="S1455" s="139" t="s">
        <v>11</v>
      </c>
      <c r="T1455" s="115" t="s">
        <v>3311</v>
      </c>
      <c r="U1455" s="139" t="s">
        <v>534</v>
      </c>
      <c r="V1455" s="139" t="s">
        <v>1917</v>
      </c>
      <c r="W1455" s="139" t="s">
        <v>1919</v>
      </c>
      <c r="X1455" s="139" t="s">
        <v>2829</v>
      </c>
      <c r="Y1455" s="112" t="s">
        <v>2951</v>
      </c>
      <c r="Z1455" s="112" t="s">
        <v>4</v>
      </c>
      <c r="AA1455" s="139" t="s">
        <v>2829</v>
      </c>
    </row>
    <row r="1456" spans="1:27" ht="17.25" customHeight="1">
      <c r="A1456" s="69" t="str">
        <f>IF(priority(Main[[#This Row],[Comments]])&lt;&gt;0, priority(Main[[#This Row],[Comments]]),"")</f>
        <v/>
      </c>
      <c r="B1456" s="63" t="s">
        <v>1675</v>
      </c>
      <c r="C1456" s="148" t="s">
        <v>4</v>
      </c>
      <c r="D1456" s="113" t="s">
        <v>2645</v>
      </c>
      <c r="E1456" s="129">
        <v>40647.529861111114</v>
      </c>
      <c r="F1456" s="129"/>
      <c r="G1456" s="69" t="str">
        <f>IF(stdProdLT(Main[[#This Row],[Comments]])=0.1,"N/A",IF(stdProdLT(Main[[#This Row],[Comments]])=0,"",stdProdLT(Main[[#This Row],[Comments]])))</f>
        <v/>
      </c>
      <c r="H1456" s="138" t="str">
        <f>IF(Main[[#This Row],[In Stock Date]]="N/A", "N/A",IF(AND(Main[[#This Row],[In Stock Date]]&lt;&gt;"",Main[[#This Row],[Revised Due Date]]&lt;&gt;"",Main[[#This Row],[In Stock Date]]&lt;&gt;""),Main[[#This Row],[In Stock Date]]-Main[[#This Row],[Revised Due Date]],""))</f>
        <v/>
      </c>
      <c r="I1456" s="139" t="s">
        <v>877</v>
      </c>
      <c r="J1456" s="139" t="s">
        <v>4</v>
      </c>
      <c r="K1456" s="139" t="s">
        <v>1923</v>
      </c>
      <c r="L1456" s="129">
        <v>40856</v>
      </c>
      <c r="M1456" s="114">
        <f>IF(Main[[#This Row],[Tech Start Date]]&lt;1/1/1990,"",IF(Main[[#This Row],[Class]]="C",WORKDAY(Main[[#This Row],[Tech Start Date]],9),IF(Main[[#This Row],[Class]]="B", WORKDAY(Main[[#This Row],[Tech Start Date]],6),IF(Main[[#This Row],[Class]]="A",WORKDAY(Main[[#This Row],[Tech Start Date]],2),""))))</f>
        <v>40858</v>
      </c>
      <c r="N1456" s="114">
        <f>IF(Main[[#This Row],[Tech Start Date]]&lt;1/1/1990,"",IF(Main[[#This Row],[Class]]="C",WORKDAY(Main[[#This Row],[Tech Start Date]],19),IF(Main[[#This Row],[Class]]="B", WORKDAY(Main[[#This Row],[Tech Start Date]],12),IF(Main[[#This Row],[Class]]="A",WORKDAY(Main[[#This Row],[Tech Start Date]],4),""))))</f>
        <v>40862</v>
      </c>
      <c r="O1456" s="114">
        <f>IF(Main[[#This Row],[Tech Start Date]]&lt;1/1/1990,"",IF(Main[[#This Row],[Class]]="C",WORKDAY(Main[[#This Row],[Tech Start Date]],23),IF(Main[[#This Row],[Class]]="B", WORKDAY(Main[[#This Row],[Tech Start Date]],15),IF(Main[[#This Row],[Class]]="A",WORKDAY(Main[[#This Row],[Tech Start Date]],5),""))))</f>
        <v>40863</v>
      </c>
      <c r="P1456" s="114">
        <f>IF(Main[[#This Row],[Tech Start Date]]&lt;1/1/1990,"",IF(Main[[#This Row],[Class]]="C",WORKDAY(Main[[#This Row],[Tech Start Date]],28),IF(Main[[#This Row],[Class]]="B", WORKDAY(Main[[#This Row],[Tech Start Date]],19),IF(Main[[#This Row],[Class]]="A",WORKDAY(Main[[#This Row],[Tech Start Date]],9),""))))</f>
        <v>40869</v>
      </c>
      <c r="Q1456" s="129">
        <v>40877</v>
      </c>
      <c r="R1456" s="129">
        <v>40883</v>
      </c>
      <c r="S1456" s="139" t="s">
        <v>6</v>
      </c>
      <c r="T1456" s="115" t="s">
        <v>2646</v>
      </c>
      <c r="U1456" s="139" t="s">
        <v>29</v>
      </c>
      <c r="V1456" s="139" t="s">
        <v>1914</v>
      </c>
      <c r="W1456" s="139" t="s">
        <v>1916</v>
      </c>
      <c r="X1456" s="139" t="s">
        <v>922</v>
      </c>
      <c r="Y1456" s="112" t="s">
        <v>2982</v>
      </c>
      <c r="Z1456" s="112" t="s">
        <v>129</v>
      </c>
      <c r="AA1456" s="139" t="s">
        <v>922</v>
      </c>
    </row>
    <row r="1457" spans="1:27" ht="17.25" customHeight="1">
      <c r="A1457" s="69" t="str">
        <f>IF(priority(Main[[#This Row],[Comments]])&lt;&gt;0, priority(Main[[#This Row],[Comments]]),"")</f>
        <v/>
      </c>
      <c r="B1457" s="63" t="s">
        <v>2647</v>
      </c>
      <c r="C1457" s="148" t="s">
        <v>4</v>
      </c>
      <c r="D1457" s="113" t="s">
        <v>2648</v>
      </c>
      <c r="E1457" s="129">
        <v>40864.413506944446</v>
      </c>
      <c r="F1457" s="129"/>
      <c r="G1457" s="69" t="str">
        <f>IF(stdProdLT(Main[[#This Row],[Comments]])=0.1,"N/A",IF(stdProdLT(Main[[#This Row],[Comments]])=0,"",stdProdLT(Main[[#This Row],[Comments]])))</f>
        <v/>
      </c>
      <c r="H1457" s="138" t="str">
        <f>IF(Main[[#This Row],[In Stock Date]]="N/A", "N/A",IF(AND(Main[[#This Row],[In Stock Date]]&lt;&gt;"",Main[[#This Row],[Revised Due Date]]&lt;&gt;"",Main[[#This Row],[In Stock Date]]&lt;&gt;""),Main[[#This Row],[In Stock Date]]-Main[[#This Row],[Revised Due Date]],""))</f>
        <v/>
      </c>
      <c r="I1457" s="139" t="s">
        <v>941</v>
      </c>
      <c r="J1457" s="139" t="s">
        <v>28</v>
      </c>
      <c r="K1457" s="139" t="s">
        <v>1923</v>
      </c>
      <c r="L1457" s="129">
        <v>40864</v>
      </c>
      <c r="M1457" s="114">
        <f>IF(Main[[#This Row],[Tech Start Date]]&lt;1/1/1990,"",IF(Main[[#This Row],[Class]]="C",WORKDAY(Main[[#This Row],[Tech Start Date]],9),IF(Main[[#This Row],[Class]]="B", WORKDAY(Main[[#This Row],[Tech Start Date]],6),IF(Main[[#This Row],[Class]]="A",WORKDAY(Main[[#This Row],[Tech Start Date]],2),""))))</f>
        <v>40868</v>
      </c>
      <c r="N1457" s="114">
        <f>IF(Main[[#This Row],[Tech Start Date]]&lt;1/1/1990,"",IF(Main[[#This Row],[Class]]="C",WORKDAY(Main[[#This Row],[Tech Start Date]],19),IF(Main[[#This Row],[Class]]="B", WORKDAY(Main[[#This Row],[Tech Start Date]],12),IF(Main[[#This Row],[Class]]="A",WORKDAY(Main[[#This Row],[Tech Start Date]],4),""))))</f>
        <v>40870</v>
      </c>
      <c r="O1457" s="114">
        <f>IF(Main[[#This Row],[Tech Start Date]]&lt;1/1/1990,"",IF(Main[[#This Row],[Class]]="C",WORKDAY(Main[[#This Row],[Tech Start Date]],23),IF(Main[[#This Row],[Class]]="B", WORKDAY(Main[[#This Row],[Tech Start Date]],15),IF(Main[[#This Row],[Class]]="A",WORKDAY(Main[[#This Row],[Tech Start Date]],5),""))))</f>
        <v>40871</v>
      </c>
      <c r="P1457" s="114">
        <f>IF(Main[[#This Row],[Tech Start Date]]&lt;1/1/1990,"",IF(Main[[#This Row],[Class]]="C",WORKDAY(Main[[#This Row],[Tech Start Date]],28),IF(Main[[#This Row],[Class]]="B", WORKDAY(Main[[#This Row],[Tech Start Date]],19),IF(Main[[#This Row],[Class]]="A",WORKDAY(Main[[#This Row],[Tech Start Date]],9),""))))</f>
        <v>40877</v>
      </c>
      <c r="Q1457" s="129"/>
      <c r="R1457" s="129">
        <v>40877</v>
      </c>
      <c r="S1457" s="139" t="s">
        <v>6</v>
      </c>
      <c r="T1457" s="115" t="s">
        <v>4</v>
      </c>
      <c r="U1457" s="139" t="s">
        <v>29</v>
      </c>
      <c r="V1457" s="139" t="s">
        <v>1915</v>
      </c>
      <c r="W1457" s="139" t="s">
        <v>1918</v>
      </c>
      <c r="X1457" s="139" t="s">
        <v>941</v>
      </c>
      <c r="Y1457" s="112" t="s">
        <v>2995</v>
      </c>
      <c r="Z1457" s="112" t="s">
        <v>2053</v>
      </c>
      <c r="AA1457" s="139" t="s">
        <v>941</v>
      </c>
    </row>
    <row r="1458" spans="1:27" ht="17.25" customHeight="1">
      <c r="A1458" s="69" t="str">
        <f>IF(priority(Main[[#This Row],[Comments]])&lt;&gt;0, priority(Main[[#This Row],[Comments]]),"")</f>
        <v/>
      </c>
      <c r="B1458" s="63" t="s">
        <v>2654</v>
      </c>
      <c r="C1458" s="148" t="s">
        <v>72</v>
      </c>
      <c r="D1458" s="113" t="s">
        <v>2667</v>
      </c>
      <c r="E1458" s="129"/>
      <c r="F1458" s="129"/>
      <c r="G1458" s="69" t="str">
        <f>IF(stdProdLT(Main[[#This Row],[Comments]])=0.1,"N/A",IF(stdProdLT(Main[[#This Row],[Comments]])=0,"",stdProdLT(Main[[#This Row],[Comments]])))</f>
        <v/>
      </c>
      <c r="H1458" s="138" t="str">
        <f>IF(Main[[#This Row],[In Stock Date]]="N/A", "N/A",IF(AND(Main[[#This Row],[In Stock Date]]&lt;&gt;"",Main[[#This Row],[Revised Due Date]]&lt;&gt;"",Main[[#This Row],[In Stock Date]]&lt;&gt;""),Main[[#This Row],[In Stock Date]]-Main[[#This Row],[Revised Due Date]],""))</f>
        <v/>
      </c>
      <c r="I1458" s="139" t="s">
        <v>2249</v>
      </c>
      <c r="J1458" s="139" t="s">
        <v>28</v>
      </c>
      <c r="K1458" s="139" t="s">
        <v>1923</v>
      </c>
      <c r="L1458" s="129">
        <v>40869</v>
      </c>
      <c r="M1458" s="114">
        <f>IF(Main[[#This Row],[Tech Start Date]]&lt;1/1/1990,"",IF(Main[[#This Row],[Class]]="C",WORKDAY(Main[[#This Row],[Tech Start Date]],9),IF(Main[[#This Row],[Class]]="B", WORKDAY(Main[[#This Row],[Tech Start Date]],6),IF(Main[[#This Row],[Class]]="A",WORKDAY(Main[[#This Row],[Tech Start Date]],2),""))))</f>
        <v>40871</v>
      </c>
      <c r="N1458" s="114">
        <f>IF(Main[[#This Row],[Tech Start Date]]&lt;1/1/1990,"",IF(Main[[#This Row],[Class]]="C",WORKDAY(Main[[#This Row],[Tech Start Date]],19),IF(Main[[#This Row],[Class]]="B", WORKDAY(Main[[#This Row],[Tech Start Date]],12),IF(Main[[#This Row],[Class]]="A",WORKDAY(Main[[#This Row],[Tech Start Date]],4),""))))</f>
        <v>40875</v>
      </c>
      <c r="O1458" s="114">
        <f>IF(Main[[#This Row],[Tech Start Date]]&lt;1/1/1990,"",IF(Main[[#This Row],[Class]]="C",WORKDAY(Main[[#This Row],[Tech Start Date]],23),IF(Main[[#This Row],[Class]]="B", WORKDAY(Main[[#This Row],[Tech Start Date]],15),IF(Main[[#This Row],[Class]]="A",WORKDAY(Main[[#This Row],[Tech Start Date]],5),""))))</f>
        <v>40876</v>
      </c>
      <c r="P1458" s="114">
        <f>IF(Main[[#This Row],[Tech Start Date]]&lt;1/1/1990,"",IF(Main[[#This Row],[Class]]="C",WORKDAY(Main[[#This Row],[Tech Start Date]],28),IF(Main[[#This Row],[Class]]="B", WORKDAY(Main[[#This Row],[Tech Start Date]],19),IF(Main[[#This Row],[Class]]="A",WORKDAY(Main[[#This Row],[Tech Start Date]],9),""))))</f>
        <v>40882</v>
      </c>
      <c r="Q1458" s="129">
        <v>40882</v>
      </c>
      <c r="R1458" s="129"/>
      <c r="S1458" s="139" t="s">
        <v>11</v>
      </c>
      <c r="T1458" s="115" t="s">
        <v>4</v>
      </c>
      <c r="U1458" s="139" t="s">
        <v>14</v>
      </c>
      <c r="V1458" s="139" t="s">
        <v>1915</v>
      </c>
      <c r="W1458" s="139" t="s">
        <v>1916</v>
      </c>
      <c r="X1458" s="139" t="s">
        <v>2890</v>
      </c>
      <c r="Y1458" s="112" t="s">
        <v>3047</v>
      </c>
      <c r="Z1458" s="112" t="s">
        <v>2053</v>
      </c>
      <c r="AA1458" s="139" t="s">
        <v>2890</v>
      </c>
    </row>
    <row r="1459" spans="1:27" ht="17.25" customHeight="1">
      <c r="A1459" s="69" t="str">
        <f>IF(priority(Main[[#This Row],[Comments]])&lt;&gt;0, priority(Main[[#This Row],[Comments]]),"")</f>
        <v/>
      </c>
      <c r="B1459" s="63" t="s">
        <v>2652</v>
      </c>
      <c r="C1459" s="148" t="s">
        <v>72</v>
      </c>
      <c r="D1459" s="113" t="s">
        <v>2653</v>
      </c>
      <c r="E1459" s="129"/>
      <c r="F1459" s="129"/>
      <c r="G1459" s="69" t="str">
        <f>IF(stdProdLT(Main[[#This Row],[Comments]])=0.1,"N/A",IF(stdProdLT(Main[[#This Row],[Comments]])=0,"",stdProdLT(Main[[#This Row],[Comments]])))</f>
        <v/>
      </c>
      <c r="H1459" s="138" t="str">
        <f>IF(Main[[#This Row],[In Stock Date]]="N/A", "N/A",IF(AND(Main[[#This Row],[In Stock Date]]&lt;&gt;"",Main[[#This Row],[Revised Due Date]]&lt;&gt;"",Main[[#This Row],[In Stock Date]]&lt;&gt;""),Main[[#This Row],[In Stock Date]]-Main[[#This Row],[Revised Due Date]],""))</f>
        <v/>
      </c>
      <c r="I1459" s="139" t="s">
        <v>2624</v>
      </c>
      <c r="J1459" s="139" t="s">
        <v>28</v>
      </c>
      <c r="K1459" s="140" t="s">
        <v>1923</v>
      </c>
      <c r="L1459" s="129">
        <v>40869</v>
      </c>
      <c r="M1459" s="114">
        <f>IF(Main[[#This Row],[Tech Start Date]]&lt;1/1/1990,"",IF(Main[[#This Row],[Class]]="C",WORKDAY(Main[[#This Row],[Tech Start Date]],9),IF(Main[[#This Row],[Class]]="B", WORKDAY(Main[[#This Row],[Tech Start Date]],6),IF(Main[[#This Row],[Class]]="A",WORKDAY(Main[[#This Row],[Tech Start Date]],2),""))))</f>
        <v>40871</v>
      </c>
      <c r="N1459" s="114">
        <f>IF(Main[[#This Row],[Tech Start Date]]&lt;1/1/1990,"",IF(Main[[#This Row],[Class]]="C",WORKDAY(Main[[#This Row],[Tech Start Date]],19),IF(Main[[#This Row],[Class]]="B", WORKDAY(Main[[#This Row],[Tech Start Date]],12),IF(Main[[#This Row],[Class]]="A",WORKDAY(Main[[#This Row],[Tech Start Date]],4),""))))</f>
        <v>40875</v>
      </c>
      <c r="O1459" s="114">
        <f>IF(Main[[#This Row],[Tech Start Date]]&lt;1/1/1990,"",IF(Main[[#This Row],[Class]]="C",WORKDAY(Main[[#This Row],[Tech Start Date]],23),IF(Main[[#This Row],[Class]]="B", WORKDAY(Main[[#This Row],[Tech Start Date]],15),IF(Main[[#This Row],[Class]]="A",WORKDAY(Main[[#This Row],[Tech Start Date]],5),""))))</f>
        <v>40876</v>
      </c>
      <c r="P1459" s="114">
        <f>IF(Main[[#This Row],[Tech Start Date]]&lt;1/1/1990,"",IF(Main[[#This Row],[Class]]="C",WORKDAY(Main[[#This Row],[Tech Start Date]],28),IF(Main[[#This Row],[Class]]="B", WORKDAY(Main[[#This Row],[Tech Start Date]],19),IF(Main[[#This Row],[Class]]="A",WORKDAY(Main[[#This Row],[Tech Start Date]],9),""))))</f>
        <v>40882</v>
      </c>
      <c r="Q1459" s="129">
        <v>40882</v>
      </c>
      <c r="R1459" s="129">
        <v>40882</v>
      </c>
      <c r="S1459" s="139" t="s">
        <v>11</v>
      </c>
      <c r="T1459" s="115" t="s">
        <v>4</v>
      </c>
      <c r="U1459" s="139" t="s">
        <v>14</v>
      </c>
      <c r="V1459" s="139" t="s">
        <v>1915</v>
      </c>
      <c r="W1459" s="139" t="s">
        <v>1916</v>
      </c>
      <c r="X1459" s="139" t="s">
        <v>2890</v>
      </c>
      <c r="Y1459" s="112" t="s">
        <v>3047</v>
      </c>
      <c r="Z1459" s="112" t="s">
        <v>2053</v>
      </c>
      <c r="AA1459" s="139" t="s">
        <v>2890</v>
      </c>
    </row>
    <row r="1460" spans="1:27" ht="17.25" customHeight="1">
      <c r="A1460" s="69" t="str">
        <f>IF(priority(Main[[#This Row],[Comments]])&lt;&gt;0, priority(Main[[#This Row],[Comments]]),"")</f>
        <v/>
      </c>
      <c r="B1460" s="63" t="s">
        <v>2649</v>
      </c>
      <c r="C1460" s="148" t="s">
        <v>72</v>
      </c>
      <c r="D1460" s="113" t="s">
        <v>2650</v>
      </c>
      <c r="E1460" s="129"/>
      <c r="F1460" s="129"/>
      <c r="G1460" s="69" t="str">
        <f>IF(stdProdLT(Main[[#This Row],[Comments]])=0.1,"N/A",IF(stdProdLT(Main[[#This Row],[Comments]])=0,"",stdProdLT(Main[[#This Row],[Comments]])))</f>
        <v/>
      </c>
      <c r="H1460" s="138" t="str">
        <f>IF(Main[[#This Row],[In Stock Date]]="N/A", "N/A",IF(AND(Main[[#This Row],[In Stock Date]]&lt;&gt;"",Main[[#This Row],[Revised Due Date]]&lt;&gt;"",Main[[#This Row],[In Stock Date]]&lt;&gt;""),Main[[#This Row],[In Stock Date]]-Main[[#This Row],[Revised Due Date]],""))</f>
        <v/>
      </c>
      <c r="I1460" s="139" t="s">
        <v>2624</v>
      </c>
      <c r="J1460" s="139" t="s">
        <v>28</v>
      </c>
      <c r="K1460" s="139" t="s">
        <v>1923</v>
      </c>
      <c r="L1460" s="129">
        <v>40869</v>
      </c>
      <c r="M1460" s="114">
        <f>IF(Main[[#This Row],[Tech Start Date]]&lt;1/1/1990,"",IF(Main[[#This Row],[Class]]="C",WORKDAY(Main[[#This Row],[Tech Start Date]],9),IF(Main[[#This Row],[Class]]="B", WORKDAY(Main[[#This Row],[Tech Start Date]],6),IF(Main[[#This Row],[Class]]="A",WORKDAY(Main[[#This Row],[Tech Start Date]],2),""))))</f>
        <v>40871</v>
      </c>
      <c r="N1460" s="114">
        <f>IF(Main[[#This Row],[Tech Start Date]]&lt;1/1/1990,"",IF(Main[[#This Row],[Class]]="C",WORKDAY(Main[[#This Row],[Tech Start Date]],19),IF(Main[[#This Row],[Class]]="B", WORKDAY(Main[[#This Row],[Tech Start Date]],12),IF(Main[[#This Row],[Class]]="A",WORKDAY(Main[[#This Row],[Tech Start Date]],4),""))))</f>
        <v>40875</v>
      </c>
      <c r="O1460" s="114">
        <f>IF(Main[[#This Row],[Tech Start Date]]&lt;1/1/1990,"",IF(Main[[#This Row],[Class]]="C",WORKDAY(Main[[#This Row],[Tech Start Date]],23),IF(Main[[#This Row],[Class]]="B", WORKDAY(Main[[#This Row],[Tech Start Date]],15),IF(Main[[#This Row],[Class]]="A",WORKDAY(Main[[#This Row],[Tech Start Date]],5),""))))</f>
        <v>40876</v>
      </c>
      <c r="P1460" s="114">
        <f>IF(Main[[#This Row],[Tech Start Date]]&lt;1/1/1990,"",IF(Main[[#This Row],[Class]]="C",WORKDAY(Main[[#This Row],[Tech Start Date]],28),IF(Main[[#This Row],[Class]]="B", WORKDAY(Main[[#This Row],[Tech Start Date]],19),IF(Main[[#This Row],[Class]]="A",WORKDAY(Main[[#This Row],[Tech Start Date]],9),""))))</f>
        <v>40882</v>
      </c>
      <c r="Q1460" s="129">
        <v>40882</v>
      </c>
      <c r="R1460" s="129">
        <v>40882</v>
      </c>
      <c r="S1460" s="139" t="s">
        <v>17</v>
      </c>
      <c r="T1460" s="115" t="s">
        <v>4</v>
      </c>
      <c r="U1460" s="139" t="s">
        <v>14</v>
      </c>
      <c r="V1460" s="139" t="s">
        <v>1915</v>
      </c>
      <c r="W1460" s="139" t="s">
        <v>1916</v>
      </c>
      <c r="X1460" s="139" t="s">
        <v>2890</v>
      </c>
      <c r="Y1460" s="112" t="s">
        <v>3047</v>
      </c>
      <c r="Z1460" s="112" t="s">
        <v>2053</v>
      </c>
      <c r="AA1460" s="139" t="s">
        <v>2890</v>
      </c>
    </row>
    <row r="1461" spans="1:27" ht="17.25" customHeight="1">
      <c r="A1461" s="69" t="str">
        <f>IF(priority(Main[[#This Row],[Comments]])&lt;&gt;0, priority(Main[[#This Row],[Comments]]),"")</f>
        <v/>
      </c>
      <c r="B1461" s="63" t="s">
        <v>1227</v>
      </c>
      <c r="C1461" s="148" t="s">
        <v>33</v>
      </c>
      <c r="D1461" s="113" t="s">
        <v>3809</v>
      </c>
      <c r="E1461" s="129">
        <v>40603.336435185185</v>
      </c>
      <c r="F1461" s="129">
        <v>40632</v>
      </c>
      <c r="G1461" s="69" t="str">
        <f>IF(stdProdLT(Main[[#This Row],[Comments]])=0.1,"N/A",IF(stdProdLT(Main[[#This Row],[Comments]])=0,"",stdProdLT(Main[[#This Row],[Comments]])))</f>
        <v/>
      </c>
      <c r="H1461" s="138">
        <f>IF(Main[[#This Row],[In Stock Date]]="N/A", "N/A",IF(AND(Main[[#This Row],[In Stock Date]]&lt;&gt;"",Main[[#This Row],[Revised Due Date]]&lt;&gt;"",Main[[#This Row],[In Stock Date]]&lt;&gt;""),Main[[#This Row],[In Stock Date]]-Main[[#This Row],[Revised Due Date]],""))</f>
        <v>-351</v>
      </c>
      <c r="I1461" s="139" t="s">
        <v>889</v>
      </c>
      <c r="J1461" s="139" t="s">
        <v>28</v>
      </c>
      <c r="K1461" s="139" t="s">
        <v>1926</v>
      </c>
      <c r="L1461" s="129">
        <v>40878</v>
      </c>
      <c r="M1461" s="114" t="str">
        <f>IF(Main[[#This Row],[Tech Start Date]]&lt;1/1/1990,"",IF(Main[[#This Row],[Class]]="C",WORKDAY(Main[[#This Row],[Tech Start Date]],9),IF(Main[[#This Row],[Class]]="B", WORKDAY(Main[[#This Row],[Tech Start Date]],6),IF(Main[[#This Row],[Class]]="A",WORKDAY(Main[[#This Row],[Tech Start Date]],2),""))))</f>
        <v/>
      </c>
      <c r="N1461" s="114" t="str">
        <f>IF(Main[[#This Row],[Tech Start Date]]&lt;1/1/1990,"",IF(Main[[#This Row],[Class]]="C",WORKDAY(Main[[#This Row],[Tech Start Date]],19),IF(Main[[#This Row],[Class]]="B", WORKDAY(Main[[#This Row],[Tech Start Date]],12),IF(Main[[#This Row],[Class]]="A",WORKDAY(Main[[#This Row],[Tech Start Date]],4),""))))</f>
        <v/>
      </c>
      <c r="O1461" s="114" t="str">
        <f>IF(Main[[#This Row],[Tech Start Date]]&lt;1/1/1990,"",IF(Main[[#This Row],[Class]]="C",WORKDAY(Main[[#This Row],[Tech Start Date]],23),IF(Main[[#This Row],[Class]]="B", WORKDAY(Main[[#This Row],[Tech Start Date]],15),IF(Main[[#This Row],[Class]]="A",WORKDAY(Main[[#This Row],[Tech Start Date]],5),""))))</f>
        <v/>
      </c>
      <c r="P1461" s="114" t="str">
        <f>IF(Main[[#This Row],[Tech Start Date]]&lt;1/1/1990,"",IF(Main[[#This Row],[Class]]="C",WORKDAY(Main[[#This Row],[Tech Start Date]],28),IF(Main[[#This Row],[Class]]="B", WORKDAY(Main[[#This Row],[Tech Start Date]],19),IF(Main[[#This Row],[Class]]="A",WORKDAY(Main[[#This Row],[Tech Start Date]],9),""))))</f>
        <v/>
      </c>
      <c r="Q1461" s="129">
        <v>40612</v>
      </c>
      <c r="R1461" s="129">
        <v>40983</v>
      </c>
      <c r="S1461" s="139" t="s">
        <v>17</v>
      </c>
      <c r="T1461" s="115" t="s">
        <v>4</v>
      </c>
      <c r="U1461" s="139" t="s">
        <v>29</v>
      </c>
      <c r="V1461" s="139" t="s">
        <v>1914</v>
      </c>
      <c r="W1461" s="139" t="s">
        <v>1919</v>
      </c>
      <c r="X1461" s="139" t="s">
        <v>2875</v>
      </c>
      <c r="Y1461" s="112" t="s">
        <v>3021</v>
      </c>
      <c r="Z1461" s="112" t="s">
        <v>877</v>
      </c>
      <c r="AA1461" s="139" t="s">
        <v>2875</v>
      </c>
    </row>
    <row r="1462" spans="1:27" ht="17.25" customHeight="1">
      <c r="A1462" s="69" t="str">
        <f>IF(priority(Main[[#This Row],[Comments]])&lt;&gt;0, priority(Main[[#This Row],[Comments]]),"")</f>
        <v/>
      </c>
      <c r="B1462" s="63" t="s">
        <v>2566</v>
      </c>
      <c r="C1462" s="148" t="s">
        <v>2567</v>
      </c>
      <c r="D1462" s="113" t="s">
        <v>2806</v>
      </c>
      <c r="E1462" s="129"/>
      <c r="F1462" s="129"/>
      <c r="G1462" s="69">
        <f>IF(stdProdLT(Main[[#This Row],[Comments]])=0.1,"N/A",IF(stdProdLT(Main[[#This Row],[Comments]])=0,"",stdProdLT(Main[[#This Row],[Comments]])))</f>
        <v>140</v>
      </c>
      <c r="H1462" s="138" t="str">
        <f>IF(Main[[#This Row],[In Stock Date]]="N/A", "N/A",IF(AND(Main[[#This Row],[In Stock Date]]&lt;&gt;"",Main[[#This Row],[Revised Due Date]]&lt;&gt;"",Main[[#This Row],[In Stock Date]]&lt;&gt;""),Main[[#This Row],[In Stock Date]]-Main[[#This Row],[Revised Due Date]],""))</f>
        <v/>
      </c>
      <c r="I1462" s="139" t="s">
        <v>429</v>
      </c>
      <c r="J1462" s="139" t="s">
        <v>70</v>
      </c>
      <c r="K1462" s="139" t="s">
        <v>1923</v>
      </c>
      <c r="L1462" s="129">
        <v>40885</v>
      </c>
      <c r="M1462" s="114">
        <f>IF(Main[[#This Row],[Tech Start Date]]&lt;1/1/1990,"",IF(Main[[#This Row],[Class]]="C",WORKDAY(Main[[#This Row],[Tech Start Date]],9),IF(Main[[#This Row],[Class]]="B", WORKDAY(Main[[#This Row],[Tech Start Date]],6),IF(Main[[#This Row],[Class]]="A",WORKDAY(Main[[#This Row],[Tech Start Date]],2),""))))</f>
        <v>40889</v>
      </c>
      <c r="N1462" s="114">
        <f>IF(Main[[#This Row],[Tech Start Date]]&lt;1/1/1990,"",IF(Main[[#This Row],[Class]]="C",WORKDAY(Main[[#This Row],[Tech Start Date]],19),IF(Main[[#This Row],[Class]]="B", WORKDAY(Main[[#This Row],[Tech Start Date]],12),IF(Main[[#This Row],[Class]]="A",WORKDAY(Main[[#This Row],[Tech Start Date]],4),""))))</f>
        <v>40891</v>
      </c>
      <c r="O1462" s="114">
        <f>IF(Main[[#This Row],[Tech Start Date]]&lt;1/1/1990,"",IF(Main[[#This Row],[Class]]="C",WORKDAY(Main[[#This Row],[Tech Start Date]],23),IF(Main[[#This Row],[Class]]="B", WORKDAY(Main[[#This Row],[Tech Start Date]],15),IF(Main[[#This Row],[Class]]="A",WORKDAY(Main[[#This Row],[Tech Start Date]],5),""))))</f>
        <v>40892</v>
      </c>
      <c r="P1462" s="114">
        <f>IF(Main[[#This Row],[Tech Start Date]]&lt;1/1/1990,"",IF(Main[[#This Row],[Class]]="C",WORKDAY(Main[[#This Row],[Tech Start Date]],28),IF(Main[[#This Row],[Class]]="B", WORKDAY(Main[[#This Row],[Tech Start Date]],19),IF(Main[[#This Row],[Class]]="A",WORKDAY(Main[[#This Row],[Tech Start Date]],9),""))))</f>
        <v>40898</v>
      </c>
      <c r="Q1462" s="129">
        <v>40879</v>
      </c>
      <c r="R1462" s="129"/>
      <c r="S1462" s="139" t="s">
        <v>11</v>
      </c>
      <c r="T1462" s="115" t="s">
        <v>3810</v>
      </c>
      <c r="U1462" s="139" t="s">
        <v>14</v>
      </c>
      <c r="V1462" s="139" t="s">
        <v>1924</v>
      </c>
      <c r="W1462" s="139" t="s">
        <v>1922</v>
      </c>
      <c r="X1462" s="139" t="s">
        <v>2904</v>
      </c>
      <c r="Y1462" s="112" t="s">
        <v>4</v>
      </c>
      <c r="Z1462" s="112" t="s">
        <v>530</v>
      </c>
      <c r="AA1462" s="139" t="s">
        <v>2904</v>
      </c>
    </row>
    <row r="1463" spans="1:27" ht="17.25" customHeight="1">
      <c r="A1463" s="69" t="str">
        <f>IF(priority(Main[[#This Row],[Comments]])&lt;&gt;0, priority(Main[[#This Row],[Comments]]),"")</f>
        <v/>
      </c>
      <c r="B1463" s="63" t="s">
        <v>2807</v>
      </c>
      <c r="C1463" s="148" t="s">
        <v>2808</v>
      </c>
      <c r="D1463" s="113" t="s">
        <v>3178</v>
      </c>
      <c r="E1463" s="129">
        <v>40889.938506944447</v>
      </c>
      <c r="F1463" s="129">
        <v>41029</v>
      </c>
      <c r="G1463" s="69">
        <f>IF(stdProdLT(Main[[#This Row],[Comments]])=0.1,"N/A",IF(stdProdLT(Main[[#This Row],[Comments]])=0,"",stdProdLT(Main[[#This Row],[Comments]])))</f>
        <v>154</v>
      </c>
      <c r="H1463" s="138" t="str">
        <f>IF(Main[[#This Row],[In Stock Date]]="N/A", "N/A",IF(AND(Main[[#This Row],[In Stock Date]]&lt;&gt;"",Main[[#This Row],[Revised Due Date]]&lt;&gt;"",Main[[#This Row],[In Stock Date]]&lt;&gt;""),Main[[#This Row],[In Stock Date]]-Main[[#This Row],[Revised Due Date]],""))</f>
        <v/>
      </c>
      <c r="I1463" s="139" t="s">
        <v>765</v>
      </c>
      <c r="J1463" s="139" t="s">
        <v>28</v>
      </c>
      <c r="K1463" s="139" t="s">
        <v>1921</v>
      </c>
      <c r="L1463" s="129">
        <v>40904</v>
      </c>
      <c r="M1463" s="114">
        <f>IF(Main[[#This Row],[Tech Start Date]]&lt;1/1/1990,"",IF(Main[[#This Row],[Class]]="C",WORKDAY(Main[[#This Row],[Tech Start Date]],9),IF(Main[[#This Row],[Class]]="B", WORKDAY(Main[[#This Row],[Tech Start Date]],6),IF(Main[[#This Row],[Class]]="A",WORKDAY(Main[[#This Row],[Tech Start Date]],2),""))))</f>
        <v>40912</v>
      </c>
      <c r="N1463" s="114">
        <f>IF(Main[[#This Row],[Tech Start Date]]&lt;1/1/1990,"",IF(Main[[#This Row],[Class]]="C",WORKDAY(Main[[#This Row],[Tech Start Date]],19),IF(Main[[#This Row],[Class]]="B", WORKDAY(Main[[#This Row],[Tech Start Date]],12),IF(Main[[#This Row],[Class]]="A",WORKDAY(Main[[#This Row],[Tech Start Date]],4),""))))</f>
        <v>40920</v>
      </c>
      <c r="O1463" s="114">
        <f>IF(Main[[#This Row],[Tech Start Date]]&lt;1/1/1990,"",IF(Main[[#This Row],[Class]]="C",WORKDAY(Main[[#This Row],[Tech Start Date]],23),IF(Main[[#This Row],[Class]]="B", WORKDAY(Main[[#This Row],[Tech Start Date]],15),IF(Main[[#This Row],[Class]]="A",WORKDAY(Main[[#This Row],[Tech Start Date]],5),""))))</f>
        <v>40925</v>
      </c>
      <c r="P1463" s="114">
        <f>IF(Main[[#This Row],[Tech Start Date]]&lt;1/1/1990,"",IF(Main[[#This Row],[Class]]="C",WORKDAY(Main[[#This Row],[Tech Start Date]],28),IF(Main[[#This Row],[Class]]="B", WORKDAY(Main[[#This Row],[Tech Start Date]],19),IF(Main[[#This Row],[Class]]="A",WORKDAY(Main[[#This Row],[Tech Start Date]],9),""))))</f>
        <v>40931</v>
      </c>
      <c r="Q1463" s="129">
        <v>40918</v>
      </c>
      <c r="R1463" s="129"/>
      <c r="S1463" s="139" t="s">
        <v>11</v>
      </c>
      <c r="T1463" s="115" t="s">
        <v>3312</v>
      </c>
      <c r="U1463" s="139" t="s">
        <v>534</v>
      </c>
      <c r="V1463" s="139" t="s">
        <v>1917</v>
      </c>
      <c r="W1463" s="139" t="s">
        <v>1919</v>
      </c>
      <c r="X1463" s="139" t="s">
        <v>2924</v>
      </c>
      <c r="Y1463" s="112" t="s">
        <v>4</v>
      </c>
      <c r="Z1463" s="112" t="s">
        <v>530</v>
      </c>
      <c r="AA1463" s="139" t="s">
        <v>2924</v>
      </c>
    </row>
    <row r="1464" spans="1:27" ht="17.25" customHeight="1">
      <c r="A1464" s="69" t="str">
        <f>IF(priority(Main[[#This Row],[Comments]])&lt;&gt;0, priority(Main[[#This Row],[Comments]]),"")</f>
        <v/>
      </c>
      <c r="B1464" s="63" t="s">
        <v>3173</v>
      </c>
      <c r="C1464" s="148" t="s">
        <v>3243</v>
      </c>
      <c r="D1464" s="113" t="s">
        <v>3313</v>
      </c>
      <c r="E1464" s="129"/>
      <c r="F1464" s="129">
        <v>41105</v>
      </c>
      <c r="G1464" s="69">
        <f>IF(stdProdLT(Main[[#This Row],[Comments]])=0.1,"N/A",IF(stdProdLT(Main[[#This Row],[Comments]])=0,"",stdProdLT(Main[[#This Row],[Comments]])))</f>
        <v>126</v>
      </c>
      <c r="H1464" s="138" t="str">
        <f>IF(Main[[#This Row],[In Stock Date]]="N/A", "N/A",IF(AND(Main[[#This Row],[In Stock Date]]&lt;&gt;"",Main[[#This Row],[Revised Due Date]]&lt;&gt;"",Main[[#This Row],[In Stock Date]]&lt;&gt;""),Main[[#This Row],[In Stock Date]]-Main[[#This Row],[Revised Due Date]],""))</f>
        <v/>
      </c>
      <c r="I1464" s="139" t="s">
        <v>937</v>
      </c>
      <c r="J1464" s="139" t="s">
        <v>28</v>
      </c>
      <c r="K1464" s="139" t="s">
        <v>1921</v>
      </c>
      <c r="L1464" s="129">
        <v>40921</v>
      </c>
      <c r="M1464" s="114">
        <f>IF(Main[[#This Row],[Tech Start Date]]&lt;1/1/1990,"",IF(Main[[#This Row],[Class]]="C",WORKDAY(Main[[#This Row],[Tech Start Date]],9),IF(Main[[#This Row],[Class]]="B", WORKDAY(Main[[#This Row],[Tech Start Date]],6),IF(Main[[#This Row],[Class]]="A",WORKDAY(Main[[#This Row],[Tech Start Date]],2),""))))</f>
        <v>40931</v>
      </c>
      <c r="N1464" s="114">
        <f>IF(Main[[#This Row],[Tech Start Date]]&lt;1/1/1990,"",IF(Main[[#This Row],[Class]]="C",WORKDAY(Main[[#This Row],[Tech Start Date]],19),IF(Main[[#This Row],[Class]]="B", WORKDAY(Main[[#This Row],[Tech Start Date]],12),IF(Main[[#This Row],[Class]]="A",WORKDAY(Main[[#This Row],[Tech Start Date]],4),""))))</f>
        <v>40939</v>
      </c>
      <c r="O1464" s="114">
        <f>IF(Main[[#This Row],[Tech Start Date]]&lt;1/1/1990,"",IF(Main[[#This Row],[Class]]="C",WORKDAY(Main[[#This Row],[Tech Start Date]],23),IF(Main[[#This Row],[Class]]="B", WORKDAY(Main[[#This Row],[Tech Start Date]],15),IF(Main[[#This Row],[Class]]="A",WORKDAY(Main[[#This Row],[Tech Start Date]],5),""))))</f>
        <v>40942</v>
      </c>
      <c r="P1464" s="114">
        <f>IF(Main[[#This Row],[Tech Start Date]]&lt;1/1/1990,"",IF(Main[[#This Row],[Class]]="C",WORKDAY(Main[[#This Row],[Tech Start Date]],28),IF(Main[[#This Row],[Class]]="B", WORKDAY(Main[[#This Row],[Tech Start Date]],19),IF(Main[[#This Row],[Class]]="A",WORKDAY(Main[[#This Row],[Tech Start Date]],9),""))))</f>
        <v>40948</v>
      </c>
      <c r="Q1464" s="129">
        <v>41105</v>
      </c>
      <c r="R1464" s="129"/>
      <c r="S1464" s="139" t="s">
        <v>11</v>
      </c>
      <c r="T1464" s="115" t="s">
        <v>3314</v>
      </c>
      <c r="U1464" s="139" t="s">
        <v>14</v>
      </c>
      <c r="V1464" s="139" t="s">
        <v>1914</v>
      </c>
      <c r="W1464" s="139" t="s">
        <v>1925</v>
      </c>
      <c r="X1464" s="139" t="s">
        <v>2852</v>
      </c>
      <c r="Y1464" s="112" t="s">
        <v>2990</v>
      </c>
      <c r="Z1464" s="112" t="s">
        <v>129</v>
      </c>
      <c r="AA1464" s="139" t="s">
        <v>2852</v>
      </c>
    </row>
    <row r="1465" spans="1:27" ht="17.25" customHeight="1">
      <c r="A1465" s="69" t="str">
        <f>IF(priority(Main[[#This Row],[Comments]])&lt;&gt;0, priority(Main[[#This Row],[Comments]]),"")</f>
        <v/>
      </c>
      <c r="B1465" s="63" t="s">
        <v>3492</v>
      </c>
      <c r="C1465" s="148" t="s">
        <v>3493</v>
      </c>
      <c r="D1465" s="113" t="s">
        <v>3494</v>
      </c>
      <c r="E1465" s="129">
        <v>40899.057951388888</v>
      </c>
      <c r="F1465" s="129"/>
      <c r="G1465" s="69" t="str">
        <f>IF(stdProdLT(Main[[#This Row],[Comments]])=0.1,"N/A",IF(stdProdLT(Main[[#This Row],[Comments]])=0,"",stdProdLT(Main[[#This Row],[Comments]])))</f>
        <v>N/A</v>
      </c>
      <c r="H1465" s="138" t="str">
        <f>IF(Main[[#This Row],[In Stock Date]]="N/A", "N/A",IF(AND(Main[[#This Row],[In Stock Date]]&lt;&gt;"",Main[[#This Row],[Revised Due Date]]&lt;&gt;"",Main[[#This Row],[In Stock Date]]&lt;&gt;""),Main[[#This Row],[In Stock Date]]-Main[[#This Row],[Revised Due Date]],""))</f>
        <v/>
      </c>
      <c r="I1465" s="139" t="s">
        <v>946</v>
      </c>
      <c r="J1465" s="139" t="s">
        <v>28</v>
      </c>
      <c r="K1465" s="139" t="s">
        <v>1927</v>
      </c>
      <c r="L1465" s="129">
        <v>40932</v>
      </c>
      <c r="M1465" s="114">
        <f>IF(Main[[#This Row],[Tech Start Date]]&lt;1/1/1990,"",IF(Main[[#This Row],[Class]]="C",WORKDAY(Main[[#This Row],[Tech Start Date]],9),IF(Main[[#This Row],[Class]]="B", WORKDAY(Main[[#This Row],[Tech Start Date]],6),IF(Main[[#This Row],[Class]]="A",WORKDAY(Main[[#This Row],[Tech Start Date]],2),""))))</f>
        <v>40945</v>
      </c>
      <c r="N1465" s="114">
        <f>IF(Main[[#This Row],[Tech Start Date]]&lt;1/1/1990,"",IF(Main[[#This Row],[Class]]="C",WORKDAY(Main[[#This Row],[Tech Start Date]],19),IF(Main[[#This Row],[Class]]="B", WORKDAY(Main[[#This Row],[Tech Start Date]],12),IF(Main[[#This Row],[Class]]="A",WORKDAY(Main[[#This Row],[Tech Start Date]],4),""))))</f>
        <v>40959</v>
      </c>
      <c r="O1465" s="114">
        <f>IF(Main[[#This Row],[Tech Start Date]]&lt;1/1/1990,"",IF(Main[[#This Row],[Class]]="C",WORKDAY(Main[[#This Row],[Tech Start Date]],23),IF(Main[[#This Row],[Class]]="B", WORKDAY(Main[[#This Row],[Tech Start Date]],15),IF(Main[[#This Row],[Class]]="A",WORKDAY(Main[[#This Row],[Tech Start Date]],5),""))))</f>
        <v>40963</v>
      </c>
      <c r="P1465" s="114">
        <f>IF(Main[[#This Row],[Tech Start Date]]&lt;1/1/1990,"",IF(Main[[#This Row],[Class]]="C",WORKDAY(Main[[#This Row],[Tech Start Date]],28),IF(Main[[#This Row],[Class]]="B", WORKDAY(Main[[#This Row],[Tech Start Date]],19),IF(Main[[#This Row],[Class]]="A",WORKDAY(Main[[#This Row],[Tech Start Date]],9),""))))</f>
        <v>40970</v>
      </c>
      <c r="Q1465" s="129">
        <v>40921</v>
      </c>
      <c r="R1465" s="129">
        <v>40968</v>
      </c>
      <c r="S1465" s="139" t="s">
        <v>17</v>
      </c>
      <c r="T1465" s="115" t="s">
        <v>3495</v>
      </c>
      <c r="U1465" s="139" t="s">
        <v>29</v>
      </c>
      <c r="V1465" s="139" t="s">
        <v>1915</v>
      </c>
      <c r="W1465" s="139" t="s">
        <v>1916</v>
      </c>
      <c r="X1465" s="139" t="s">
        <v>2835</v>
      </c>
      <c r="Y1465" s="112" t="s">
        <v>4</v>
      </c>
      <c r="Z1465" s="112" t="s">
        <v>2053</v>
      </c>
      <c r="AA1465" s="139" t="s">
        <v>2835</v>
      </c>
    </row>
    <row r="1466" spans="1:27" ht="17.25" customHeight="1">
      <c r="A1466" s="69" t="str">
        <f>IF(priority(Main[[#This Row],[Comments]])&lt;&gt;0, priority(Main[[#This Row],[Comments]]),"")</f>
        <v/>
      </c>
      <c r="B1466" s="63" t="s">
        <v>3496</v>
      </c>
      <c r="C1466" s="148" t="s">
        <v>2210</v>
      </c>
      <c r="D1466" s="113" t="s">
        <v>3561</v>
      </c>
      <c r="E1466" s="129"/>
      <c r="F1466" s="129">
        <v>40978</v>
      </c>
      <c r="G1466" s="69" t="str">
        <f>IF(stdProdLT(Main[[#This Row],[Comments]])=0.1,"N/A",IF(stdProdLT(Main[[#This Row],[Comments]])=0,"",stdProdLT(Main[[#This Row],[Comments]])))</f>
        <v/>
      </c>
      <c r="H1466" s="138">
        <f>IF(Main[[#This Row],[In Stock Date]]="N/A", "N/A",IF(AND(Main[[#This Row],[In Stock Date]]&lt;&gt;"",Main[[#This Row],[Revised Due Date]]&lt;&gt;"",Main[[#This Row],[In Stock Date]]&lt;&gt;""),Main[[#This Row],[In Stock Date]]-Main[[#This Row],[Revised Due Date]],""))</f>
        <v>24</v>
      </c>
      <c r="I1466" s="139" t="s">
        <v>941</v>
      </c>
      <c r="J1466" s="139" t="s">
        <v>28</v>
      </c>
      <c r="K1466" s="139" t="s">
        <v>1923</v>
      </c>
      <c r="L1466" s="129">
        <v>40945</v>
      </c>
      <c r="M1466" s="114">
        <f>IF(Main[[#This Row],[Tech Start Date]]&lt;1/1/1990,"",IF(Main[[#This Row],[Class]]="C",WORKDAY(Main[[#This Row],[Tech Start Date]],9),IF(Main[[#This Row],[Class]]="B", WORKDAY(Main[[#This Row],[Tech Start Date]],6),IF(Main[[#This Row],[Class]]="A",WORKDAY(Main[[#This Row],[Tech Start Date]],2),""))))</f>
        <v>40947</v>
      </c>
      <c r="N1466" s="114">
        <f>IF(Main[[#This Row],[Tech Start Date]]&lt;1/1/1990,"",IF(Main[[#This Row],[Class]]="C",WORKDAY(Main[[#This Row],[Tech Start Date]],19),IF(Main[[#This Row],[Class]]="B", WORKDAY(Main[[#This Row],[Tech Start Date]],12),IF(Main[[#This Row],[Class]]="A",WORKDAY(Main[[#This Row],[Tech Start Date]],4),""))))</f>
        <v>40949</v>
      </c>
      <c r="O1466" s="114">
        <f>IF(Main[[#This Row],[Tech Start Date]]&lt;1/1/1990,"",IF(Main[[#This Row],[Class]]="C",WORKDAY(Main[[#This Row],[Tech Start Date]],23),IF(Main[[#This Row],[Class]]="B", WORKDAY(Main[[#This Row],[Tech Start Date]],15),IF(Main[[#This Row],[Class]]="A",WORKDAY(Main[[#This Row],[Tech Start Date]],5),""))))</f>
        <v>40952</v>
      </c>
      <c r="P1466" s="114">
        <f>IF(Main[[#This Row],[Tech Start Date]]&lt;1/1/1990,"",IF(Main[[#This Row],[Class]]="C",WORKDAY(Main[[#This Row],[Tech Start Date]],28),IF(Main[[#This Row],[Class]]="B", WORKDAY(Main[[#This Row],[Tech Start Date]],19),IF(Main[[#This Row],[Class]]="A",WORKDAY(Main[[#This Row],[Tech Start Date]],9),""))))</f>
        <v>40956</v>
      </c>
      <c r="Q1466" s="129">
        <v>40978</v>
      </c>
      <c r="R1466" s="129">
        <v>40954</v>
      </c>
      <c r="S1466" s="139" t="s">
        <v>11</v>
      </c>
      <c r="T1466" s="115" t="s">
        <v>3562</v>
      </c>
      <c r="U1466" s="139" t="s">
        <v>14</v>
      </c>
      <c r="V1466" s="139" t="s">
        <v>1915</v>
      </c>
      <c r="W1466" s="139" t="s">
        <v>1919</v>
      </c>
      <c r="X1466" s="139" t="s">
        <v>2816</v>
      </c>
      <c r="Y1466" s="112" t="s">
        <v>4</v>
      </c>
      <c r="Z1466" s="112" t="s">
        <v>2053</v>
      </c>
      <c r="AA1466" s="139" t="s">
        <v>2816</v>
      </c>
    </row>
    <row r="1467" spans="1:27" ht="17.25" customHeight="1">
      <c r="A1467" s="69" t="str">
        <f>IF(priority(Main[[#This Row],[Comments]])&lt;&gt;0, priority(Main[[#This Row],[Comments]]),"")</f>
        <v/>
      </c>
      <c r="B1467" s="63" t="s">
        <v>3566</v>
      </c>
      <c r="C1467" s="148" t="s">
        <v>4</v>
      </c>
      <c r="D1467" s="113" t="s">
        <v>3567</v>
      </c>
      <c r="E1467" s="129">
        <v>40947.374143518522</v>
      </c>
      <c r="F1467" s="129"/>
      <c r="G1467" s="69" t="str">
        <f>IF(stdProdLT(Main[[#This Row],[Comments]])=0.1,"N/A",IF(stdProdLT(Main[[#This Row],[Comments]])=0,"",stdProdLT(Main[[#This Row],[Comments]])))</f>
        <v/>
      </c>
      <c r="H1467" s="138" t="str">
        <f>IF(Main[[#This Row],[In Stock Date]]="N/A", "N/A",IF(AND(Main[[#This Row],[In Stock Date]]&lt;&gt;"",Main[[#This Row],[Revised Due Date]]&lt;&gt;"",Main[[#This Row],[In Stock Date]]&lt;&gt;""),Main[[#This Row],[In Stock Date]]-Main[[#This Row],[Revised Due Date]],""))</f>
        <v/>
      </c>
      <c r="I1467" s="139" t="s">
        <v>942</v>
      </c>
      <c r="J1467" s="139" t="s">
        <v>28</v>
      </c>
      <c r="K1467" s="139" t="s">
        <v>1921</v>
      </c>
      <c r="L1467" s="129">
        <v>40947</v>
      </c>
      <c r="M1467" s="114">
        <f>IF(Main[[#This Row],[Tech Start Date]]&lt;1/1/1990,"",IF(Main[[#This Row],[Class]]="C",WORKDAY(Main[[#This Row],[Tech Start Date]],9),IF(Main[[#This Row],[Class]]="B", WORKDAY(Main[[#This Row],[Tech Start Date]],6),IF(Main[[#This Row],[Class]]="A",WORKDAY(Main[[#This Row],[Tech Start Date]],2),""))))</f>
        <v>40955</v>
      </c>
      <c r="N1467" s="114">
        <f>IF(Main[[#This Row],[Tech Start Date]]&lt;1/1/1990,"",IF(Main[[#This Row],[Class]]="C",WORKDAY(Main[[#This Row],[Tech Start Date]],19),IF(Main[[#This Row],[Class]]="B", WORKDAY(Main[[#This Row],[Tech Start Date]],12),IF(Main[[#This Row],[Class]]="A",WORKDAY(Main[[#This Row],[Tech Start Date]],4),""))))</f>
        <v>40963</v>
      </c>
      <c r="O1467" s="114">
        <f>IF(Main[[#This Row],[Tech Start Date]]&lt;1/1/1990,"",IF(Main[[#This Row],[Class]]="C",WORKDAY(Main[[#This Row],[Tech Start Date]],23),IF(Main[[#This Row],[Class]]="B", WORKDAY(Main[[#This Row],[Tech Start Date]],15),IF(Main[[#This Row],[Class]]="A",WORKDAY(Main[[#This Row],[Tech Start Date]],5),""))))</f>
        <v>40968</v>
      </c>
      <c r="P1467" s="114">
        <f>IF(Main[[#This Row],[Tech Start Date]]&lt;1/1/1990,"",IF(Main[[#This Row],[Class]]="C",WORKDAY(Main[[#This Row],[Tech Start Date]],28),IF(Main[[#This Row],[Class]]="B", WORKDAY(Main[[#This Row],[Tech Start Date]],19),IF(Main[[#This Row],[Class]]="A",WORKDAY(Main[[#This Row],[Tech Start Date]],9),""))))</f>
        <v>40974</v>
      </c>
      <c r="Q1467" s="129"/>
      <c r="R1467" s="129">
        <v>40956</v>
      </c>
      <c r="S1467" s="139" t="s">
        <v>6</v>
      </c>
      <c r="T1467" s="115" t="s">
        <v>4</v>
      </c>
      <c r="U1467" s="139" t="s">
        <v>29</v>
      </c>
      <c r="V1467" s="139" t="s">
        <v>1915</v>
      </c>
      <c r="W1467" s="139" t="s">
        <v>1919</v>
      </c>
      <c r="X1467" s="139" t="s">
        <v>2053</v>
      </c>
      <c r="Y1467" s="112" t="s">
        <v>3153</v>
      </c>
      <c r="Z1467" s="112" t="s">
        <v>2053</v>
      </c>
      <c r="AA1467" s="139" t="s">
        <v>2053</v>
      </c>
    </row>
    <row r="1468" spans="1:27" ht="17.25" customHeight="1">
      <c r="A1468" s="69" t="str">
        <f>IF(priority(Main[[#This Row],[Comments]])&lt;&gt;0, priority(Main[[#This Row],[Comments]]),"")</f>
        <v/>
      </c>
      <c r="B1468" s="63" t="s">
        <v>3267</v>
      </c>
      <c r="C1468" s="148" t="s">
        <v>3206</v>
      </c>
      <c r="D1468" s="113" t="s">
        <v>3268</v>
      </c>
      <c r="E1468" s="129"/>
      <c r="F1468" s="129">
        <v>41153</v>
      </c>
      <c r="G1468" s="69">
        <f>IF(stdProdLT(Main[[#This Row],[Comments]])=0.1,"N/A",IF(stdProdLT(Main[[#This Row],[Comments]])=0,"",stdProdLT(Main[[#This Row],[Comments]])))</f>
        <v>168</v>
      </c>
      <c r="H1468" s="138" t="str">
        <f>IF(Main[[#This Row],[In Stock Date]]="N/A", "N/A",IF(AND(Main[[#This Row],[In Stock Date]]&lt;&gt;"",Main[[#This Row],[Revised Due Date]]&lt;&gt;"",Main[[#This Row],[In Stock Date]]&lt;&gt;""),Main[[#This Row],[In Stock Date]]-Main[[#This Row],[Revised Due Date]],""))</f>
        <v/>
      </c>
      <c r="I1468" s="139" t="s">
        <v>765</v>
      </c>
      <c r="J1468" s="139" t="s">
        <v>28</v>
      </c>
      <c r="K1468" s="139" t="s">
        <v>1921</v>
      </c>
      <c r="L1468" s="129">
        <v>40948</v>
      </c>
      <c r="M1468" s="114">
        <f>IF(Main[[#This Row],[Tech Start Date]]&lt;1/1/1990,"",IF(Main[[#This Row],[Class]]="C",WORKDAY(Main[[#This Row],[Tech Start Date]],9),IF(Main[[#This Row],[Class]]="B", WORKDAY(Main[[#This Row],[Tech Start Date]],6),IF(Main[[#This Row],[Class]]="A",WORKDAY(Main[[#This Row],[Tech Start Date]],2),""))))</f>
        <v>40956</v>
      </c>
      <c r="N1468" s="114">
        <f>IF(Main[[#This Row],[Tech Start Date]]&lt;1/1/1990,"",IF(Main[[#This Row],[Class]]="C",WORKDAY(Main[[#This Row],[Tech Start Date]],19),IF(Main[[#This Row],[Class]]="B", WORKDAY(Main[[#This Row],[Tech Start Date]],12),IF(Main[[#This Row],[Class]]="A",WORKDAY(Main[[#This Row],[Tech Start Date]],4),""))))</f>
        <v>40966</v>
      </c>
      <c r="O1468" s="114">
        <f>IF(Main[[#This Row],[Tech Start Date]]&lt;1/1/1990,"",IF(Main[[#This Row],[Class]]="C",WORKDAY(Main[[#This Row],[Tech Start Date]],23),IF(Main[[#This Row],[Class]]="B", WORKDAY(Main[[#This Row],[Tech Start Date]],15),IF(Main[[#This Row],[Class]]="A",WORKDAY(Main[[#This Row],[Tech Start Date]],5),""))))</f>
        <v>40969</v>
      </c>
      <c r="P1468" s="114">
        <f>IF(Main[[#This Row],[Tech Start Date]]&lt;1/1/1990,"",IF(Main[[#This Row],[Class]]="C",WORKDAY(Main[[#This Row],[Tech Start Date]],28),IF(Main[[#This Row],[Class]]="B", WORKDAY(Main[[#This Row],[Tech Start Date]],19),IF(Main[[#This Row],[Class]]="A",WORKDAY(Main[[#This Row],[Tech Start Date]],9),""))))</f>
        <v>40975</v>
      </c>
      <c r="Q1468" s="129">
        <v>40983</v>
      </c>
      <c r="R1468" s="129"/>
      <c r="S1468" s="139" t="s">
        <v>11</v>
      </c>
      <c r="T1468" s="115" t="s">
        <v>3848</v>
      </c>
      <c r="U1468" s="139" t="s">
        <v>14</v>
      </c>
      <c r="V1468" s="139" t="s">
        <v>1917</v>
      </c>
      <c r="W1468" s="139" t="s">
        <v>1920</v>
      </c>
      <c r="X1468" s="139" t="s">
        <v>2848</v>
      </c>
      <c r="Y1468" s="112" t="s">
        <v>2979</v>
      </c>
      <c r="Z1468" s="112" t="s">
        <v>530</v>
      </c>
      <c r="AA1468" s="139" t="s">
        <v>2848</v>
      </c>
    </row>
    <row r="1469" spans="1:27" ht="17.25" customHeight="1">
      <c r="A1469" s="69" t="str">
        <f>IF(priority(Main[[#This Row],[Comments]])&lt;&gt;0, priority(Main[[#This Row],[Comments]]),"")</f>
        <v/>
      </c>
      <c r="B1469" s="63" t="s">
        <v>3569</v>
      </c>
      <c r="C1469" s="148" t="s">
        <v>122</v>
      </c>
      <c r="D1469" s="113" t="s">
        <v>3570</v>
      </c>
      <c r="E1469" s="129">
        <v>40946.693032407406</v>
      </c>
      <c r="F1469" s="129"/>
      <c r="G1469" s="69" t="str">
        <f>IF(stdProdLT(Main[[#This Row],[Comments]])=0.1,"N/A",IF(stdProdLT(Main[[#This Row],[Comments]])=0,"",stdProdLT(Main[[#This Row],[Comments]])))</f>
        <v/>
      </c>
      <c r="H1469" s="138" t="str">
        <f>IF(Main[[#This Row],[In Stock Date]]="N/A", "N/A",IF(AND(Main[[#This Row],[In Stock Date]]&lt;&gt;"",Main[[#This Row],[Revised Due Date]]&lt;&gt;"",Main[[#This Row],[In Stock Date]]&lt;&gt;""),Main[[#This Row],[In Stock Date]]-Main[[#This Row],[Revised Due Date]],""))</f>
        <v/>
      </c>
      <c r="I1469" s="139" t="s">
        <v>561</v>
      </c>
      <c r="J1469" s="139" t="s">
        <v>21</v>
      </c>
      <c r="K1469" s="139" t="s">
        <v>1923</v>
      </c>
      <c r="L1469" s="129">
        <v>40948</v>
      </c>
      <c r="M1469" s="114">
        <f>IF(Main[[#This Row],[Tech Start Date]]&lt;1/1/1990,"",IF(Main[[#This Row],[Class]]="C",WORKDAY(Main[[#This Row],[Tech Start Date]],9),IF(Main[[#This Row],[Class]]="B", WORKDAY(Main[[#This Row],[Tech Start Date]],6),IF(Main[[#This Row],[Class]]="A",WORKDAY(Main[[#This Row],[Tech Start Date]],2),""))))</f>
        <v>40952</v>
      </c>
      <c r="N1469" s="114">
        <f>IF(Main[[#This Row],[Tech Start Date]]&lt;1/1/1990,"",IF(Main[[#This Row],[Class]]="C",WORKDAY(Main[[#This Row],[Tech Start Date]],19),IF(Main[[#This Row],[Class]]="B", WORKDAY(Main[[#This Row],[Tech Start Date]],12),IF(Main[[#This Row],[Class]]="A",WORKDAY(Main[[#This Row],[Tech Start Date]],4),""))))</f>
        <v>40954</v>
      </c>
      <c r="O1469" s="114">
        <f>IF(Main[[#This Row],[Tech Start Date]]&lt;1/1/1990,"",IF(Main[[#This Row],[Class]]="C",WORKDAY(Main[[#This Row],[Tech Start Date]],23),IF(Main[[#This Row],[Class]]="B", WORKDAY(Main[[#This Row],[Tech Start Date]],15),IF(Main[[#This Row],[Class]]="A",WORKDAY(Main[[#This Row],[Tech Start Date]],5),""))))</f>
        <v>40955</v>
      </c>
      <c r="P1469" s="114">
        <f>IF(Main[[#This Row],[Tech Start Date]]&lt;1/1/1990,"",IF(Main[[#This Row],[Class]]="C",WORKDAY(Main[[#This Row],[Tech Start Date]],28),IF(Main[[#This Row],[Class]]="B", WORKDAY(Main[[#This Row],[Tech Start Date]],19),IF(Main[[#This Row],[Class]]="A",WORKDAY(Main[[#This Row],[Tech Start Date]],9),""))))</f>
        <v>40961</v>
      </c>
      <c r="Q1469" s="129"/>
      <c r="R1469" s="129">
        <v>40959</v>
      </c>
      <c r="S1469" s="139" t="s">
        <v>17</v>
      </c>
      <c r="T1469" s="115" t="s">
        <v>4</v>
      </c>
      <c r="U1469" s="139" t="s">
        <v>29</v>
      </c>
      <c r="V1469" s="139" t="s">
        <v>1914</v>
      </c>
      <c r="W1469" s="139" t="s">
        <v>1916</v>
      </c>
      <c r="X1469" s="139" t="s">
        <v>2839</v>
      </c>
      <c r="Y1469" s="112" t="s">
        <v>2970</v>
      </c>
      <c r="Z1469" s="112" t="s">
        <v>129</v>
      </c>
      <c r="AA1469" s="139" t="s">
        <v>2839</v>
      </c>
    </row>
    <row r="1470" spans="1:27" ht="17.25" customHeight="1">
      <c r="A1470" s="69" t="str">
        <f>IF(priority(Main[[#This Row],[Comments]])&lt;&gt;0, priority(Main[[#This Row],[Comments]]),"")</f>
        <v/>
      </c>
      <c r="B1470" s="63" t="s">
        <v>3862</v>
      </c>
      <c r="C1470" s="148" t="s">
        <v>4</v>
      </c>
      <c r="D1470" s="113" t="s">
        <v>3863</v>
      </c>
      <c r="E1470" s="129">
        <v>40955.366423611114</v>
      </c>
      <c r="F1470" s="129">
        <v>40959</v>
      </c>
      <c r="G1470" s="69" t="str">
        <f>IF(stdProdLT(Main[[#This Row],[Comments]])=0.1,"N/A",IF(stdProdLT(Main[[#This Row],[Comments]])=0,"",stdProdLT(Main[[#This Row],[Comments]])))</f>
        <v/>
      </c>
      <c r="H1470" s="138" t="str">
        <f>IF(Main[[#This Row],[In Stock Date]]="N/A", "N/A",IF(AND(Main[[#This Row],[In Stock Date]]&lt;&gt;"",Main[[#This Row],[Revised Due Date]]&lt;&gt;"",Main[[#This Row],[In Stock Date]]&lt;&gt;""),Main[[#This Row],[In Stock Date]]-Main[[#This Row],[Revised Due Date]],""))</f>
        <v/>
      </c>
      <c r="I1470" s="139" t="s">
        <v>2044</v>
      </c>
      <c r="J1470" s="139" t="s">
        <v>28</v>
      </c>
      <c r="K1470" s="140" t="s">
        <v>1923</v>
      </c>
      <c r="L1470" s="129">
        <v>40955</v>
      </c>
      <c r="M1470" s="114">
        <f>IF(Main[[#This Row],[Tech Start Date]]&lt;1/1/1990,"",IF(Main[[#This Row],[Class]]="C",WORKDAY(Main[[#This Row],[Tech Start Date]],9),IF(Main[[#This Row],[Class]]="B", WORKDAY(Main[[#This Row],[Tech Start Date]],6),IF(Main[[#This Row],[Class]]="A",WORKDAY(Main[[#This Row],[Tech Start Date]],2),""))))</f>
        <v>40959</v>
      </c>
      <c r="N1470" s="114">
        <f>IF(Main[[#This Row],[Tech Start Date]]&lt;1/1/1990,"",IF(Main[[#This Row],[Class]]="C",WORKDAY(Main[[#This Row],[Tech Start Date]],19),IF(Main[[#This Row],[Class]]="B", WORKDAY(Main[[#This Row],[Tech Start Date]],12),IF(Main[[#This Row],[Class]]="A",WORKDAY(Main[[#This Row],[Tech Start Date]],4),""))))</f>
        <v>40961</v>
      </c>
      <c r="O1470" s="114">
        <f>IF(Main[[#This Row],[Tech Start Date]]&lt;1/1/1990,"",IF(Main[[#This Row],[Class]]="C",WORKDAY(Main[[#This Row],[Tech Start Date]],23),IF(Main[[#This Row],[Class]]="B", WORKDAY(Main[[#This Row],[Tech Start Date]],15),IF(Main[[#This Row],[Class]]="A",WORKDAY(Main[[#This Row],[Tech Start Date]],5),""))))</f>
        <v>40962</v>
      </c>
      <c r="P1470" s="114">
        <f>IF(Main[[#This Row],[Tech Start Date]]&lt;1/1/1990,"",IF(Main[[#This Row],[Class]]="C",WORKDAY(Main[[#This Row],[Tech Start Date]],28),IF(Main[[#This Row],[Class]]="B", WORKDAY(Main[[#This Row],[Tech Start Date]],19),IF(Main[[#This Row],[Class]]="A",WORKDAY(Main[[#This Row],[Tech Start Date]],9),""))))</f>
        <v>40968</v>
      </c>
      <c r="Q1470" s="129"/>
      <c r="R1470" s="129"/>
      <c r="S1470" s="139" t="s">
        <v>11</v>
      </c>
      <c r="T1470" s="115" t="s">
        <v>3864</v>
      </c>
      <c r="U1470" s="139" t="s">
        <v>534</v>
      </c>
      <c r="V1470" s="139" t="s">
        <v>1917</v>
      </c>
      <c r="W1470" s="139" t="s">
        <v>1922</v>
      </c>
      <c r="X1470" s="139" t="s">
        <v>50</v>
      </c>
      <c r="Y1470" s="112" t="s">
        <v>3866</v>
      </c>
      <c r="Z1470" s="112" t="s">
        <v>530</v>
      </c>
      <c r="AA1470" s="139" t="s">
        <v>3865</v>
      </c>
    </row>
    <row r="1471" spans="1:27" ht="17.25" customHeight="1">
      <c r="A1471" s="69" t="str">
        <f>IF(priority(Main[[#This Row],[Comments]])&lt;&gt;0, priority(Main[[#This Row],[Comments]]),"")</f>
        <v/>
      </c>
      <c r="B1471" s="63" t="s">
        <v>3926</v>
      </c>
      <c r="C1471" s="148" t="s">
        <v>3927</v>
      </c>
      <c r="D1471" s="113" t="s">
        <v>3928</v>
      </c>
      <c r="E1471" s="129">
        <v>40961.049814814818</v>
      </c>
      <c r="F1471" s="129">
        <v>41153</v>
      </c>
      <c r="G1471" s="69">
        <f>IF(stdProdLT(Main[[#This Row],[Comments]])=0.1,"N/A",IF(stdProdLT(Main[[#This Row],[Comments]])=0,"",stdProdLT(Main[[#This Row],[Comments]])))</f>
        <v>126</v>
      </c>
      <c r="H1471" s="138">
        <f>IF(Main[[#This Row],[In Stock Date]]="N/A", "N/A",IF(AND(Main[[#This Row],[In Stock Date]]&lt;&gt;"",Main[[#This Row],[Revised Due Date]]&lt;&gt;"",Main[[#This Row],[In Stock Date]]&lt;&gt;""),Main[[#This Row],[In Stock Date]]-Main[[#This Row],[Revised Due Date]],""))</f>
        <v>143</v>
      </c>
      <c r="I1471" s="139" t="s">
        <v>765</v>
      </c>
      <c r="J1471" s="139" t="s">
        <v>28</v>
      </c>
      <c r="K1471" s="139" t="s">
        <v>1927</v>
      </c>
      <c r="L1471" s="129">
        <v>40967</v>
      </c>
      <c r="M1471" s="114">
        <f>IF(Main[[#This Row],[Tech Start Date]]&lt;1/1/1990,"",IF(Main[[#This Row],[Class]]="C",WORKDAY(Main[[#This Row],[Tech Start Date]],9),IF(Main[[#This Row],[Class]]="B", WORKDAY(Main[[#This Row],[Tech Start Date]],6),IF(Main[[#This Row],[Class]]="A",WORKDAY(Main[[#This Row],[Tech Start Date]],2),""))))</f>
        <v>40980</v>
      </c>
      <c r="N1471" s="114">
        <f>IF(Main[[#This Row],[Tech Start Date]]&lt;1/1/1990,"",IF(Main[[#This Row],[Class]]="C",WORKDAY(Main[[#This Row],[Tech Start Date]],19),IF(Main[[#This Row],[Class]]="B", WORKDAY(Main[[#This Row],[Tech Start Date]],12),IF(Main[[#This Row],[Class]]="A",WORKDAY(Main[[#This Row],[Tech Start Date]],4),""))))</f>
        <v>40994</v>
      </c>
      <c r="O1471" s="114">
        <f>IF(Main[[#This Row],[Tech Start Date]]&lt;1/1/1990,"",IF(Main[[#This Row],[Class]]="C",WORKDAY(Main[[#This Row],[Tech Start Date]],23),IF(Main[[#This Row],[Class]]="B", WORKDAY(Main[[#This Row],[Tech Start Date]],15),IF(Main[[#This Row],[Class]]="A",WORKDAY(Main[[#This Row],[Tech Start Date]],5),""))))</f>
        <v>40998</v>
      </c>
      <c r="P1471" s="114">
        <f>IF(Main[[#This Row],[Tech Start Date]]&lt;1/1/1990,"",IF(Main[[#This Row],[Class]]="C",WORKDAY(Main[[#This Row],[Tech Start Date]],28),IF(Main[[#This Row],[Class]]="B", WORKDAY(Main[[#This Row],[Tech Start Date]],19),IF(Main[[#This Row],[Class]]="A",WORKDAY(Main[[#This Row],[Tech Start Date]],9),""))))</f>
        <v>41005</v>
      </c>
      <c r="Q1471" s="129">
        <v>40909</v>
      </c>
      <c r="R1471" s="129">
        <v>41010</v>
      </c>
      <c r="S1471" s="139" t="s">
        <v>11</v>
      </c>
      <c r="T1471" s="115" t="s">
        <v>3982</v>
      </c>
      <c r="U1471" s="139" t="s">
        <v>29</v>
      </c>
      <c r="V1471" s="139" t="s">
        <v>1917</v>
      </c>
      <c r="W1471" s="139" t="s">
        <v>1919</v>
      </c>
      <c r="X1471" s="139" t="s">
        <v>2843</v>
      </c>
      <c r="Y1471" s="112" t="s">
        <v>4</v>
      </c>
      <c r="Z1471" s="112" t="s">
        <v>530</v>
      </c>
      <c r="AA1471" s="139" t="s">
        <v>2843</v>
      </c>
    </row>
    <row r="1472" spans="1:27" ht="17.25" customHeight="1">
      <c r="A1472" s="69" t="str">
        <f>IF(priority(Main[[#This Row],[Comments]])&lt;&gt;0, priority(Main[[#This Row],[Comments]]),"")</f>
        <v/>
      </c>
      <c r="B1472" s="63" t="s">
        <v>3915</v>
      </c>
      <c r="C1472" s="148" t="s">
        <v>53</v>
      </c>
      <c r="D1472" s="113" t="s">
        <v>3916</v>
      </c>
      <c r="E1472" s="129">
        <v>40967.607476851852</v>
      </c>
      <c r="F1472" s="129"/>
      <c r="G1472" s="69" t="str">
        <f>IF(stdProdLT(Main[[#This Row],[Comments]])=0.1,"N/A",IF(stdProdLT(Main[[#This Row],[Comments]])=0,"",stdProdLT(Main[[#This Row],[Comments]])))</f>
        <v>N/A</v>
      </c>
      <c r="H1472" s="138" t="str">
        <f>IF(Main[[#This Row],[In Stock Date]]="N/A", "N/A",IF(AND(Main[[#This Row],[In Stock Date]]&lt;&gt;"",Main[[#This Row],[Revised Due Date]]&lt;&gt;"",Main[[#This Row],[In Stock Date]]&lt;&gt;""),Main[[#This Row],[In Stock Date]]-Main[[#This Row],[Revised Due Date]],""))</f>
        <v/>
      </c>
      <c r="I1472" s="139" t="s">
        <v>941</v>
      </c>
      <c r="J1472" s="139" t="s">
        <v>28</v>
      </c>
      <c r="K1472" s="139" t="s">
        <v>1923</v>
      </c>
      <c r="L1472" s="129">
        <v>40967</v>
      </c>
      <c r="M1472" s="114">
        <f>IF(Main[[#This Row],[Tech Start Date]]&lt;1/1/1990,"",IF(Main[[#This Row],[Class]]="C",WORKDAY(Main[[#This Row],[Tech Start Date]],9),IF(Main[[#This Row],[Class]]="B", WORKDAY(Main[[#This Row],[Tech Start Date]],6),IF(Main[[#This Row],[Class]]="A",WORKDAY(Main[[#This Row],[Tech Start Date]],2),""))))</f>
        <v>40969</v>
      </c>
      <c r="N1472" s="114">
        <f>IF(Main[[#This Row],[Tech Start Date]]&lt;1/1/1990,"",IF(Main[[#This Row],[Class]]="C",WORKDAY(Main[[#This Row],[Tech Start Date]],19),IF(Main[[#This Row],[Class]]="B", WORKDAY(Main[[#This Row],[Tech Start Date]],12),IF(Main[[#This Row],[Class]]="A",WORKDAY(Main[[#This Row],[Tech Start Date]],4),""))))</f>
        <v>40973</v>
      </c>
      <c r="O1472" s="114">
        <f>IF(Main[[#This Row],[Tech Start Date]]&lt;1/1/1990,"",IF(Main[[#This Row],[Class]]="C",WORKDAY(Main[[#This Row],[Tech Start Date]],23),IF(Main[[#This Row],[Class]]="B", WORKDAY(Main[[#This Row],[Tech Start Date]],15),IF(Main[[#This Row],[Class]]="A",WORKDAY(Main[[#This Row],[Tech Start Date]],5),""))))</f>
        <v>40974</v>
      </c>
      <c r="P1472" s="114">
        <f>IF(Main[[#This Row],[Tech Start Date]]&lt;1/1/1990,"",IF(Main[[#This Row],[Class]]="C",WORKDAY(Main[[#This Row],[Tech Start Date]],28),IF(Main[[#This Row],[Class]]="B", WORKDAY(Main[[#This Row],[Tech Start Date]],19),IF(Main[[#This Row],[Class]]="A",WORKDAY(Main[[#This Row],[Tech Start Date]],9),""))))</f>
        <v>40980</v>
      </c>
      <c r="Q1472" s="129">
        <v>40974</v>
      </c>
      <c r="R1472" s="129">
        <v>40982</v>
      </c>
      <c r="S1472" s="139" t="s">
        <v>11</v>
      </c>
      <c r="T1472" s="115" t="s">
        <v>3233</v>
      </c>
      <c r="U1472" s="139" t="s">
        <v>29</v>
      </c>
      <c r="V1472" s="139" t="s">
        <v>1915</v>
      </c>
      <c r="W1472" s="139" t="s">
        <v>1916</v>
      </c>
      <c r="X1472" s="139" t="s">
        <v>2816</v>
      </c>
      <c r="Y1472" s="112" t="s">
        <v>4</v>
      </c>
      <c r="Z1472" s="112" t="s">
        <v>2053</v>
      </c>
      <c r="AA1472" s="139" t="s">
        <v>2816</v>
      </c>
    </row>
    <row r="1473" spans="1:27" ht="17.25" customHeight="1">
      <c r="A1473" s="69" t="str">
        <f>IF(priority(Main[[#This Row],[Comments]])&lt;&gt;0, priority(Main[[#This Row],[Comments]]),"")</f>
        <v/>
      </c>
      <c r="B1473" s="63" t="s">
        <v>3917</v>
      </c>
      <c r="C1473" s="148" t="s">
        <v>3918</v>
      </c>
      <c r="D1473" s="113" t="s">
        <v>3919</v>
      </c>
      <c r="E1473" s="129">
        <v>40961.04891203704</v>
      </c>
      <c r="F1473" s="129">
        <v>41105</v>
      </c>
      <c r="G1473" s="69" t="str">
        <f>IF(stdProdLT(Main[[#This Row],[Comments]])=0.1,"N/A",IF(stdProdLT(Main[[#This Row],[Comments]])=0,"",stdProdLT(Main[[#This Row],[Comments]])))</f>
        <v/>
      </c>
      <c r="H1473" s="138">
        <f>IF(Main[[#This Row],[In Stock Date]]="N/A", "N/A",IF(AND(Main[[#This Row],[In Stock Date]]&lt;&gt;"",Main[[#This Row],[Revised Due Date]]&lt;&gt;"",Main[[#This Row],[In Stock Date]]&lt;&gt;""),Main[[#This Row],[In Stock Date]]-Main[[#This Row],[Revised Due Date]],""))</f>
        <v>117</v>
      </c>
      <c r="I1473" s="139" t="s">
        <v>44</v>
      </c>
      <c r="J1473" s="139" t="s">
        <v>28</v>
      </c>
      <c r="K1473" s="140" t="s">
        <v>1923</v>
      </c>
      <c r="L1473" s="129">
        <v>40967</v>
      </c>
      <c r="M1473" s="114">
        <f>IF(Main[[#This Row],[Tech Start Date]]&lt;1/1/1990,"",IF(Main[[#This Row],[Class]]="C",WORKDAY(Main[[#This Row],[Tech Start Date]],9),IF(Main[[#This Row],[Class]]="B", WORKDAY(Main[[#This Row],[Tech Start Date]],6),IF(Main[[#This Row],[Class]]="A",WORKDAY(Main[[#This Row],[Tech Start Date]],2),""))))</f>
        <v>40969</v>
      </c>
      <c r="N1473" s="114">
        <f>IF(Main[[#This Row],[Tech Start Date]]&lt;1/1/1990,"",IF(Main[[#This Row],[Class]]="C",WORKDAY(Main[[#This Row],[Tech Start Date]],19),IF(Main[[#This Row],[Class]]="B", WORKDAY(Main[[#This Row],[Tech Start Date]],12),IF(Main[[#This Row],[Class]]="A",WORKDAY(Main[[#This Row],[Tech Start Date]],4),""))))</f>
        <v>40973</v>
      </c>
      <c r="O1473" s="114">
        <f>IF(Main[[#This Row],[Tech Start Date]]&lt;1/1/1990,"",IF(Main[[#This Row],[Class]]="C",WORKDAY(Main[[#This Row],[Tech Start Date]],23),IF(Main[[#This Row],[Class]]="B", WORKDAY(Main[[#This Row],[Tech Start Date]],15),IF(Main[[#This Row],[Class]]="A",WORKDAY(Main[[#This Row],[Tech Start Date]],5),""))))</f>
        <v>40974</v>
      </c>
      <c r="P1473" s="114">
        <f>IF(Main[[#This Row],[Tech Start Date]]&lt;1/1/1990,"",IF(Main[[#This Row],[Class]]="C",WORKDAY(Main[[#This Row],[Tech Start Date]],28),IF(Main[[#This Row],[Class]]="B", WORKDAY(Main[[#This Row],[Tech Start Date]],19),IF(Main[[#This Row],[Class]]="A",WORKDAY(Main[[#This Row],[Tech Start Date]],9),""))))</f>
        <v>40980</v>
      </c>
      <c r="Q1473" s="129">
        <v>40969</v>
      </c>
      <c r="R1473" s="129">
        <v>40988</v>
      </c>
      <c r="S1473" s="139" t="s">
        <v>11</v>
      </c>
      <c r="T1473" s="115" t="s">
        <v>3920</v>
      </c>
      <c r="U1473" s="139" t="s">
        <v>29</v>
      </c>
      <c r="V1473" s="139" t="s">
        <v>1924</v>
      </c>
      <c r="W1473" s="139" t="s">
        <v>1920</v>
      </c>
      <c r="X1473" s="139" t="s">
        <v>2845</v>
      </c>
      <c r="Y1473" s="112" t="s">
        <v>3902</v>
      </c>
      <c r="Z1473" s="112" t="s">
        <v>530</v>
      </c>
      <c r="AA1473" s="139" t="s">
        <v>2845</v>
      </c>
    </row>
    <row r="1474" spans="1:27" ht="17.25" customHeight="1">
      <c r="A1474" s="69" t="str">
        <f>IF(priority(Main[[#This Row],[Comments]])&lt;&gt;0, priority(Main[[#This Row],[Comments]]),"")</f>
        <v/>
      </c>
      <c r="B1474" s="63" t="s">
        <v>3910</v>
      </c>
      <c r="C1474" s="148" t="s">
        <v>2749</v>
      </c>
      <c r="D1474" s="113" t="s">
        <v>3911</v>
      </c>
      <c r="E1474" s="129">
        <v>40967.578032407408</v>
      </c>
      <c r="F1474" s="129">
        <v>40977</v>
      </c>
      <c r="G1474" s="69" t="str">
        <f>IF(stdProdLT(Main[[#This Row],[Comments]])=0.1,"N/A",IF(stdProdLT(Main[[#This Row],[Comments]])=0,"",stdProdLT(Main[[#This Row],[Comments]])))</f>
        <v>N/A</v>
      </c>
      <c r="H1474" s="138">
        <f>IF(Main[[#This Row],[In Stock Date]]="N/A", "N/A",IF(AND(Main[[#This Row],[In Stock Date]]&lt;&gt;"",Main[[#This Row],[Revised Due Date]]&lt;&gt;"",Main[[#This Row],[In Stock Date]]&lt;&gt;""),Main[[#This Row],[In Stock Date]]-Main[[#This Row],[Revised Due Date]],""))</f>
        <v>3</v>
      </c>
      <c r="I1474" s="139" t="s">
        <v>3981</v>
      </c>
      <c r="J1474" s="139" t="s">
        <v>4</v>
      </c>
      <c r="K1474" s="139" t="s">
        <v>1923</v>
      </c>
      <c r="L1474" s="129">
        <v>40967</v>
      </c>
      <c r="M1474" s="114">
        <f>IF(Main[[#This Row],[Tech Start Date]]&lt;1/1/1990,"",IF(Main[[#This Row],[Class]]="C",WORKDAY(Main[[#This Row],[Tech Start Date]],9),IF(Main[[#This Row],[Class]]="B", WORKDAY(Main[[#This Row],[Tech Start Date]],6),IF(Main[[#This Row],[Class]]="A",WORKDAY(Main[[#This Row],[Tech Start Date]],2),""))))</f>
        <v>40969</v>
      </c>
      <c r="N1474" s="114">
        <f>IF(Main[[#This Row],[Tech Start Date]]&lt;1/1/1990,"",IF(Main[[#This Row],[Class]]="C",WORKDAY(Main[[#This Row],[Tech Start Date]],19),IF(Main[[#This Row],[Class]]="B", WORKDAY(Main[[#This Row],[Tech Start Date]],12),IF(Main[[#This Row],[Class]]="A",WORKDAY(Main[[#This Row],[Tech Start Date]],4),""))))</f>
        <v>40973</v>
      </c>
      <c r="O1474" s="114">
        <f>IF(Main[[#This Row],[Tech Start Date]]&lt;1/1/1990,"",IF(Main[[#This Row],[Class]]="C",WORKDAY(Main[[#This Row],[Tech Start Date]],23),IF(Main[[#This Row],[Class]]="B", WORKDAY(Main[[#This Row],[Tech Start Date]],15),IF(Main[[#This Row],[Class]]="A",WORKDAY(Main[[#This Row],[Tech Start Date]],5),""))))</f>
        <v>40974</v>
      </c>
      <c r="P1474" s="114">
        <f>IF(Main[[#This Row],[Tech Start Date]]&lt;1/1/1990,"",IF(Main[[#This Row],[Class]]="C",WORKDAY(Main[[#This Row],[Tech Start Date]],28),IF(Main[[#This Row],[Class]]="B", WORKDAY(Main[[#This Row],[Tech Start Date]],19),IF(Main[[#This Row],[Class]]="A",WORKDAY(Main[[#This Row],[Tech Start Date]],9),""))))</f>
        <v>40980</v>
      </c>
      <c r="Q1474" s="129"/>
      <c r="R1474" s="129">
        <v>40974</v>
      </c>
      <c r="S1474" s="139" t="s">
        <v>11</v>
      </c>
      <c r="T1474" s="115" t="s">
        <v>3233</v>
      </c>
      <c r="U1474" s="139" t="s">
        <v>29</v>
      </c>
      <c r="V1474" s="139" t="s">
        <v>1924</v>
      </c>
      <c r="W1474" s="139" t="s">
        <v>1922</v>
      </c>
      <c r="X1474" s="139" t="s">
        <v>50</v>
      </c>
      <c r="Y1474" s="112" t="s">
        <v>3610</v>
      </c>
      <c r="Z1474" s="112" t="s">
        <v>530</v>
      </c>
      <c r="AA1474" s="139" t="s">
        <v>3449</v>
      </c>
    </row>
    <row r="1475" spans="1:27" ht="17.25" customHeight="1">
      <c r="A1475" s="69" t="str">
        <f>IF(priority(Main[[#This Row],[Comments]])&lt;&gt;0, priority(Main[[#This Row],[Comments]]),"")</f>
        <v/>
      </c>
      <c r="B1475" s="63" t="s">
        <v>3350</v>
      </c>
      <c r="C1475" s="148" t="s">
        <v>148</v>
      </c>
      <c r="D1475" s="113" t="s">
        <v>3929</v>
      </c>
      <c r="E1475" s="129">
        <v>40967.72111111111</v>
      </c>
      <c r="F1475" s="129">
        <v>41045</v>
      </c>
      <c r="G1475" s="69" t="str">
        <f>IF(stdProdLT(Main[[#This Row],[Comments]])=0.1,"N/A",IF(stdProdLT(Main[[#This Row],[Comments]])=0,"",stdProdLT(Main[[#This Row],[Comments]])))</f>
        <v>N/A</v>
      </c>
      <c r="H1475" s="138">
        <f>IF(Main[[#This Row],[In Stock Date]]="N/A", "N/A",IF(AND(Main[[#This Row],[In Stock Date]]&lt;&gt;"",Main[[#This Row],[Revised Due Date]]&lt;&gt;"",Main[[#This Row],[In Stock Date]]&lt;&gt;""),Main[[#This Row],[In Stock Date]]-Main[[#This Row],[Revised Due Date]],""))</f>
        <v>71</v>
      </c>
      <c r="I1475" s="139" t="s">
        <v>3981</v>
      </c>
      <c r="J1475" s="139" t="s">
        <v>28</v>
      </c>
      <c r="K1475" s="139" t="s">
        <v>1923</v>
      </c>
      <c r="L1475" s="129">
        <v>40967</v>
      </c>
      <c r="M1475" s="114">
        <f>IF(Main[[#This Row],[Tech Start Date]]&lt;1/1/1990,"",IF(Main[[#This Row],[Class]]="C",WORKDAY(Main[[#This Row],[Tech Start Date]],9),IF(Main[[#This Row],[Class]]="B", WORKDAY(Main[[#This Row],[Tech Start Date]],6),IF(Main[[#This Row],[Class]]="A",WORKDAY(Main[[#This Row],[Tech Start Date]],2),""))))</f>
        <v>40969</v>
      </c>
      <c r="N1475" s="114">
        <f>IF(Main[[#This Row],[Tech Start Date]]&lt;1/1/1990,"",IF(Main[[#This Row],[Class]]="C",WORKDAY(Main[[#This Row],[Tech Start Date]],19),IF(Main[[#This Row],[Class]]="B", WORKDAY(Main[[#This Row],[Tech Start Date]],12),IF(Main[[#This Row],[Class]]="A",WORKDAY(Main[[#This Row],[Tech Start Date]],4),""))))</f>
        <v>40973</v>
      </c>
      <c r="O1475" s="114">
        <f>IF(Main[[#This Row],[Tech Start Date]]&lt;1/1/1990,"",IF(Main[[#This Row],[Class]]="C",WORKDAY(Main[[#This Row],[Tech Start Date]],23),IF(Main[[#This Row],[Class]]="B", WORKDAY(Main[[#This Row],[Tech Start Date]],15),IF(Main[[#This Row],[Class]]="A",WORKDAY(Main[[#This Row],[Tech Start Date]],5),""))))</f>
        <v>40974</v>
      </c>
      <c r="P1475" s="114">
        <f>IF(Main[[#This Row],[Tech Start Date]]&lt;1/1/1990,"",IF(Main[[#This Row],[Class]]="C",WORKDAY(Main[[#This Row],[Tech Start Date]],28),IF(Main[[#This Row],[Class]]="B", WORKDAY(Main[[#This Row],[Tech Start Date]],19),IF(Main[[#This Row],[Class]]="A",WORKDAY(Main[[#This Row],[Tech Start Date]],9),""))))</f>
        <v>40980</v>
      </c>
      <c r="Q1475" s="129">
        <v>40939</v>
      </c>
      <c r="R1475" s="129">
        <v>40974</v>
      </c>
      <c r="S1475" s="139" t="s">
        <v>11</v>
      </c>
      <c r="T1475" s="115" t="s">
        <v>3930</v>
      </c>
      <c r="U1475" s="139" t="s">
        <v>29</v>
      </c>
      <c r="V1475" s="139" t="s">
        <v>1924</v>
      </c>
      <c r="W1475" s="139" t="s">
        <v>1922</v>
      </c>
      <c r="X1475" s="139" t="s">
        <v>3351</v>
      </c>
      <c r="Y1475" s="112" t="s">
        <v>3352</v>
      </c>
      <c r="Z1475" s="112" t="s">
        <v>530</v>
      </c>
      <c r="AA1475" s="139" t="s">
        <v>3351</v>
      </c>
    </row>
    <row r="1476" spans="1:27" ht="17.25" customHeight="1">
      <c r="A1476" s="69" t="str">
        <f>IF(priority(Main[[#This Row],[Comments]])&lt;&gt;0, priority(Main[[#This Row],[Comments]]),"")</f>
        <v/>
      </c>
      <c r="B1476" s="63" t="s">
        <v>3501</v>
      </c>
      <c r="C1476" s="148" t="s">
        <v>79</v>
      </c>
      <c r="D1476" s="113" t="s">
        <v>3502</v>
      </c>
      <c r="E1476" s="129">
        <v>40967.732847222222</v>
      </c>
      <c r="F1476" s="129">
        <v>40967</v>
      </c>
      <c r="G1476" s="69" t="str">
        <f>IF(stdProdLT(Main[[#This Row],[Comments]])=0.1,"N/A",IF(stdProdLT(Main[[#This Row],[Comments]])=0,"",stdProdLT(Main[[#This Row],[Comments]])))</f>
        <v>N/A</v>
      </c>
      <c r="H1476" s="138">
        <f>IF(Main[[#This Row],[In Stock Date]]="N/A", "N/A",IF(AND(Main[[#This Row],[In Stock Date]]&lt;&gt;"",Main[[#This Row],[Revised Due Date]]&lt;&gt;"",Main[[#This Row],[In Stock Date]]&lt;&gt;""),Main[[#This Row],[In Stock Date]]-Main[[#This Row],[Revised Due Date]],""))</f>
        <v>-7</v>
      </c>
      <c r="I1476" s="139" t="s">
        <v>3981</v>
      </c>
      <c r="J1476" s="139" t="s">
        <v>28</v>
      </c>
      <c r="K1476" s="139" t="s">
        <v>1923</v>
      </c>
      <c r="L1476" s="129">
        <v>40967</v>
      </c>
      <c r="M1476" s="114">
        <f>IF(Main[[#This Row],[Tech Start Date]]&lt;1/1/1990,"",IF(Main[[#This Row],[Class]]="C",WORKDAY(Main[[#This Row],[Tech Start Date]],9),IF(Main[[#This Row],[Class]]="B", WORKDAY(Main[[#This Row],[Tech Start Date]],6),IF(Main[[#This Row],[Class]]="A",WORKDAY(Main[[#This Row],[Tech Start Date]],2),""))))</f>
        <v>40969</v>
      </c>
      <c r="N1476" s="114">
        <f>IF(Main[[#This Row],[Tech Start Date]]&lt;1/1/1990,"",IF(Main[[#This Row],[Class]]="C",WORKDAY(Main[[#This Row],[Tech Start Date]],19),IF(Main[[#This Row],[Class]]="B", WORKDAY(Main[[#This Row],[Tech Start Date]],12),IF(Main[[#This Row],[Class]]="A",WORKDAY(Main[[#This Row],[Tech Start Date]],4),""))))</f>
        <v>40973</v>
      </c>
      <c r="O1476" s="114">
        <f>IF(Main[[#This Row],[Tech Start Date]]&lt;1/1/1990,"",IF(Main[[#This Row],[Class]]="C",WORKDAY(Main[[#This Row],[Tech Start Date]],23),IF(Main[[#This Row],[Class]]="B", WORKDAY(Main[[#This Row],[Tech Start Date]],15),IF(Main[[#This Row],[Class]]="A",WORKDAY(Main[[#This Row],[Tech Start Date]],5),""))))</f>
        <v>40974</v>
      </c>
      <c r="P1476" s="114">
        <f>IF(Main[[#This Row],[Tech Start Date]]&lt;1/1/1990,"",IF(Main[[#This Row],[Class]]="C",WORKDAY(Main[[#This Row],[Tech Start Date]],28),IF(Main[[#This Row],[Class]]="B", WORKDAY(Main[[#This Row],[Tech Start Date]],19),IF(Main[[#This Row],[Class]]="A",WORKDAY(Main[[#This Row],[Tech Start Date]],9),""))))</f>
        <v>40980</v>
      </c>
      <c r="Q1476" s="129">
        <v>40949</v>
      </c>
      <c r="R1476" s="129">
        <v>40974</v>
      </c>
      <c r="S1476" s="139" t="s">
        <v>11</v>
      </c>
      <c r="T1476" s="115" t="s">
        <v>3904</v>
      </c>
      <c r="U1476" s="139" t="s">
        <v>29</v>
      </c>
      <c r="V1476" s="139" t="s">
        <v>1924</v>
      </c>
      <c r="W1476" s="139" t="s">
        <v>1919</v>
      </c>
      <c r="X1476" s="139" t="s">
        <v>3503</v>
      </c>
      <c r="Y1476" s="112" t="s">
        <v>3504</v>
      </c>
      <c r="Z1476" s="112" t="s">
        <v>530</v>
      </c>
      <c r="AA1476" s="139" t="s">
        <v>3503</v>
      </c>
    </row>
    <row r="1477" spans="1:27" ht="17.25" customHeight="1">
      <c r="A1477" s="69" t="str">
        <f>IF(priority(Main[[#This Row],[Comments]])&lt;&gt;0, priority(Main[[#This Row],[Comments]]),"")</f>
        <v/>
      </c>
      <c r="B1477" s="63" t="s">
        <v>3931</v>
      </c>
      <c r="C1477" s="148" t="s">
        <v>2749</v>
      </c>
      <c r="D1477" s="113" t="s">
        <v>3932</v>
      </c>
      <c r="E1477" s="129">
        <v>40962.642118055555</v>
      </c>
      <c r="F1477" s="129">
        <v>41090</v>
      </c>
      <c r="G1477" s="69">
        <f>IF(stdProdLT(Main[[#This Row],[Comments]])=0.1,"N/A",IF(stdProdLT(Main[[#This Row],[Comments]])=0,"",stdProdLT(Main[[#This Row],[Comments]])))</f>
        <v>98</v>
      </c>
      <c r="H1477" s="138">
        <f>IF(Main[[#This Row],[In Stock Date]]="N/A", "N/A",IF(AND(Main[[#This Row],[In Stock Date]]&lt;&gt;"",Main[[#This Row],[Revised Due Date]]&lt;&gt;"",Main[[#This Row],[In Stock Date]]&lt;&gt;""),Main[[#This Row],[In Stock Date]]-Main[[#This Row],[Revised Due Date]],""))</f>
        <v>94</v>
      </c>
      <c r="I1477" s="139" t="s">
        <v>2044</v>
      </c>
      <c r="J1477" s="139" t="s">
        <v>28</v>
      </c>
      <c r="K1477" s="139" t="s">
        <v>1921</v>
      </c>
      <c r="L1477" s="129">
        <v>40967</v>
      </c>
      <c r="M1477" s="114">
        <f>IF(Main[[#This Row],[Tech Start Date]]&lt;1/1/1990,"",IF(Main[[#This Row],[Class]]="C",WORKDAY(Main[[#This Row],[Tech Start Date]],9),IF(Main[[#This Row],[Class]]="B", WORKDAY(Main[[#This Row],[Tech Start Date]],6),IF(Main[[#This Row],[Class]]="A",WORKDAY(Main[[#This Row],[Tech Start Date]],2),""))))</f>
        <v>40975</v>
      </c>
      <c r="N1477" s="114">
        <f>IF(Main[[#This Row],[Tech Start Date]]&lt;1/1/1990,"",IF(Main[[#This Row],[Class]]="C",WORKDAY(Main[[#This Row],[Tech Start Date]],19),IF(Main[[#This Row],[Class]]="B", WORKDAY(Main[[#This Row],[Tech Start Date]],12),IF(Main[[#This Row],[Class]]="A",WORKDAY(Main[[#This Row],[Tech Start Date]],4),""))))</f>
        <v>40983</v>
      </c>
      <c r="O1477" s="114">
        <f>IF(Main[[#This Row],[Tech Start Date]]&lt;1/1/1990,"",IF(Main[[#This Row],[Class]]="C",WORKDAY(Main[[#This Row],[Tech Start Date]],23),IF(Main[[#This Row],[Class]]="B", WORKDAY(Main[[#This Row],[Tech Start Date]],15),IF(Main[[#This Row],[Class]]="A",WORKDAY(Main[[#This Row],[Tech Start Date]],5),""))))</f>
        <v>40988</v>
      </c>
      <c r="P1477" s="114">
        <f>IF(Main[[#This Row],[Tech Start Date]]&lt;1/1/1990,"",IF(Main[[#This Row],[Class]]="C",WORKDAY(Main[[#This Row],[Tech Start Date]],28),IF(Main[[#This Row],[Class]]="B", WORKDAY(Main[[#This Row],[Tech Start Date]],19),IF(Main[[#This Row],[Class]]="A",WORKDAY(Main[[#This Row],[Tech Start Date]],9),""))))</f>
        <v>40994</v>
      </c>
      <c r="Q1477" s="129"/>
      <c r="R1477" s="129">
        <v>40996</v>
      </c>
      <c r="S1477" s="139" t="s">
        <v>11</v>
      </c>
      <c r="T1477" s="115" t="s">
        <v>3933</v>
      </c>
      <c r="U1477" s="139" t="s">
        <v>29</v>
      </c>
      <c r="V1477" s="139" t="s">
        <v>1917</v>
      </c>
      <c r="W1477" s="139" t="s">
        <v>1919</v>
      </c>
      <c r="X1477" s="139" t="s">
        <v>652</v>
      </c>
      <c r="Y1477" s="112" t="s">
        <v>3126</v>
      </c>
      <c r="Z1477" s="112" t="s">
        <v>530</v>
      </c>
      <c r="AA1477" s="139" t="s">
        <v>652</v>
      </c>
    </row>
    <row r="1478" spans="1:27" ht="17.25" customHeight="1">
      <c r="A1478" s="98" t="str">
        <f>IF(priority(Main[[#This Row],[Comments]])&lt;&gt;0, priority(Main[[#This Row],[Comments]]),"")</f>
        <v/>
      </c>
      <c r="B1478" s="63" t="s">
        <v>3921</v>
      </c>
      <c r="C1478" s="149" t="s">
        <v>3918</v>
      </c>
      <c r="D1478" s="121" t="s">
        <v>3922</v>
      </c>
      <c r="E1478" s="131">
        <v>40961.047662037039</v>
      </c>
      <c r="F1478" s="131">
        <v>41091</v>
      </c>
      <c r="G1478" s="98" t="str">
        <f>IF(stdProdLT(Main[[#This Row],[Comments]])=0.1,"N/A",IF(stdProdLT(Main[[#This Row],[Comments]])=0,"",stdProdLT(Main[[#This Row],[Comments]])))</f>
        <v/>
      </c>
      <c r="H1478" s="142">
        <f>IF(Main[[#This Row],[In Stock Date]]="N/A", "N/A",IF(AND(Main[[#This Row],[In Stock Date]]&lt;&gt;"",Main[[#This Row],[Revised Due Date]]&lt;&gt;"",Main[[#This Row],[In Stock Date]]&lt;&gt;""),Main[[#This Row],[In Stock Date]]-Main[[#This Row],[Revised Due Date]],""))</f>
        <v>103</v>
      </c>
      <c r="I1478" s="143" t="s">
        <v>44</v>
      </c>
      <c r="J1478" s="143" t="s">
        <v>28</v>
      </c>
      <c r="K1478" s="143" t="s">
        <v>1923</v>
      </c>
      <c r="L1478" s="131">
        <v>40967</v>
      </c>
      <c r="M1478" s="122">
        <f>IF(Main[[#This Row],[Tech Start Date]]&lt;1/1/1990,"",IF(Main[[#This Row],[Class]]="C",WORKDAY(Main[[#This Row],[Tech Start Date]],9),IF(Main[[#This Row],[Class]]="B", WORKDAY(Main[[#This Row],[Tech Start Date]],6),IF(Main[[#This Row],[Class]]="A",WORKDAY(Main[[#This Row],[Tech Start Date]],2),""))))</f>
        <v>40969</v>
      </c>
      <c r="N1478" s="122">
        <f>IF(Main[[#This Row],[Tech Start Date]]&lt;1/1/1990,"",IF(Main[[#This Row],[Class]]="C",WORKDAY(Main[[#This Row],[Tech Start Date]],19),IF(Main[[#This Row],[Class]]="B", WORKDAY(Main[[#This Row],[Tech Start Date]],12),IF(Main[[#This Row],[Class]]="A",WORKDAY(Main[[#This Row],[Tech Start Date]],4),""))))</f>
        <v>40973</v>
      </c>
      <c r="O1478" s="122">
        <f>IF(Main[[#This Row],[Tech Start Date]]&lt;1/1/1990,"",IF(Main[[#This Row],[Class]]="C",WORKDAY(Main[[#This Row],[Tech Start Date]],23),IF(Main[[#This Row],[Class]]="B", WORKDAY(Main[[#This Row],[Tech Start Date]],15),IF(Main[[#This Row],[Class]]="A",WORKDAY(Main[[#This Row],[Tech Start Date]],5),""))))</f>
        <v>40974</v>
      </c>
      <c r="P1478" s="122">
        <f>IF(Main[[#This Row],[Tech Start Date]]&lt;1/1/1990,"",IF(Main[[#This Row],[Class]]="C",WORKDAY(Main[[#This Row],[Tech Start Date]],28),IF(Main[[#This Row],[Class]]="B", WORKDAY(Main[[#This Row],[Tech Start Date]],19),IF(Main[[#This Row],[Class]]="A",WORKDAY(Main[[#This Row],[Tech Start Date]],9),""))))</f>
        <v>40980</v>
      </c>
      <c r="Q1478" s="131">
        <v>40969</v>
      </c>
      <c r="R1478" s="131">
        <v>40988</v>
      </c>
      <c r="S1478" s="143" t="s">
        <v>11</v>
      </c>
      <c r="T1478" s="123" t="s">
        <v>3923</v>
      </c>
      <c r="U1478" s="143" t="s">
        <v>29</v>
      </c>
      <c r="V1478" s="143" t="s">
        <v>1924</v>
      </c>
      <c r="W1478" s="143" t="s">
        <v>1920</v>
      </c>
      <c r="X1478" s="143" t="s">
        <v>2845</v>
      </c>
      <c r="Y1478" s="120" t="s">
        <v>3902</v>
      </c>
      <c r="Z1478" s="120" t="s">
        <v>530</v>
      </c>
      <c r="AA1478" s="143" t="s">
        <v>2845</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78">
    <cfRule type="expression" dxfId="9" priority="21">
      <formula>atat($T6)=1</formula>
    </cfRule>
  </conditionalFormatting>
  <conditionalFormatting sqref="M6:P1478">
    <cfRule type="colorScale" priority="15">
      <colorScale>
        <cfvo type="num" val="TODAY()"/>
        <cfvo type="num" val="TODAY()+2"/>
        <cfvo type="num" val="TODAY()+4"/>
        <color rgb="FFD36767"/>
        <color rgb="FFFFFFD1"/>
        <color rgb="FFC0E391"/>
      </colorScale>
    </cfRule>
  </conditionalFormatting>
  <conditionalFormatting sqref="C6:R1048576">
    <cfRule type="expression" dxfId="8" priority="1453">
      <formula>OR($J6="Document Control", $J6="Quality")</formula>
    </cfRule>
  </conditionalFormatting>
  <conditionalFormatting sqref="C6:U1048576">
    <cfRule type="expression" dxfId="7" priority="1638">
      <formula>OR($U6="Design Hold", $U6="Define Requirements")</formula>
    </cfRule>
  </conditionalFormatting>
  <printOptions horizontalCentered="1"/>
  <pageMargins left="0.25" right="0.05" top="0.82" bottom="0.3" header="0.12" footer="0.1"/>
  <pageSetup scale="85"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190500</xdr:colOff>
                <xdr:row>2</xdr:row>
                <xdr:rowOff>571500</xdr:rowOff>
              </from>
              <to>
                <xdr:col>3</xdr:col>
                <xdr:colOff>2381250</xdr:colOff>
                <xdr:row>3</xdr:row>
                <xdr:rowOff>38100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190500</xdr:colOff>
                <xdr:row>2</xdr:row>
                <xdr:rowOff>180975</xdr:rowOff>
              </from>
              <to>
                <xdr:col>3</xdr:col>
                <xdr:colOff>2381250</xdr:colOff>
                <xdr:row>2</xdr:row>
                <xdr:rowOff>523875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190500</xdr:colOff>
                <xdr:row>1</xdr:row>
                <xdr:rowOff>619125</xdr:rowOff>
              </from>
              <to>
                <xdr:col>3</xdr:col>
                <xdr:colOff>2381250</xdr:colOff>
                <xdr:row>2</xdr:row>
                <xdr:rowOff>142875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190500</xdr:colOff>
                <xdr:row>1</xdr:row>
                <xdr:rowOff>238125</xdr:rowOff>
              </from>
              <to>
                <xdr:col>3</xdr:col>
                <xdr:colOff>2381250</xdr:colOff>
                <xdr:row>1</xdr:row>
                <xdr:rowOff>581025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289" r:id="rId16">
            <anchor moveWithCells="1">
              <from>
                <xdr:col>2</xdr:col>
                <xdr:colOff>285750</xdr:colOff>
                <xdr:row>2</xdr:row>
                <xdr:rowOff>762000</xdr:rowOff>
              </from>
              <to>
                <xdr:col>2</xdr:col>
                <xdr:colOff>1123950</xdr:colOff>
                <xdr:row>3</xdr:row>
                <xdr:rowOff>161925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1162050</xdr:colOff>
                <xdr:row>2</xdr:row>
                <xdr:rowOff>733425</xdr:rowOff>
              </from>
              <to>
                <xdr:col>2</xdr:col>
                <xdr:colOff>1543050</xdr:colOff>
                <xdr:row>3</xdr:row>
                <xdr:rowOff>171450</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76200</xdr:colOff>
                <xdr:row>1</xdr:row>
                <xdr:rowOff>266700</xdr:rowOff>
              </from>
              <to>
                <xdr:col>2</xdr:col>
                <xdr:colOff>1790700</xdr:colOff>
                <xdr:row>1</xdr:row>
                <xdr:rowOff>657225</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76200</xdr:colOff>
                <xdr:row>1</xdr:row>
                <xdr:rowOff>695325</xdr:rowOff>
              </from>
              <to>
                <xdr:col>2</xdr:col>
                <xdr:colOff>1790700</xdr:colOff>
                <xdr:row>2</xdr:row>
                <xdr:rowOff>266700</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76200</xdr:colOff>
                <xdr:row>2</xdr:row>
                <xdr:rowOff>304800</xdr:rowOff>
              </from>
              <to>
                <xdr:col>2</xdr:col>
                <xdr:colOff>1790700</xdr:colOff>
                <xdr:row>2</xdr:row>
                <xdr:rowOff>695325</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114300</xdr:colOff>
                <xdr:row>1</xdr:row>
                <xdr:rowOff>476250</xdr:rowOff>
              </from>
              <to>
                <xdr:col>1</xdr:col>
                <xdr:colOff>619125</xdr:colOff>
                <xdr:row>2</xdr:row>
                <xdr:rowOff>161925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114300</xdr:colOff>
                <xdr:row>1</xdr:row>
                <xdr:rowOff>85725</xdr:rowOff>
              </from>
              <to>
                <xdr:col>1</xdr:col>
                <xdr:colOff>619125</xdr:colOff>
                <xdr:row>1</xdr:row>
                <xdr:rowOff>419100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moveWithCells="1">
              <from>
                <xdr:col>0</xdr:col>
                <xdr:colOff>66675</xdr:colOff>
                <xdr:row>2</xdr:row>
                <xdr:rowOff>247650</xdr:rowOff>
              </from>
              <to>
                <xdr:col>1</xdr:col>
                <xdr:colOff>676275</xdr:colOff>
                <xdr:row>2</xdr:row>
                <xdr:rowOff>638175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moveWithCells="1">
              <from>
                <xdr:col>0</xdr:col>
                <xdr:colOff>66675</xdr:colOff>
                <xdr:row>2</xdr:row>
                <xdr:rowOff>676275</xdr:rowOff>
              </from>
              <to>
                <xdr:col>1</xdr:col>
                <xdr:colOff>676275</xdr:colOff>
                <xdr:row>3</xdr:row>
                <xdr:rowOff>171450</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361950</xdr:colOff>
                <xdr:row>1</xdr:row>
                <xdr:rowOff>9525</xdr:rowOff>
              </from>
              <to>
                <xdr:col>2</xdr:col>
                <xdr:colOff>1543050</xdr:colOff>
                <xdr:row>1</xdr:row>
                <xdr:rowOff>257175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2428875</xdr:colOff>
                <xdr:row>1</xdr:row>
                <xdr:rowOff>247650</xdr:rowOff>
              </from>
              <to>
                <xdr:col>3</xdr:col>
                <xdr:colOff>2743200</xdr:colOff>
                <xdr:row>1</xdr:row>
                <xdr:rowOff>571500</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2428875</xdr:colOff>
                <xdr:row>1</xdr:row>
                <xdr:rowOff>628650</xdr:rowOff>
              </from>
              <to>
                <xdr:col>3</xdr:col>
                <xdr:colOff>2743200</xdr:colOff>
                <xdr:row>2</xdr:row>
                <xdr:rowOff>133350</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2428875</xdr:colOff>
                <xdr:row>2</xdr:row>
                <xdr:rowOff>190500</xdr:rowOff>
              </from>
              <to>
                <xdr:col>3</xdr:col>
                <xdr:colOff>2743200</xdr:colOff>
                <xdr:row>2</xdr:row>
                <xdr:rowOff>514350</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2428875</xdr:colOff>
                <xdr:row>2</xdr:row>
                <xdr:rowOff>581025</xdr:rowOff>
              </from>
              <to>
                <xdr:col>3</xdr:col>
                <xdr:colOff>2743200</xdr:colOff>
                <xdr:row>3</xdr:row>
                <xdr:rowOff>28575</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976"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R6:R1478</xm:sqref>
        </x14:conditionalFormatting>
        <x14:conditionalFormatting xmlns:xm="http://schemas.microsoft.com/office/excel/2006/main">
          <x14:cfRule type="iconSet" priority="1978"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Q6:Q1478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Q10" sqref="Q10:R10"/>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83" t="s">
        <v>998</v>
      </c>
      <c r="C2" s="84"/>
      <c r="D2" s="84"/>
      <c r="E2" s="84"/>
      <c r="F2" s="84"/>
      <c r="G2" s="84"/>
      <c r="H2" s="84"/>
      <c r="I2" s="84"/>
      <c r="J2" s="84"/>
      <c r="K2" s="84"/>
      <c r="L2" s="84"/>
      <c r="M2" s="85"/>
      <c r="O2" s="89" t="s">
        <v>3575</v>
      </c>
      <c r="P2" s="90"/>
      <c r="Q2" s="89" t="s">
        <v>1944</v>
      </c>
      <c r="R2" s="90"/>
    </row>
    <row r="3" spans="2:18" s="7" customFormat="1" ht="19.5" customHeight="1" thickTop="1">
      <c r="B3" s="86" t="s">
        <v>982</v>
      </c>
      <c r="C3" s="23" t="s">
        <v>986</v>
      </c>
      <c r="D3" s="17" t="s">
        <v>11</v>
      </c>
      <c r="E3" s="18"/>
      <c r="F3" s="18"/>
      <c r="G3" s="18"/>
      <c r="H3" s="18"/>
      <c r="I3" s="18"/>
      <c r="J3" s="18"/>
      <c r="K3" s="18"/>
      <c r="L3" s="18"/>
      <c r="M3" s="19"/>
      <c r="N3" s="9"/>
      <c r="O3" s="91" t="s">
        <v>3972</v>
      </c>
      <c r="P3" s="91"/>
      <c r="Q3" s="91" t="s">
        <v>2658</v>
      </c>
      <c r="R3" s="91"/>
    </row>
    <row r="4" spans="2:18" s="7" customFormat="1" ht="19.5" customHeight="1">
      <c r="B4" s="87"/>
      <c r="C4" s="24" t="s">
        <v>1936</v>
      </c>
      <c r="D4" s="29" t="s">
        <v>1914</v>
      </c>
      <c r="E4" s="30"/>
      <c r="F4" s="30"/>
      <c r="G4" s="30"/>
      <c r="H4" s="30"/>
      <c r="I4" s="30"/>
      <c r="J4" s="30"/>
      <c r="K4" s="30"/>
      <c r="L4" s="30"/>
      <c r="M4" s="31"/>
      <c r="N4" s="9"/>
      <c r="O4" s="92"/>
      <c r="P4" s="92"/>
      <c r="Q4" s="92"/>
      <c r="R4" s="92"/>
    </row>
    <row r="5" spans="2:18" s="8" customFormat="1" ht="19.5" customHeight="1">
      <c r="B5" s="87"/>
      <c r="C5" s="24" t="s">
        <v>987</v>
      </c>
      <c r="D5" s="20">
        <v>1</v>
      </c>
      <c r="E5" s="21">
        <v>2</v>
      </c>
      <c r="F5" s="21">
        <v>3</v>
      </c>
      <c r="G5" s="21">
        <v>4</v>
      </c>
      <c r="H5" s="21">
        <v>5</v>
      </c>
      <c r="I5" s="21">
        <v>6</v>
      </c>
      <c r="J5" s="21">
        <v>7</v>
      </c>
      <c r="K5" s="21">
        <v>0</v>
      </c>
      <c r="L5" s="21">
        <v>0</v>
      </c>
      <c r="M5" s="22">
        <v>0</v>
      </c>
      <c r="N5" s="9"/>
      <c r="O5" s="92"/>
      <c r="P5" s="92"/>
      <c r="Q5" s="92"/>
      <c r="R5" s="92"/>
    </row>
    <row r="6" spans="2:18" ht="19.5" customHeight="1">
      <c r="B6" s="87"/>
      <c r="C6" s="24" t="s">
        <v>988</v>
      </c>
      <c r="D6" s="20" t="s">
        <v>7</v>
      </c>
      <c r="E6" s="21" t="s">
        <v>29</v>
      </c>
      <c r="F6" s="21" t="s">
        <v>534</v>
      </c>
      <c r="G6" s="21" t="s">
        <v>694</v>
      </c>
      <c r="H6" s="21"/>
      <c r="I6" s="21"/>
      <c r="J6" s="21"/>
      <c r="K6" s="21"/>
      <c r="L6" s="21"/>
      <c r="M6" s="22"/>
      <c r="O6" s="92"/>
      <c r="P6" s="92"/>
      <c r="Q6" s="92"/>
      <c r="R6" s="92"/>
    </row>
    <row r="7" spans="2:18" ht="19.5" customHeight="1" thickBot="1">
      <c r="B7" s="87"/>
      <c r="C7" s="24" t="s">
        <v>3163</v>
      </c>
      <c r="D7" s="27" t="s">
        <v>7</v>
      </c>
      <c r="E7" s="27" t="s">
        <v>29</v>
      </c>
      <c r="F7" s="27" t="s">
        <v>534</v>
      </c>
      <c r="G7" s="27" t="s">
        <v>694</v>
      </c>
      <c r="H7" s="27"/>
      <c r="I7" s="27"/>
      <c r="J7" s="27"/>
      <c r="K7" s="27"/>
      <c r="L7" s="27"/>
      <c r="M7" s="27"/>
      <c r="O7" s="92"/>
      <c r="P7" s="92"/>
      <c r="Q7" s="92"/>
      <c r="R7" s="92"/>
    </row>
    <row r="8" spans="2:18" ht="19.5" customHeight="1" thickTop="1" thickBot="1">
      <c r="B8" s="88"/>
      <c r="C8" s="25" t="s">
        <v>3164</v>
      </c>
      <c r="D8" s="28" t="s">
        <v>3214</v>
      </c>
      <c r="E8" s="28"/>
      <c r="F8" s="28"/>
      <c r="G8" s="28"/>
      <c r="H8" s="28"/>
      <c r="I8" s="28"/>
      <c r="J8" s="28"/>
      <c r="K8" s="28"/>
      <c r="L8" s="28"/>
      <c r="M8" s="28"/>
      <c r="O8" s="94" t="s">
        <v>2155</v>
      </c>
      <c r="P8" s="94"/>
      <c r="Q8" s="94" t="s">
        <v>3180</v>
      </c>
      <c r="R8" s="94"/>
    </row>
    <row r="9" spans="2:18" ht="19.5" customHeight="1" thickTop="1" thickBot="1">
      <c r="B9" s="86" t="s">
        <v>983</v>
      </c>
      <c r="C9" s="23" t="s">
        <v>989</v>
      </c>
      <c r="D9" s="17" t="s">
        <v>11</v>
      </c>
      <c r="E9" s="18"/>
      <c r="F9" s="18"/>
      <c r="G9" s="18"/>
      <c r="H9" s="18"/>
      <c r="I9" s="18"/>
      <c r="J9" s="18"/>
      <c r="K9" s="18"/>
      <c r="L9" s="18"/>
      <c r="M9" s="19"/>
      <c r="O9" s="93">
        <v>0</v>
      </c>
      <c r="P9" s="93"/>
      <c r="Q9" s="93" t="b">
        <v>1</v>
      </c>
      <c r="R9" s="93"/>
    </row>
    <row r="10" spans="2:18" s="7" customFormat="1" ht="19.5" customHeight="1" thickTop="1" thickBot="1">
      <c r="B10" s="87"/>
      <c r="C10" s="24" t="s">
        <v>1939</v>
      </c>
      <c r="D10" s="29" t="s">
        <v>1917</v>
      </c>
      <c r="E10" s="30" t="s">
        <v>1924</v>
      </c>
      <c r="F10" s="30"/>
      <c r="G10" s="30"/>
      <c r="H10" s="30"/>
      <c r="I10" s="30"/>
      <c r="J10" s="30"/>
      <c r="K10" s="30"/>
      <c r="L10" s="30"/>
      <c r="M10" s="31"/>
      <c r="N10" s="9"/>
      <c r="O10" s="94" t="s">
        <v>2264</v>
      </c>
      <c r="P10" s="94"/>
      <c r="Q10" s="94" t="s">
        <v>2265</v>
      </c>
      <c r="R10" s="94"/>
    </row>
    <row r="11" spans="2:18" ht="19.5" customHeight="1" thickTop="1" thickBot="1">
      <c r="B11" s="87"/>
      <c r="C11" s="24" t="s">
        <v>990</v>
      </c>
      <c r="D11" s="20">
        <v>1</v>
      </c>
      <c r="E11" s="21">
        <v>2</v>
      </c>
      <c r="F11" s="21">
        <v>3</v>
      </c>
      <c r="G11" s="21">
        <v>4</v>
      </c>
      <c r="H11" s="21">
        <v>5</v>
      </c>
      <c r="I11" s="21">
        <v>6</v>
      </c>
      <c r="J11" s="21">
        <v>7</v>
      </c>
      <c r="K11" s="21">
        <v>0</v>
      </c>
      <c r="L11" s="21">
        <v>0</v>
      </c>
      <c r="M11" s="22">
        <v>0</v>
      </c>
      <c r="O11" s="93" t="s">
        <v>1002</v>
      </c>
      <c r="P11" s="93"/>
      <c r="Q11" s="93" t="s">
        <v>1926</v>
      </c>
      <c r="R11" s="93"/>
    </row>
    <row r="12" spans="2:18" ht="19.5" customHeight="1" thickTop="1" thickBot="1">
      <c r="B12" s="87"/>
      <c r="C12" s="24" t="s">
        <v>991</v>
      </c>
      <c r="D12" s="20" t="s">
        <v>7</v>
      </c>
      <c r="E12" s="21" t="s">
        <v>29</v>
      </c>
      <c r="F12" s="21" t="s">
        <v>534</v>
      </c>
      <c r="G12" s="21" t="s">
        <v>694</v>
      </c>
      <c r="H12" s="21"/>
      <c r="I12" s="21"/>
      <c r="J12" s="21"/>
      <c r="K12" s="21"/>
      <c r="L12" s="21"/>
      <c r="M12" s="22"/>
      <c r="O12" s="94" t="s">
        <v>3162</v>
      </c>
      <c r="P12" s="94"/>
      <c r="Q12" s="94" t="s">
        <v>3576</v>
      </c>
      <c r="R12" s="94"/>
    </row>
    <row r="13" spans="2:18" ht="19.5" customHeight="1" thickTop="1" thickBot="1">
      <c r="B13" s="87"/>
      <c r="C13" s="24" t="s">
        <v>3165</v>
      </c>
      <c r="D13" s="27"/>
      <c r="E13" s="27"/>
      <c r="F13" s="27"/>
      <c r="G13" s="27"/>
      <c r="H13" s="27"/>
      <c r="I13" s="27"/>
      <c r="J13" s="27"/>
      <c r="K13" s="27"/>
      <c r="L13" s="27"/>
      <c r="M13" s="27"/>
      <c r="O13" s="93"/>
      <c r="P13" s="93"/>
      <c r="Q13" s="93" t="s">
        <v>3577</v>
      </c>
      <c r="R13" s="93"/>
    </row>
    <row r="14" spans="2:18" ht="19.5" customHeight="1" thickTop="1" thickBot="1">
      <c r="B14" s="88"/>
      <c r="C14" s="25" t="s">
        <v>3166</v>
      </c>
      <c r="D14" s="28"/>
      <c r="E14" s="28"/>
      <c r="F14" s="28"/>
      <c r="G14" s="28"/>
      <c r="H14" s="28"/>
      <c r="I14" s="28"/>
      <c r="J14" s="28"/>
      <c r="K14" s="28"/>
      <c r="L14" s="28"/>
      <c r="M14" s="28"/>
      <c r="O14" s="7"/>
      <c r="P14" s="7"/>
      <c r="Q14" s="7"/>
      <c r="R14" s="7"/>
    </row>
    <row r="15" spans="2:18" ht="19.5" customHeight="1" thickTop="1">
      <c r="B15" s="86" t="s">
        <v>984</v>
      </c>
      <c r="C15" s="23" t="s">
        <v>992</v>
      </c>
      <c r="D15" s="17" t="s">
        <v>11</v>
      </c>
      <c r="E15" s="18"/>
      <c r="F15" s="18"/>
      <c r="G15" s="18"/>
      <c r="H15" s="18"/>
      <c r="I15" s="18"/>
      <c r="J15" s="18"/>
      <c r="K15" s="18"/>
      <c r="L15" s="18"/>
      <c r="M15" s="19"/>
      <c r="O15" s="7"/>
      <c r="P15" s="7"/>
      <c r="Q15" s="7"/>
      <c r="R15" s="7"/>
    </row>
    <row r="16" spans="2:18" ht="19.5" customHeight="1">
      <c r="B16" s="87"/>
      <c r="C16" s="24" t="s">
        <v>1938</v>
      </c>
      <c r="D16" s="29" t="s">
        <v>1915</v>
      </c>
      <c r="E16" s="30"/>
      <c r="F16" s="30"/>
      <c r="G16" s="30"/>
      <c r="H16" s="30"/>
      <c r="I16" s="30"/>
      <c r="J16" s="30"/>
      <c r="K16" s="30"/>
      <c r="L16" s="30"/>
      <c r="M16" s="31"/>
      <c r="O16" s="7"/>
      <c r="P16" s="7"/>
      <c r="Q16" s="7"/>
      <c r="R16" s="7"/>
    </row>
    <row r="17" spans="1:24" ht="19.5" customHeight="1">
      <c r="B17" s="87"/>
      <c r="C17" s="24" t="s">
        <v>993</v>
      </c>
      <c r="D17" s="20">
        <v>1</v>
      </c>
      <c r="E17" s="21">
        <v>2</v>
      </c>
      <c r="F17" s="21">
        <v>3</v>
      </c>
      <c r="G17" s="21">
        <v>4</v>
      </c>
      <c r="H17" s="21">
        <v>5</v>
      </c>
      <c r="I17" s="21">
        <v>6</v>
      </c>
      <c r="J17" s="21">
        <v>7</v>
      </c>
      <c r="K17" s="21">
        <v>0</v>
      </c>
      <c r="L17" s="21">
        <v>0</v>
      </c>
      <c r="M17" s="22">
        <v>0</v>
      </c>
      <c r="O17" s="7"/>
      <c r="P17" s="7"/>
      <c r="Q17" s="7"/>
      <c r="R17" s="7"/>
    </row>
    <row r="18" spans="1:24" ht="19.5" customHeight="1">
      <c r="B18" s="87"/>
      <c r="C18" s="24" t="s">
        <v>994</v>
      </c>
      <c r="D18" s="20" t="s">
        <v>7</v>
      </c>
      <c r="E18" s="21" t="s">
        <v>29</v>
      </c>
      <c r="F18" s="21" t="s">
        <v>534</v>
      </c>
      <c r="G18" s="21" t="s">
        <v>694</v>
      </c>
      <c r="H18" s="21"/>
      <c r="I18" s="21"/>
      <c r="J18" s="21"/>
      <c r="K18" s="21"/>
      <c r="L18" s="21"/>
      <c r="M18" s="22"/>
    </row>
    <row r="19" spans="1:24" ht="19.5" customHeight="1">
      <c r="B19" s="87"/>
      <c r="C19" s="24" t="s">
        <v>3167</v>
      </c>
      <c r="D19" s="27" t="s">
        <v>7</v>
      </c>
      <c r="E19" s="27" t="s">
        <v>29</v>
      </c>
      <c r="F19" s="27" t="s">
        <v>534</v>
      </c>
      <c r="G19" s="27" t="s">
        <v>694</v>
      </c>
      <c r="H19" s="27"/>
      <c r="I19" s="27"/>
      <c r="J19" s="27"/>
      <c r="K19" s="27"/>
      <c r="L19" s="27"/>
      <c r="M19" s="27"/>
    </row>
    <row r="20" spans="1:24" ht="19.5" customHeight="1" thickBot="1">
      <c r="B20" s="88"/>
      <c r="C20" s="25" t="s">
        <v>3168</v>
      </c>
      <c r="D20" s="28"/>
      <c r="E20" s="28"/>
      <c r="F20" s="28"/>
      <c r="G20" s="28"/>
      <c r="H20" s="28"/>
      <c r="I20" s="28"/>
      <c r="J20" s="28"/>
      <c r="K20" s="28"/>
      <c r="L20" s="28"/>
      <c r="M20" s="28"/>
    </row>
    <row r="21" spans="1:24" ht="19.5" customHeight="1" thickTop="1">
      <c r="B21" s="86" t="s">
        <v>985</v>
      </c>
      <c r="C21" s="23" t="s">
        <v>995</v>
      </c>
      <c r="D21" s="17" t="s">
        <v>11</v>
      </c>
      <c r="E21" s="18"/>
      <c r="F21" s="18"/>
      <c r="G21" s="18"/>
      <c r="H21" s="18"/>
      <c r="I21" s="18"/>
      <c r="J21" s="18"/>
      <c r="K21" s="18"/>
      <c r="L21" s="18"/>
      <c r="M21" s="19"/>
    </row>
    <row r="22" spans="1:24" ht="19.5" customHeight="1">
      <c r="B22" s="87"/>
      <c r="C22" s="24" t="s">
        <v>1937</v>
      </c>
      <c r="D22" s="29" t="s">
        <v>1929</v>
      </c>
      <c r="E22" s="30"/>
      <c r="F22" s="30"/>
      <c r="G22" s="30"/>
      <c r="H22" s="30"/>
      <c r="I22" s="30"/>
      <c r="J22" s="30"/>
      <c r="K22" s="30"/>
      <c r="L22" s="30"/>
      <c r="M22" s="31"/>
    </row>
    <row r="23" spans="1:24" ht="19.5" customHeight="1">
      <c r="B23" s="87"/>
      <c r="C23" s="24" t="s">
        <v>996</v>
      </c>
      <c r="D23" s="20">
        <v>1</v>
      </c>
      <c r="E23" s="21">
        <v>2</v>
      </c>
      <c r="F23" s="21">
        <v>3</v>
      </c>
      <c r="G23" s="21">
        <v>4</v>
      </c>
      <c r="H23" s="21">
        <v>5</v>
      </c>
      <c r="I23" s="21">
        <v>6</v>
      </c>
      <c r="J23" s="21">
        <v>7</v>
      </c>
      <c r="K23" s="21">
        <v>0</v>
      </c>
      <c r="L23" s="21">
        <v>0</v>
      </c>
      <c r="M23" s="22">
        <v>0</v>
      </c>
    </row>
    <row r="24" spans="1:24" ht="19.5" customHeight="1">
      <c r="B24" s="87"/>
      <c r="C24" s="24" t="s">
        <v>997</v>
      </c>
      <c r="D24" s="20" t="s">
        <v>7</v>
      </c>
      <c r="E24" s="21" t="s">
        <v>29</v>
      </c>
      <c r="F24" s="21" t="s">
        <v>534</v>
      </c>
      <c r="G24" s="21" t="s">
        <v>694</v>
      </c>
      <c r="H24" s="21"/>
      <c r="I24" s="21"/>
      <c r="J24" s="21"/>
      <c r="K24" s="21"/>
      <c r="L24" s="21"/>
      <c r="M24" s="22"/>
    </row>
    <row r="25" spans="1:24" ht="19.5" customHeight="1">
      <c r="B25" s="87"/>
      <c r="C25" s="24" t="s">
        <v>3169</v>
      </c>
      <c r="D25" s="27"/>
      <c r="E25" s="27"/>
      <c r="F25" s="27"/>
      <c r="G25" s="27"/>
      <c r="H25" s="27"/>
      <c r="I25" s="27"/>
      <c r="J25" s="27"/>
      <c r="K25" s="27"/>
      <c r="L25" s="27"/>
      <c r="M25" s="27"/>
    </row>
    <row r="26" spans="1:24" ht="19.5" customHeight="1" thickBot="1">
      <c r="B26" s="88"/>
      <c r="C26" s="25" t="s">
        <v>3170</v>
      </c>
      <c r="D26" s="28"/>
      <c r="E26" s="28"/>
      <c r="F26" s="28"/>
      <c r="G26" s="28"/>
      <c r="H26" s="28"/>
      <c r="I26" s="28"/>
      <c r="J26" s="28"/>
      <c r="K26" s="28"/>
      <c r="L26" s="28"/>
      <c r="M26" s="28"/>
    </row>
    <row r="27" spans="1:24" ht="35.25" customHeight="1" thickTop="1" thickBot="1">
      <c r="C27" s="77" t="s">
        <v>976</v>
      </c>
      <c r="D27" s="78"/>
      <c r="E27" s="78"/>
      <c r="F27" s="79"/>
      <c r="G27" s="77" t="s">
        <v>981</v>
      </c>
      <c r="H27" s="78"/>
      <c r="I27" s="78"/>
      <c r="J27" s="78"/>
      <c r="K27" s="80" t="s">
        <v>1930</v>
      </c>
      <c r="L27" s="81"/>
      <c r="M27" s="81"/>
      <c r="N27" s="81"/>
      <c r="O27" s="82"/>
    </row>
    <row r="28" spans="1:24" s="11" customFormat="1" ht="21" thickTop="1">
      <c r="A28" s="10"/>
      <c r="B28" s="10"/>
      <c r="C28" s="13" t="s">
        <v>982</v>
      </c>
      <c r="D28" s="13" t="s">
        <v>983</v>
      </c>
      <c r="E28" s="13" t="s">
        <v>984</v>
      </c>
      <c r="F28" s="13" t="s">
        <v>999</v>
      </c>
      <c r="G28" s="16" t="s">
        <v>1001</v>
      </c>
      <c r="H28" s="14" t="s">
        <v>967</v>
      </c>
      <c r="I28" s="14" t="s">
        <v>3</v>
      </c>
      <c r="J28" s="15" t="s">
        <v>1007</v>
      </c>
      <c r="K28" s="26" t="s">
        <v>966</v>
      </c>
      <c r="L28" s="12" t="s">
        <v>964</v>
      </c>
      <c r="M28" s="12" t="s">
        <v>965</v>
      </c>
      <c r="N28" s="12" t="s">
        <v>977</v>
      </c>
      <c r="O28" s="12" t="s">
        <v>978</v>
      </c>
      <c r="X28" s="4"/>
    </row>
    <row r="29" spans="1:24" ht="17.25" customHeight="1">
      <c r="C29" s="2" t="s">
        <v>877</v>
      </c>
      <c r="D29" s="2" t="s">
        <v>1976</v>
      </c>
      <c r="E29" s="2" t="s">
        <v>956</v>
      </c>
      <c r="F29" s="12" t="s">
        <v>2211</v>
      </c>
      <c r="G29" t="s">
        <v>3270</v>
      </c>
      <c r="H29" s="2" t="s">
        <v>11</v>
      </c>
      <c r="I29" s="2" t="s">
        <v>14</v>
      </c>
      <c r="J29" s="12" t="s">
        <v>1922</v>
      </c>
      <c r="K29" s="12" t="s">
        <v>1923</v>
      </c>
      <c r="L29" s="12">
        <v>2</v>
      </c>
      <c r="M29" s="12">
        <v>4</v>
      </c>
      <c r="N29" s="12">
        <v>5</v>
      </c>
      <c r="O29" s="12">
        <v>9</v>
      </c>
      <c r="X29" s="11"/>
    </row>
    <row r="30" spans="1:24" ht="17.25" customHeight="1">
      <c r="C30" s="2" t="s">
        <v>50</v>
      </c>
      <c r="D30" s="2" t="s">
        <v>971</v>
      </c>
      <c r="E30" s="2" t="s">
        <v>50</v>
      </c>
      <c r="F30" s="12" t="s">
        <v>2013</v>
      </c>
      <c r="G30" t="s">
        <v>2605</v>
      </c>
      <c r="H30" s="2" t="s">
        <v>17</v>
      </c>
      <c r="I30" s="2" t="s">
        <v>979</v>
      </c>
      <c r="J30" s="12" t="s">
        <v>1920</v>
      </c>
      <c r="K30" s="12" t="s">
        <v>1921</v>
      </c>
      <c r="L30" s="12">
        <v>6</v>
      </c>
      <c r="M30" s="12">
        <v>12</v>
      </c>
      <c r="N30" s="12">
        <v>15</v>
      </c>
      <c r="O30" s="12">
        <v>19</v>
      </c>
    </row>
    <row r="31" spans="1:24" ht="17.25" customHeight="1">
      <c r="C31" s="2" t="s">
        <v>968</v>
      </c>
      <c r="D31" s="2" t="s">
        <v>2051</v>
      </c>
      <c r="E31" s="2" t="s">
        <v>2624</v>
      </c>
      <c r="F31" s="12" t="s">
        <v>306</v>
      </c>
      <c r="G31" t="s">
        <v>2026</v>
      </c>
      <c r="H31" s="2" t="s">
        <v>411</v>
      </c>
      <c r="I31" s="3" t="s">
        <v>12</v>
      </c>
      <c r="J31" s="12" t="s">
        <v>1928</v>
      </c>
      <c r="K31" s="12" t="s">
        <v>1927</v>
      </c>
      <c r="L31" s="12">
        <v>9</v>
      </c>
      <c r="M31" s="12">
        <v>19</v>
      </c>
      <c r="N31" s="12">
        <v>23</v>
      </c>
      <c r="O31" s="12">
        <v>28</v>
      </c>
    </row>
    <row r="32" spans="1:24" ht="17.25" customHeight="1">
      <c r="C32" s="2" t="s">
        <v>306</v>
      </c>
      <c r="D32" s="2" t="s">
        <v>239</v>
      </c>
      <c r="E32" s="2" t="s">
        <v>306</v>
      </c>
      <c r="F32" s="12" t="s">
        <v>2206</v>
      </c>
      <c r="G32" t="s">
        <v>75</v>
      </c>
      <c r="H32" s="2" t="s">
        <v>6</v>
      </c>
      <c r="I32" s="2" t="s">
        <v>694</v>
      </c>
      <c r="J32" s="12" t="s">
        <v>1916</v>
      </c>
      <c r="K32" s="12" t="s">
        <v>1926</v>
      </c>
      <c r="L32" s="12">
        <v>15</v>
      </c>
      <c r="M32" s="12">
        <v>19</v>
      </c>
      <c r="N32" s="12">
        <v>35</v>
      </c>
      <c r="O32" s="12">
        <v>60</v>
      </c>
    </row>
    <row r="33" spans="3:14" ht="17.25" customHeight="1">
      <c r="C33" s="2" t="s">
        <v>44</v>
      </c>
      <c r="D33" s="2" t="s">
        <v>2044</v>
      </c>
      <c r="E33" s="2" t="s">
        <v>399</v>
      </c>
      <c r="F33" s="12" t="s">
        <v>399</v>
      </c>
      <c r="G33" t="s">
        <v>1978</v>
      </c>
      <c r="H33" s="3" t="s">
        <v>296</v>
      </c>
      <c r="I33" s="2" t="s">
        <v>534</v>
      </c>
      <c r="J33" s="12" t="s">
        <v>1918</v>
      </c>
      <c r="K33" s="9"/>
      <c r="L33" s="4"/>
      <c r="M33" s="4"/>
      <c r="N33" s="4"/>
    </row>
    <row r="34" spans="3:14" ht="17.25" customHeight="1">
      <c r="C34" s="2" t="s">
        <v>399</v>
      </c>
      <c r="D34" s="2" t="s">
        <v>81</v>
      </c>
      <c r="E34" s="2" t="s">
        <v>417</v>
      </c>
      <c r="F34" s="39" t="s">
        <v>946</v>
      </c>
      <c r="G34" t="s">
        <v>70</v>
      </c>
      <c r="H34" s="2" t="s">
        <v>318</v>
      </c>
      <c r="I34" s="2" t="s">
        <v>103</v>
      </c>
      <c r="J34" s="12" t="s">
        <v>1919</v>
      </c>
      <c r="K34" s="9"/>
      <c r="L34" s="4"/>
      <c r="M34" s="4"/>
      <c r="N34" s="4"/>
    </row>
    <row r="35" spans="3:14" ht="17.25" customHeight="1">
      <c r="C35" s="2" t="s">
        <v>417</v>
      </c>
      <c r="D35" s="2" t="s">
        <v>50</v>
      </c>
      <c r="E35" s="2" t="s">
        <v>2249</v>
      </c>
      <c r="F35" s="39" t="s">
        <v>102</v>
      </c>
      <c r="G35" t="s">
        <v>2212</v>
      </c>
      <c r="H35" s="2" t="s">
        <v>23</v>
      </c>
      <c r="I35" s="2" t="s">
        <v>7</v>
      </c>
      <c r="J35" s="12" t="s">
        <v>1925</v>
      </c>
      <c r="K35" s="9"/>
      <c r="L35" s="4"/>
      <c r="M35" s="4"/>
      <c r="N35" s="4"/>
    </row>
    <row r="36" spans="3:14" ht="17.25" customHeight="1">
      <c r="C36" s="2" t="s">
        <v>907</v>
      </c>
      <c r="D36" s="2" t="s">
        <v>745</v>
      </c>
      <c r="E36" s="2" t="s">
        <v>946</v>
      </c>
      <c r="F36" s="40" t="s">
        <v>2208</v>
      </c>
      <c r="G36" t="s">
        <v>51</v>
      </c>
      <c r="H36" s="2" t="s">
        <v>49</v>
      </c>
      <c r="I36" s="2" t="s">
        <v>29</v>
      </c>
      <c r="K36" s="9"/>
      <c r="L36" s="4"/>
      <c r="M36" s="4"/>
      <c r="N36" s="4"/>
    </row>
    <row r="37" spans="3:14" ht="17.25" customHeight="1">
      <c r="C37" s="2" t="s">
        <v>561</v>
      </c>
      <c r="D37" s="2" t="s">
        <v>968</v>
      </c>
      <c r="E37" s="2" t="s">
        <v>942</v>
      </c>
      <c r="F37" s="40" t="s">
        <v>922</v>
      </c>
      <c r="G37" t="s">
        <v>980</v>
      </c>
      <c r="K37" s="9"/>
      <c r="L37" s="4"/>
      <c r="M37" s="4"/>
      <c r="N37" s="4"/>
    </row>
    <row r="38" spans="3:14" ht="17.25" customHeight="1">
      <c r="C38" s="2" t="s">
        <v>102</v>
      </c>
      <c r="D38" s="2" t="s">
        <v>883</v>
      </c>
      <c r="E38" s="2" t="s">
        <v>102</v>
      </c>
      <c r="F38" s="40" t="s">
        <v>2014</v>
      </c>
      <c r="G38" t="s">
        <v>52</v>
      </c>
      <c r="H38" s="5"/>
      <c r="K38" s="9"/>
      <c r="L38" s="4"/>
      <c r="M38" s="4"/>
      <c r="N38" s="4"/>
    </row>
    <row r="39" spans="3:14" ht="17.25" customHeight="1">
      <c r="C39" s="2" t="s">
        <v>708</v>
      </c>
      <c r="D39" s="2" t="s">
        <v>306</v>
      </c>
      <c r="E39" s="2" t="s">
        <v>940</v>
      </c>
      <c r="F39" s="61" t="s">
        <v>2018</v>
      </c>
      <c r="G39" t="s">
        <v>21</v>
      </c>
      <c r="K39" s="9"/>
      <c r="L39" s="4"/>
      <c r="M39" s="4"/>
      <c r="N39" s="4"/>
    </row>
    <row r="40" spans="3:14" ht="17.25" customHeight="1">
      <c r="C40" s="2" t="s">
        <v>2208</v>
      </c>
      <c r="D40" s="2" t="s">
        <v>44</v>
      </c>
      <c r="E40" s="2" t="s">
        <v>2208</v>
      </c>
      <c r="F40" s="4"/>
      <c r="G40" t="s">
        <v>28</v>
      </c>
      <c r="K40" s="9"/>
      <c r="L40" s="4"/>
      <c r="M40" s="4"/>
      <c r="N40" s="4"/>
    </row>
    <row r="41" spans="3:14" ht="17.25" customHeight="1">
      <c r="C41" s="2" t="s">
        <v>889</v>
      </c>
      <c r="D41" s="2" t="s">
        <v>2025</v>
      </c>
      <c r="E41" s="2" t="s">
        <v>889</v>
      </c>
      <c r="K41" s="9"/>
      <c r="L41" s="4"/>
      <c r="M41" s="4"/>
      <c r="N41" s="4"/>
    </row>
    <row r="42" spans="3:14" ht="17.25" customHeight="1">
      <c r="C42" s="2" t="s">
        <v>2052</v>
      </c>
      <c r="D42" s="2" t="s">
        <v>399</v>
      </c>
      <c r="E42" s="2" t="s">
        <v>108</v>
      </c>
      <c r="K42" s="9"/>
      <c r="L42" s="4"/>
      <c r="M42" s="4"/>
      <c r="N42" s="4"/>
    </row>
    <row r="43" spans="3:14" ht="17.25" customHeight="1">
      <c r="C43" s="2" t="s">
        <v>126</v>
      </c>
      <c r="D43" s="2" t="s">
        <v>415</v>
      </c>
      <c r="E43" s="34" t="s">
        <v>975</v>
      </c>
      <c r="K43" s="9"/>
    </row>
    <row r="44" spans="3:14" ht="17.25" customHeight="1">
      <c r="C44" s="2" t="s">
        <v>129</v>
      </c>
      <c r="D44" s="2" t="s">
        <v>417</v>
      </c>
      <c r="E44" s="34" t="s">
        <v>941</v>
      </c>
      <c r="K44" s="9"/>
    </row>
    <row r="45" spans="3:14" ht="17.25" customHeight="1">
      <c r="C45" s="2" t="s">
        <v>922</v>
      </c>
      <c r="D45" s="2" t="s">
        <v>972</v>
      </c>
      <c r="E45" s="34" t="s">
        <v>2053</v>
      </c>
      <c r="J45" s="5"/>
      <c r="K45" s="9"/>
    </row>
    <row r="46" spans="3:14" ht="17.25" customHeight="1">
      <c r="C46" s="2" t="s">
        <v>894</v>
      </c>
      <c r="D46" s="2" t="s">
        <v>163</v>
      </c>
      <c r="E46" s="34" t="s">
        <v>969</v>
      </c>
      <c r="H46" s="1"/>
      <c r="I46" s="5"/>
      <c r="J46" s="5"/>
      <c r="K46" s="9"/>
    </row>
    <row r="47" spans="3:14" ht="17.25" customHeight="1">
      <c r="C47" s="2" t="s">
        <v>431</v>
      </c>
      <c r="D47" s="2" t="s">
        <v>130</v>
      </c>
      <c r="E47" s="4"/>
      <c r="H47" s="1"/>
    </row>
    <row r="48" spans="3:14" ht="17.25" customHeight="1">
      <c r="C48" s="2" t="s">
        <v>912</v>
      </c>
      <c r="D48" s="2" t="s">
        <v>102</v>
      </c>
      <c r="H48" s="1"/>
    </row>
    <row r="49" spans="3:25" ht="17.25" customHeight="1">
      <c r="C49" s="2" t="s">
        <v>2626</v>
      </c>
      <c r="D49" s="2" t="s">
        <v>65</v>
      </c>
      <c r="H49" s="1"/>
    </row>
    <row r="50" spans="3:25" ht="17.25" customHeight="1">
      <c r="C50" s="2" t="s">
        <v>937</v>
      </c>
      <c r="D50" s="2" t="s">
        <v>2208</v>
      </c>
      <c r="H50" s="1"/>
    </row>
    <row r="51" spans="3:25" ht="17.25" customHeight="1">
      <c r="C51" s="2" t="s">
        <v>969</v>
      </c>
      <c r="D51" s="2" t="s">
        <v>2052</v>
      </c>
      <c r="G51" s="5"/>
      <c r="H51" s="1"/>
      <c r="N51" s="1"/>
      <c r="O51" s="1"/>
    </row>
    <row r="52" spans="3:25" ht="17.25" customHeight="1">
      <c r="C52" s="2" t="s">
        <v>886</v>
      </c>
      <c r="D52" s="2" t="s">
        <v>652</v>
      </c>
      <c r="H52" s="1"/>
      <c r="L52" s="1"/>
      <c r="M52" s="1"/>
      <c r="N52" s="1"/>
      <c r="O52" s="1"/>
    </row>
    <row r="53" spans="3:25" ht="17.25" customHeight="1">
      <c r="C53" s="34" t="s">
        <v>970</v>
      </c>
      <c r="D53" s="2" t="s">
        <v>852</v>
      </c>
      <c r="H53" s="1"/>
      <c r="J53" s="1"/>
      <c r="L53" s="1"/>
      <c r="M53" s="1"/>
      <c r="N53" s="1"/>
      <c r="O53" s="1"/>
    </row>
    <row r="54" spans="3:25" ht="17.25" customHeight="1">
      <c r="C54" s="4"/>
      <c r="D54" s="2" t="s">
        <v>3981</v>
      </c>
      <c r="H54" s="1"/>
      <c r="I54" s="1"/>
      <c r="J54" s="1"/>
      <c r="L54" s="1"/>
      <c r="M54" s="1"/>
      <c r="N54" s="1"/>
      <c r="O54" s="1"/>
      <c r="P54" s="1"/>
      <c r="Q54" s="1"/>
      <c r="R54" s="1"/>
      <c r="S54" s="1"/>
      <c r="T54" s="1"/>
      <c r="U54" s="1"/>
      <c r="V54" s="1"/>
      <c r="W54" s="1"/>
      <c r="X54" s="1"/>
      <c r="Y54" s="1"/>
    </row>
    <row r="55" spans="3:25" ht="17.25" customHeight="1">
      <c r="D55" s="2" t="s">
        <v>3540</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894</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74</v>
      </c>
      <c r="G60" s="1"/>
      <c r="H60" s="1"/>
      <c r="I60" s="1"/>
      <c r="J60" s="1"/>
      <c r="K60" s="1"/>
      <c r="L60" s="1"/>
      <c r="M60" s="1"/>
      <c r="N60" s="1"/>
      <c r="O60" s="1"/>
      <c r="P60" s="1"/>
      <c r="Q60" s="1"/>
      <c r="R60" s="1"/>
      <c r="S60" s="1"/>
      <c r="T60" s="1"/>
      <c r="U60" s="1"/>
      <c r="V60" s="1"/>
      <c r="W60" s="1"/>
      <c r="X60" s="1"/>
      <c r="Y60" s="1"/>
    </row>
    <row r="61" spans="3:25" ht="17.25" customHeight="1">
      <c r="D61" s="2" t="s">
        <v>898</v>
      </c>
      <c r="G61" s="1"/>
      <c r="H61" s="1"/>
      <c r="I61" s="1"/>
      <c r="J61" s="1"/>
      <c r="K61" s="1"/>
      <c r="L61" s="1"/>
      <c r="M61" s="1"/>
      <c r="N61" s="1"/>
      <c r="O61" s="1"/>
      <c r="P61" s="1"/>
      <c r="Q61" s="1"/>
      <c r="R61" s="1"/>
      <c r="S61" s="1"/>
      <c r="T61" s="1"/>
      <c r="U61" s="1"/>
      <c r="V61" s="1"/>
      <c r="W61" s="1"/>
      <c r="X61" s="1"/>
      <c r="Y61" s="1"/>
    </row>
    <row r="62" spans="3:25" ht="17.25" customHeight="1">
      <c r="D62" s="2" t="s">
        <v>2043</v>
      </c>
      <c r="G62" s="1"/>
      <c r="H62" s="1"/>
      <c r="I62" s="1"/>
      <c r="J62" s="1"/>
      <c r="K62" s="1"/>
      <c r="L62" s="1"/>
      <c r="M62" s="1"/>
      <c r="N62" s="1"/>
      <c r="O62" s="1"/>
      <c r="P62" s="1"/>
      <c r="Q62" s="1"/>
      <c r="R62" s="1"/>
      <c r="S62" s="1"/>
      <c r="T62" s="1"/>
      <c r="U62" s="1"/>
      <c r="V62" s="1"/>
      <c r="W62" s="1"/>
      <c r="X62" s="1"/>
      <c r="Y62" s="1"/>
    </row>
    <row r="63" spans="3:25" ht="17.25" customHeight="1">
      <c r="D63" s="2" t="s">
        <v>272</v>
      </c>
      <c r="G63" s="1"/>
      <c r="H63" s="1"/>
      <c r="I63" s="1"/>
      <c r="J63" s="1"/>
      <c r="K63" s="1"/>
      <c r="L63" s="1"/>
      <c r="M63" s="1"/>
      <c r="N63" s="1"/>
      <c r="O63" s="1"/>
      <c r="P63" s="1"/>
      <c r="Q63" s="1"/>
      <c r="R63" s="1"/>
      <c r="S63" s="1"/>
      <c r="T63" s="1"/>
      <c r="U63" s="1"/>
      <c r="V63" s="1"/>
      <c r="W63" s="1"/>
      <c r="X63" s="1"/>
      <c r="Y63" s="1"/>
    </row>
    <row r="64" spans="3:25" ht="17.25" customHeight="1">
      <c r="D64" s="2" t="s">
        <v>973</v>
      </c>
      <c r="F64" s="1"/>
      <c r="G64" s="1"/>
      <c r="H64" s="1"/>
      <c r="I64" s="1"/>
      <c r="J64" s="1"/>
      <c r="K64" s="1"/>
      <c r="L64" s="1"/>
      <c r="M64" s="1"/>
      <c r="N64" s="1"/>
      <c r="O64" s="1"/>
      <c r="P64" s="1"/>
      <c r="Q64" s="1"/>
      <c r="R64" s="1"/>
      <c r="S64" s="1"/>
      <c r="T64" s="1"/>
      <c r="U64" s="1"/>
      <c r="V64" s="1"/>
      <c r="W64" s="1"/>
      <c r="X64" s="1"/>
      <c r="Y64" s="1"/>
    </row>
    <row r="65" spans="4:25" ht="17.25" customHeight="1">
      <c r="D65" s="2" t="s">
        <v>553</v>
      </c>
      <c r="F65" s="1"/>
      <c r="G65" s="1"/>
      <c r="H65" s="1"/>
      <c r="I65" s="1"/>
      <c r="J65" s="1"/>
      <c r="K65" s="1"/>
      <c r="L65" s="1"/>
      <c r="M65" s="1"/>
      <c r="N65" s="1"/>
      <c r="O65" s="1"/>
      <c r="P65" s="1"/>
      <c r="Q65" s="1"/>
      <c r="R65" s="1"/>
      <c r="S65" s="1"/>
      <c r="T65" s="1"/>
      <c r="U65" s="1"/>
      <c r="V65" s="1"/>
      <c r="W65" s="1"/>
      <c r="X65" s="1"/>
      <c r="Y65" s="1"/>
    </row>
    <row r="66" spans="4:25" ht="17.25" customHeight="1">
      <c r="D66" s="34" t="s">
        <v>489</v>
      </c>
      <c r="F66" s="1"/>
      <c r="G66" s="1"/>
      <c r="H66" s="1"/>
      <c r="I66" s="1"/>
      <c r="J66" s="1"/>
      <c r="K66" s="1"/>
      <c r="L66" s="1"/>
      <c r="M66" s="1"/>
      <c r="N66" s="1"/>
      <c r="O66" s="1"/>
      <c r="P66" s="1"/>
      <c r="Q66" s="1"/>
      <c r="R66" s="1"/>
      <c r="S66" s="1"/>
      <c r="T66" s="1"/>
      <c r="U66" s="1"/>
      <c r="V66" s="1"/>
      <c r="W66" s="1"/>
      <c r="X66" s="1"/>
      <c r="Y66" s="1"/>
    </row>
    <row r="67" spans="4:25" ht="17.25" customHeight="1">
      <c r="D67" s="34" t="s">
        <v>765</v>
      </c>
      <c r="F67" s="1"/>
      <c r="G67" s="1"/>
      <c r="H67" s="1"/>
      <c r="I67" s="1"/>
      <c r="J67" s="1"/>
      <c r="K67" s="1"/>
      <c r="L67" s="1"/>
      <c r="M67" s="1"/>
      <c r="N67" s="1"/>
      <c r="O67" s="1"/>
      <c r="P67" s="1"/>
      <c r="Q67" s="1"/>
      <c r="R67" s="1"/>
      <c r="S67" s="1"/>
      <c r="T67" s="1"/>
      <c r="U67" s="1"/>
      <c r="V67" s="1"/>
      <c r="W67" s="1"/>
      <c r="X67" s="1"/>
      <c r="Y67" s="1"/>
    </row>
    <row r="68" spans="4:25" ht="17.25" customHeight="1">
      <c r="D68" s="34" t="s">
        <v>429</v>
      </c>
      <c r="F68" s="1"/>
      <c r="G68" s="1"/>
      <c r="H68" s="1"/>
      <c r="I68" s="1"/>
      <c r="J68" s="1"/>
      <c r="K68" s="1"/>
      <c r="L68" s="1"/>
      <c r="M68" s="1"/>
      <c r="N68" s="1"/>
      <c r="O68" s="1"/>
      <c r="P68" s="1"/>
      <c r="Q68" s="1"/>
      <c r="R68" s="1"/>
      <c r="S68" s="1"/>
      <c r="T68" s="1"/>
      <c r="U68" s="1"/>
      <c r="V68" s="1"/>
      <c r="W68" s="1"/>
      <c r="X68" s="1"/>
      <c r="Y68" s="1"/>
    </row>
    <row r="69" spans="4:25" ht="17.25" customHeight="1">
      <c r="D69" s="34" t="s">
        <v>974</v>
      </c>
      <c r="F69" s="1"/>
      <c r="G69" s="1"/>
      <c r="H69" s="1"/>
      <c r="I69" s="1"/>
      <c r="J69" s="1"/>
      <c r="K69" s="1"/>
      <c r="L69" s="1"/>
      <c r="M69" s="1"/>
      <c r="N69" s="1"/>
      <c r="O69" s="1"/>
      <c r="P69" s="1"/>
      <c r="Q69" s="1"/>
      <c r="R69" s="1"/>
      <c r="S69" s="1"/>
      <c r="T69" s="1"/>
      <c r="U69" s="1"/>
      <c r="V69" s="1"/>
      <c r="W69" s="1"/>
      <c r="X69" s="1"/>
      <c r="Y69" s="1"/>
    </row>
    <row r="70" spans="4:25" ht="17.25" customHeight="1">
      <c r="D70" s="34" t="s">
        <v>69</v>
      </c>
      <c r="F70" s="1"/>
      <c r="G70" s="1"/>
      <c r="H70" s="1"/>
      <c r="I70" s="1"/>
      <c r="J70" s="1"/>
      <c r="K70" s="1"/>
      <c r="L70" s="1"/>
      <c r="M70" s="1"/>
      <c r="N70" s="1"/>
      <c r="O70" s="1"/>
      <c r="P70" s="1"/>
      <c r="Q70" s="1"/>
      <c r="R70" s="1"/>
      <c r="S70" s="1"/>
      <c r="T70" s="1"/>
      <c r="U70" s="1"/>
      <c r="V70" s="1"/>
      <c r="W70" s="1"/>
      <c r="X70" s="1"/>
      <c r="Y70" s="1"/>
    </row>
    <row r="71" spans="4:25" ht="17.25" customHeight="1">
      <c r="D71" s="34" t="s">
        <v>970</v>
      </c>
      <c r="F71" s="1"/>
      <c r="G71" s="1"/>
      <c r="H71" s="1"/>
      <c r="I71" s="1"/>
      <c r="J71" s="1"/>
      <c r="K71" s="1"/>
      <c r="L71" s="1"/>
      <c r="M71" s="1"/>
      <c r="N71" s="1"/>
      <c r="O71" s="1"/>
      <c r="P71" s="1"/>
      <c r="Q71" s="1"/>
      <c r="R71" s="1"/>
      <c r="S71" s="1"/>
      <c r="T71" s="1"/>
      <c r="U71" s="1"/>
      <c r="V71" s="1"/>
      <c r="W71" s="1"/>
      <c r="X71" s="1"/>
      <c r="Y71" s="1"/>
    </row>
    <row r="72" spans="4:25" ht="17.25" customHeight="1">
      <c r="D72" s="34" t="s">
        <v>370</v>
      </c>
      <c r="F72" s="1"/>
      <c r="G72" s="1"/>
      <c r="H72" s="1"/>
      <c r="I72" s="1"/>
      <c r="J72" s="1"/>
      <c r="K72" s="1"/>
      <c r="L72" s="1"/>
      <c r="M72" s="1"/>
      <c r="N72" s="1"/>
      <c r="O72" s="1"/>
      <c r="P72" s="1"/>
      <c r="Q72" s="1"/>
      <c r="R72" s="1"/>
      <c r="S72" s="1"/>
      <c r="T72" s="1"/>
      <c r="U72" s="1"/>
      <c r="V72" s="1"/>
      <c r="W72" s="1"/>
      <c r="X72" s="1"/>
      <c r="Y72" s="1"/>
    </row>
    <row r="73" spans="4:25" ht="17.25" customHeight="1">
      <c r="D73" s="34" t="s">
        <v>171</v>
      </c>
      <c r="F73" s="1"/>
      <c r="G73" s="1"/>
      <c r="H73" s="1"/>
      <c r="I73" s="1"/>
      <c r="J73" s="1"/>
      <c r="K73" s="1"/>
      <c r="L73" s="1"/>
      <c r="M73" s="1"/>
      <c r="N73" s="1"/>
      <c r="O73" s="1"/>
      <c r="P73" s="1"/>
      <c r="Q73" s="1"/>
      <c r="R73" s="1"/>
      <c r="S73" s="1"/>
      <c r="T73" s="1"/>
      <c r="U73" s="1"/>
      <c r="V73" s="1"/>
      <c r="W73" s="1"/>
      <c r="X73" s="1"/>
      <c r="Y73" s="1"/>
    </row>
    <row r="74" spans="4:25" ht="17.25" customHeight="1">
      <c r="D74" s="4"/>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4">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967</v>
      </c>
      <c r="B1" s="36" t="s">
        <v>1940</v>
      </c>
      <c r="C1" s="36" t="s">
        <v>0</v>
      </c>
      <c r="D1" s="36" t="s">
        <v>2</v>
      </c>
      <c r="E1" s="36" t="s">
        <v>1941</v>
      </c>
      <c r="F1" s="36" t="s">
        <v>1913</v>
      </c>
      <c r="G1" s="36" t="s">
        <v>1942</v>
      </c>
      <c r="H1" s="37" t="s">
        <v>1943</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967</v>
      </c>
      <c r="B1" s="36" t="s">
        <v>1940</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31"/>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3.75" customHeight="1">
      <c r="A1" s="95" t="s">
        <v>3973</v>
      </c>
      <c r="B1" s="95"/>
      <c r="C1" s="95"/>
      <c r="D1" s="95"/>
      <c r="E1" s="95"/>
      <c r="F1" s="41"/>
    </row>
    <row r="2" spans="1:8" ht="33.75" customHeight="1">
      <c r="A2" s="34" t="s">
        <v>1969</v>
      </c>
      <c r="B2" s="34" t="s">
        <v>963</v>
      </c>
      <c r="C2" s="34" t="s">
        <v>1002</v>
      </c>
      <c r="D2" s="34" t="s">
        <v>0</v>
      </c>
      <c r="E2" s="34" t="s">
        <v>1970</v>
      </c>
      <c r="F2" s="34" t="s">
        <v>1913</v>
      </c>
      <c r="G2" s="34" t="s">
        <v>1968</v>
      </c>
      <c r="H2" s="34" t="s">
        <v>1971</v>
      </c>
    </row>
    <row r="3" spans="1:8" ht="15.95" customHeight="1">
      <c r="A3" s="43"/>
      <c r="B3" s="43"/>
      <c r="C3" s="43"/>
      <c r="D3" s="47"/>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2012-03-01T02:39:54Z</cp:lastPrinted>
  <dcterms:created xsi:type="dcterms:W3CDTF">2011-06-24T10:58:18Z</dcterms:created>
  <dcterms:modified xsi:type="dcterms:W3CDTF">2012-03-01T03:01:12Z</dcterms:modified>
</cp:coreProperties>
</file>